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262" documentId="11_7D4755BF84DCCE13E97046798E31F45B5A712953" xr6:coauthVersionLast="47" xr6:coauthVersionMax="47" xr10:uidLastSave="{C4C13970-5050-4088-B56B-07C09C1D3303}"/>
  <bookViews>
    <workbookView xWindow="240" yWindow="105" windowWidth="14805" windowHeight="8010" activeTab="1" xr2:uid="{00000000-000D-0000-FFFF-FFFF00000000}"/>
  </bookViews>
  <sheets>
    <sheet name="Cas 2011-2025" sheetId="1" r:id="rId1"/>
    <sheet name="Cas 2013-2017" sheetId="6" r:id="rId2"/>
    <sheet name="Feuil1" sheetId="5" r:id="rId3"/>
    <sheet name="Résultats" sheetId="4" r:id="rId4"/>
    <sheet name="SSP"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1"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F2" i="1" a="1"/>
  <c r="AF2" i="1"/>
  <c r="AF3" i="1" a="1"/>
  <c r="AF3" i="1"/>
  <c r="AF4" i="1" a="1"/>
  <c r="AF4" i="1"/>
  <c r="AF5" i="1" a="1"/>
  <c r="AF5" i="1"/>
  <c r="AF6" i="1" a="1"/>
  <c r="AF6" i="1"/>
  <c r="AF7" i="1" a="1"/>
  <c r="AF7" i="1"/>
  <c r="AF8" i="1" a="1"/>
  <c r="AF8" i="1"/>
  <c r="AF9" i="1" a="1"/>
  <c r="AF9" i="1"/>
  <c r="AF10" i="1" a="1"/>
  <c r="AF10" i="1"/>
  <c r="AF11" i="1" a="1"/>
  <c r="AF11" i="1"/>
  <c r="AF12" i="1" a="1"/>
  <c r="AF12" i="1"/>
  <c r="AF13" i="1" a="1"/>
  <c r="AF13" i="1"/>
  <c r="AF14" i="1" a="1"/>
  <c r="AF14" i="1"/>
  <c r="AF15" i="1" a="1"/>
  <c r="AF15" i="1"/>
  <c r="AF16" i="1" a="1"/>
  <c r="AF16" i="1"/>
  <c r="AF17" i="1" a="1"/>
  <c r="AF17" i="1"/>
  <c r="AF18" i="1" a="1"/>
  <c r="AF18" i="1"/>
  <c r="AF19" i="1" a="1"/>
  <c r="AF19" i="1"/>
  <c r="AF20" i="1" a="1"/>
  <c r="AF20" i="1"/>
  <c r="AF21" i="1" a="1"/>
  <c r="AF21" i="1"/>
  <c r="AF22" i="1" a="1"/>
  <c r="AF22" i="1"/>
  <c r="AF23" i="1" a="1"/>
  <c r="AF23" i="1"/>
  <c r="AF24" i="1" a="1"/>
  <c r="AF24" i="1"/>
  <c r="AF25" i="1" a="1"/>
  <c r="AF25" i="1"/>
  <c r="AF26" i="1" a="1"/>
  <c r="AF26" i="1"/>
  <c r="AF27" i="1" a="1"/>
  <c r="AF27" i="1"/>
  <c r="AF28" i="1" a="1"/>
  <c r="AF28" i="1"/>
  <c r="AF29" i="1" a="1"/>
  <c r="AF29" i="1"/>
  <c r="AF30" i="1" a="1"/>
  <c r="AF30" i="1"/>
  <c r="AF31" i="1" a="1"/>
  <c r="AF31" i="1"/>
  <c r="AF32" i="1" a="1"/>
  <c r="AF32" i="1"/>
  <c r="AF33" i="1" a="1"/>
  <c r="AF33" i="1"/>
  <c r="AF34" i="1" a="1"/>
  <c r="AF34" i="1"/>
  <c r="AF35" i="1" a="1"/>
  <c r="AF35" i="1"/>
  <c r="AF36" i="1" a="1"/>
  <c r="AF36" i="1"/>
  <c r="AF37" i="1" a="1"/>
  <c r="AF37" i="1"/>
  <c r="AF38" i="1" a="1"/>
  <c r="AF38" i="1"/>
  <c r="AF39" i="1" a="1"/>
  <c r="AF39" i="1"/>
  <c r="AF40" i="1" a="1"/>
  <c r="AF40" i="1"/>
  <c r="AF41" i="1" a="1"/>
  <c r="AF41" i="1"/>
  <c r="AF42" i="1" a="1"/>
  <c r="AF42" i="1"/>
  <c r="AF43" i="1" a="1"/>
  <c r="AF43" i="1"/>
  <c r="AF44" i="1" a="1"/>
  <c r="AF44" i="1"/>
  <c r="AF45" i="1" a="1"/>
  <c r="AF45" i="1"/>
  <c r="AF46" i="1" a="1"/>
  <c r="AF46" i="1"/>
  <c r="AF47" i="1" a="1"/>
  <c r="AF47" i="1"/>
  <c r="AF48" i="1" a="1"/>
  <c r="AF48" i="1"/>
  <c r="AF49" i="1" a="1"/>
  <c r="AF49" i="1"/>
  <c r="AF50" i="1" a="1"/>
  <c r="AF50" i="1"/>
  <c r="AF51" i="1" a="1"/>
  <c r="AF51" i="1"/>
  <c r="AF52" i="1" a="1"/>
  <c r="AF52" i="1"/>
  <c r="AF53" i="1" a="1"/>
  <c r="AF53" i="1"/>
  <c r="AF54" i="1" a="1"/>
  <c r="AF54" i="1"/>
  <c r="AF55" i="1" a="1"/>
  <c r="AF55" i="1"/>
  <c r="AF56" i="1" a="1"/>
  <c r="AF56" i="1"/>
  <c r="AF57" i="1" a="1"/>
  <c r="AF57" i="1"/>
  <c r="AF58" i="1" a="1"/>
  <c r="AF58" i="1"/>
  <c r="AF59" i="1" a="1"/>
  <c r="AF59" i="1"/>
  <c r="AF60" i="1" a="1"/>
  <c r="AF60" i="1"/>
  <c r="AF61" i="1" a="1"/>
  <c r="AF61" i="1"/>
  <c r="AF62" i="1" a="1"/>
  <c r="AF62" i="1"/>
  <c r="AF63" i="1" a="1"/>
  <c r="AF63" i="1"/>
  <c r="AF64" i="1" a="1"/>
  <c r="AF64" i="1"/>
  <c r="AF65" i="1" a="1"/>
  <c r="AF65" i="1"/>
  <c r="AF66" i="1" a="1"/>
  <c r="AF66" i="1"/>
  <c r="AF67" i="1" a="1"/>
  <c r="AF67" i="1"/>
  <c r="AF68" i="1" a="1"/>
  <c r="AF68" i="1"/>
  <c r="AF69" i="1" a="1"/>
  <c r="AF69" i="1"/>
  <c r="AF70" i="1" a="1"/>
  <c r="AF70" i="1"/>
  <c r="AF71" i="1" a="1"/>
  <c r="AF71" i="1"/>
  <c r="AF72" i="1" a="1"/>
  <c r="AF72" i="1"/>
  <c r="AF73" i="1" a="1"/>
  <c r="AF73" i="1"/>
  <c r="AF74" i="1" a="1"/>
  <c r="AF74" i="1"/>
  <c r="AF75" i="1" a="1"/>
  <c r="AF75" i="1"/>
  <c r="AF76" i="1" a="1"/>
  <c r="AF76" i="1"/>
  <c r="AF77" i="1" a="1"/>
  <c r="AF77" i="1"/>
  <c r="AF78" i="1" a="1"/>
  <c r="AF78" i="1"/>
  <c r="AF79" i="1" a="1"/>
  <c r="AF79" i="1"/>
  <c r="AF80" i="1" a="1"/>
  <c r="AF80" i="1"/>
  <c r="AF81" i="1" a="1"/>
  <c r="AF81" i="1"/>
  <c r="AF82" i="1" a="1"/>
  <c r="AF82" i="1"/>
  <c r="AF83" i="1" a="1"/>
  <c r="AF83" i="1"/>
  <c r="AF84" i="1" a="1"/>
  <c r="AF84" i="1"/>
  <c r="AF85" i="1" a="1"/>
  <c r="AF85" i="1"/>
  <c r="AF86" i="1" a="1"/>
  <c r="AF86" i="1"/>
  <c r="AF87" i="1" a="1"/>
  <c r="AF87" i="1"/>
  <c r="AF88" i="1" a="1"/>
  <c r="AF88" i="1"/>
  <c r="AF89" i="1" a="1"/>
  <c r="AF89" i="1"/>
  <c r="AF90" i="1" a="1"/>
  <c r="AF90" i="1"/>
  <c r="AF91" i="1" a="1"/>
  <c r="AF91" i="1"/>
  <c r="AF92" i="1" a="1"/>
  <c r="AF92" i="1"/>
  <c r="AF93" i="1" a="1"/>
  <c r="AF93" i="1"/>
  <c r="AF94" i="1" a="1"/>
  <c r="AF94" i="1"/>
  <c r="AF95" i="1" a="1"/>
  <c r="AF95" i="1"/>
  <c r="AF96" i="1" a="1"/>
  <c r="AF96" i="1"/>
  <c r="AF97" i="1" a="1"/>
  <c r="AF97" i="1"/>
  <c r="AF98" i="1" a="1"/>
  <c r="AF98" i="1"/>
  <c r="AF99" i="1" a="1"/>
  <c r="AF99" i="1"/>
  <c r="AF100" i="1" a="1"/>
  <c r="AF100" i="1"/>
  <c r="AF101" i="1" a="1"/>
  <c r="AF101" i="1"/>
  <c r="AF102" i="1" a="1"/>
  <c r="AF102" i="1"/>
  <c r="AF103" i="1" a="1"/>
  <c r="AF103" i="1"/>
  <c r="AF104" i="1" a="1"/>
  <c r="AF104" i="1"/>
  <c r="AF105" i="1" a="1"/>
  <c r="AF105" i="1"/>
  <c r="AF106" i="1" a="1"/>
  <c r="AF106" i="1"/>
  <c r="AF107" i="1" a="1"/>
  <c r="AF107" i="1"/>
  <c r="AF108" i="1" a="1"/>
  <c r="AF108" i="1"/>
  <c r="AF109" i="1" a="1"/>
  <c r="AF109" i="1"/>
  <c r="AF110" i="1" a="1"/>
  <c r="AF110" i="1"/>
  <c r="AF111" i="1" a="1"/>
  <c r="AF111" i="1"/>
  <c r="AF112" i="1" a="1"/>
  <c r="AF112" i="1"/>
  <c r="AF113" i="1" a="1"/>
  <c r="AF113" i="1"/>
  <c r="AF114" i="1" a="1"/>
  <c r="AF114" i="1"/>
  <c r="AF115" i="1" a="1"/>
  <c r="AF115" i="1"/>
  <c r="AF116" i="1" a="1"/>
  <c r="AF116" i="1"/>
  <c r="AF117" i="1" a="1"/>
  <c r="AF117" i="1"/>
  <c r="AF118" i="1" a="1"/>
  <c r="AF118" i="1"/>
  <c r="AF119" i="1" a="1"/>
  <c r="AF119" i="1"/>
  <c r="AF120" i="1" a="1"/>
  <c r="AF120" i="1"/>
  <c r="AF121" i="1" a="1"/>
  <c r="AF121" i="1"/>
  <c r="AF122" i="1" a="1"/>
  <c r="AF122" i="1"/>
  <c r="AF123" i="1" a="1"/>
  <c r="AF123" i="1"/>
  <c r="AF124" i="1" a="1"/>
  <c r="AF124" i="1"/>
  <c r="AF125" i="1" a="1"/>
  <c r="AF125" i="1"/>
  <c r="AF126" i="1" a="1"/>
  <c r="AF126" i="1"/>
  <c r="AF127" i="1" a="1"/>
  <c r="AF127" i="1"/>
  <c r="AF128" i="1" a="1"/>
  <c r="AF128" i="1"/>
  <c r="AF129" i="1" a="1"/>
  <c r="AF129" i="1"/>
  <c r="AF130" i="1" a="1"/>
  <c r="AF130" i="1"/>
  <c r="AF131" i="1" a="1"/>
  <c r="AF131" i="1"/>
  <c r="AF132" i="1" a="1"/>
  <c r="AF132" i="1"/>
  <c r="AF133" i="1" a="1"/>
  <c r="AF133" i="1"/>
  <c r="AF134" i="1" a="1"/>
  <c r="AF134" i="1"/>
  <c r="AF135" i="1" a="1"/>
  <c r="AF135" i="1"/>
  <c r="AF136" i="1" a="1"/>
  <c r="AF136" i="1"/>
  <c r="AF137" i="1" a="1"/>
  <c r="AF137" i="1"/>
  <c r="AF138" i="1" a="1"/>
  <c r="AF138" i="1"/>
  <c r="AF139" i="1" a="1"/>
  <c r="AF139" i="1"/>
  <c r="AF140" i="1" a="1"/>
  <c r="AF140" i="1"/>
  <c r="AF141" i="1" a="1"/>
  <c r="AF141" i="1"/>
  <c r="AF142" i="1" a="1"/>
  <c r="AF142" i="1"/>
  <c r="AF143" i="1" a="1"/>
  <c r="AF143" i="1"/>
  <c r="AF144" i="1" a="1"/>
  <c r="AF144" i="1"/>
  <c r="AF145" i="1" a="1"/>
  <c r="AF145" i="1"/>
  <c r="AF146" i="1" a="1"/>
  <c r="AF146" i="1"/>
  <c r="AF147" i="1" a="1"/>
  <c r="AF147" i="1"/>
  <c r="AF148" i="1" a="1"/>
  <c r="AF148" i="1"/>
  <c r="AF149" i="1" a="1"/>
  <c r="AF149" i="1"/>
  <c r="AF150" i="1" a="1"/>
  <c r="AF150" i="1"/>
  <c r="AF151" i="1" a="1"/>
  <c r="AF151" i="1"/>
  <c r="AF152" i="1" a="1"/>
  <c r="AF152" i="1"/>
  <c r="AF153" i="1" a="1"/>
  <c r="AF153" i="1"/>
  <c r="AF154" i="1" a="1"/>
  <c r="AF154" i="1"/>
  <c r="AF155" i="1" a="1"/>
  <c r="AF155" i="1"/>
  <c r="AF156" i="1" a="1"/>
  <c r="AF156" i="1"/>
  <c r="AF157" i="1" a="1"/>
  <c r="AF157" i="1"/>
  <c r="AF158" i="1" a="1"/>
  <c r="AF158" i="1"/>
  <c r="AF159" i="1" a="1"/>
  <c r="AF159" i="1"/>
  <c r="AF160" i="1" a="1"/>
  <c r="AF160" i="1"/>
  <c r="AF161" i="1" a="1"/>
  <c r="AF161" i="1"/>
  <c r="AF162" i="1" a="1"/>
  <c r="AF162" i="1"/>
  <c r="AF163" i="1" a="1"/>
  <c r="AF163" i="1"/>
  <c r="AF164" i="1" a="1"/>
  <c r="AF164" i="1"/>
  <c r="AF165" i="1" a="1"/>
  <c r="AF165" i="1"/>
  <c r="AF166" i="1" a="1"/>
  <c r="AF166" i="1"/>
  <c r="AF167" i="1" a="1"/>
  <c r="AF167" i="1"/>
  <c r="AF168" i="1" a="1"/>
  <c r="AF168" i="1"/>
  <c r="AF169" i="1" a="1"/>
  <c r="AF169" i="1"/>
  <c r="AF170" i="1" a="1"/>
  <c r="AF170" i="1"/>
  <c r="AF171" i="1" a="1"/>
  <c r="AF171" i="1"/>
  <c r="AF172" i="1" a="1"/>
  <c r="AF172" i="1"/>
  <c r="AF173" i="1" a="1"/>
  <c r="AF173" i="1"/>
  <c r="AF174" i="1" a="1"/>
  <c r="AF174" i="1"/>
  <c r="AF175" i="1" a="1"/>
  <c r="AF175" i="1"/>
  <c r="AF176" i="1" a="1"/>
  <c r="AF176" i="1"/>
  <c r="AF177" i="1" a="1"/>
  <c r="AF177" i="1"/>
  <c r="AF178" i="1" a="1"/>
  <c r="AF178" i="1"/>
  <c r="AF179" i="1" a="1"/>
  <c r="AF179" i="1"/>
  <c r="AF180" i="1" a="1"/>
  <c r="AF180" i="1"/>
  <c r="AF181" i="1" a="1"/>
  <c r="AF181" i="1"/>
  <c r="AF182" i="1" a="1"/>
  <c r="AF182" i="1"/>
  <c r="AF183" i="1" a="1"/>
  <c r="AF183" i="1"/>
  <c r="AF184" i="1" a="1"/>
  <c r="AF184" i="1"/>
  <c r="AF185" i="1" a="1"/>
  <c r="AF185" i="1"/>
  <c r="AF186" i="1" a="1"/>
  <c r="AF186" i="1"/>
  <c r="AF187" i="1" a="1"/>
  <c r="AF187" i="1"/>
  <c r="AF188" i="1" a="1"/>
  <c r="AF188" i="1"/>
  <c r="AF189" i="1" a="1"/>
  <c r="AF189" i="1"/>
  <c r="AF190" i="1" a="1"/>
  <c r="AF190" i="1"/>
  <c r="AF191" i="1" a="1"/>
  <c r="AF191" i="1"/>
  <c r="AF192" i="1" a="1"/>
  <c r="AF192" i="1"/>
  <c r="AF193" i="1" a="1"/>
  <c r="AF193" i="1"/>
  <c r="AF194" i="1" a="1"/>
  <c r="AF194" i="1"/>
  <c r="AF195" i="1" a="1"/>
  <c r="AF195" i="1"/>
  <c r="AF196" i="1" a="1"/>
  <c r="AF196" i="1"/>
  <c r="AF197" i="1" a="1"/>
  <c r="AF197" i="1"/>
  <c r="AF198" i="1" a="1"/>
  <c r="AF198" i="1"/>
  <c r="AF199" i="1" a="1"/>
  <c r="AF199" i="1"/>
  <c r="AF200" i="1" a="1"/>
  <c r="AF200" i="1"/>
  <c r="AF201" i="1" a="1"/>
  <c r="AF201" i="1"/>
  <c r="AF202" i="1" a="1"/>
  <c r="AF202" i="1"/>
  <c r="AF203" i="1" a="1"/>
  <c r="AF203" i="1"/>
  <c r="AF204" i="1" a="1"/>
  <c r="AF204" i="1"/>
  <c r="AF205" i="1" a="1"/>
  <c r="AF205" i="1"/>
  <c r="AF206" i="1" a="1"/>
  <c r="AF206" i="1"/>
  <c r="AF207" i="1" a="1"/>
  <c r="AF207" i="1"/>
  <c r="AF208" i="1" a="1"/>
  <c r="AF208" i="1"/>
  <c r="AF209" i="1" a="1"/>
  <c r="AF209" i="1"/>
  <c r="AF210" i="1" a="1"/>
  <c r="AF210" i="1"/>
  <c r="AF211" i="1" a="1"/>
  <c r="AF211" i="1"/>
  <c r="AF212" i="1" a="1"/>
  <c r="AF212" i="1"/>
  <c r="AF213" i="1" a="1"/>
  <c r="AF213" i="1"/>
  <c r="AF214" i="1" a="1"/>
  <c r="AF214" i="1"/>
  <c r="AF215" i="1" a="1"/>
  <c r="AF215" i="1"/>
  <c r="AF216" i="1" a="1"/>
  <c r="AF216" i="1"/>
  <c r="AF217" i="1" a="1"/>
  <c r="AF217" i="1"/>
  <c r="AF218" i="1" a="1"/>
  <c r="AF218" i="1"/>
  <c r="AF219" i="1" a="1"/>
  <c r="AF219" i="1"/>
  <c r="AF220" i="1" a="1"/>
  <c r="AF220" i="1"/>
  <c r="AF221" i="1" a="1"/>
  <c r="AF221" i="1"/>
  <c r="AF222" i="1" a="1"/>
  <c r="AF222" i="1"/>
  <c r="AF223" i="1" a="1"/>
  <c r="AF223" i="1"/>
  <c r="AF224" i="1" a="1"/>
  <c r="AF224" i="1"/>
  <c r="AF225" i="1" a="1"/>
  <c r="AF225" i="1"/>
  <c r="AF226" i="1" a="1"/>
  <c r="AF226" i="1"/>
  <c r="AF227" i="1" a="1"/>
  <c r="AF227" i="1"/>
  <c r="AF228" i="1" a="1"/>
  <c r="AF228" i="1"/>
  <c r="AF229" i="1" a="1"/>
  <c r="AF229" i="1"/>
  <c r="AF230" i="1" a="1"/>
  <c r="AF230" i="1"/>
  <c r="AF231" i="1" a="1"/>
  <c r="AF231" i="1"/>
  <c r="AF232" i="1" a="1"/>
  <c r="AF232" i="1"/>
  <c r="AF233" i="1" a="1"/>
  <c r="AF233" i="1"/>
  <c r="AF234" i="1" a="1"/>
  <c r="AF234" i="1"/>
  <c r="AF235" i="1" a="1"/>
  <c r="AF235" i="1"/>
  <c r="AF236" i="1" a="1"/>
  <c r="AF236" i="1"/>
  <c r="AF237" i="1" a="1"/>
  <c r="AF237" i="1"/>
  <c r="AF238" i="1" a="1"/>
  <c r="AF238" i="1"/>
  <c r="AF239" i="1" a="1"/>
  <c r="AF239" i="1"/>
  <c r="AF240" i="1" a="1"/>
  <c r="AF240" i="1"/>
  <c r="AF241" i="1" a="1"/>
  <c r="AF241" i="1"/>
  <c r="AF242" i="1" a="1"/>
  <c r="AF242" i="1"/>
  <c r="AF243" i="1" a="1"/>
  <c r="AF243" i="1"/>
  <c r="AF244" i="1" a="1"/>
  <c r="AF244" i="1"/>
  <c r="AF245" i="1" a="1"/>
  <c r="AF245" i="1"/>
  <c r="AF246" i="1" a="1"/>
  <c r="AF246" i="1"/>
  <c r="AF247" i="1" a="1"/>
  <c r="AF247" i="1"/>
  <c r="AF248" i="1" a="1"/>
  <c r="AF248" i="1"/>
  <c r="AF249" i="1" a="1"/>
  <c r="AF249" i="1"/>
  <c r="AF250" i="1" a="1"/>
  <c r="AF250" i="1"/>
  <c r="AF251" i="1" a="1"/>
  <c r="AF251" i="1"/>
  <c r="AF252" i="1" a="1"/>
  <c r="AF252" i="1"/>
  <c r="AF253" i="1" a="1"/>
  <c r="AF253" i="1"/>
  <c r="AF254" i="1" a="1"/>
  <c r="AF254" i="1"/>
  <c r="AF255" i="1" a="1"/>
  <c r="AF255" i="1"/>
  <c r="AF256" i="1" a="1"/>
  <c r="AF256" i="1"/>
  <c r="AF257" i="1" a="1"/>
  <c r="AF257" i="1"/>
  <c r="AF258" i="1" a="1"/>
  <c r="AF258" i="1"/>
  <c r="AF259" i="1" a="1"/>
  <c r="AF259" i="1"/>
  <c r="AF260" i="1" a="1"/>
  <c r="AF260" i="1"/>
  <c r="AF261" i="1" a="1"/>
  <c r="AF261" i="1"/>
  <c r="AF262" i="1" a="1"/>
  <c r="AF262" i="1"/>
  <c r="AF263" i="1" a="1"/>
  <c r="AF263" i="1"/>
  <c r="AF264" i="1" a="1"/>
  <c r="AF264" i="1"/>
  <c r="AF265" i="1" a="1"/>
  <c r="AF265" i="1"/>
  <c r="AF266" i="1" a="1"/>
  <c r="AF266" i="1"/>
  <c r="AF267" i="1" a="1"/>
  <c r="AF267" i="1"/>
  <c r="AF268" i="1" a="1"/>
  <c r="AF268" i="1"/>
  <c r="AF269" i="1" a="1"/>
  <c r="AF269" i="1"/>
  <c r="AF270" i="1" a="1"/>
  <c r="AF270" i="1"/>
  <c r="AF271" i="1" a="1"/>
  <c r="AF271" i="1"/>
  <c r="AF272" i="1" a="1"/>
  <c r="AF272" i="1"/>
  <c r="AF273" i="1" a="1"/>
  <c r="AF273" i="1"/>
  <c r="AF274" i="1" a="1"/>
  <c r="AF274" i="1"/>
  <c r="AF275" i="1" a="1"/>
  <c r="AF275" i="1"/>
  <c r="AF276" i="1" a="1"/>
  <c r="AF276" i="1"/>
  <c r="AF277" i="1" a="1"/>
  <c r="AF277" i="1"/>
  <c r="AF278" i="1" a="1"/>
  <c r="AF278" i="1"/>
  <c r="AF279" i="1" a="1"/>
  <c r="AF279" i="1"/>
  <c r="AF280" i="1" a="1"/>
  <c r="AF280" i="1"/>
  <c r="AF281" i="1" a="1"/>
  <c r="AF281" i="1"/>
  <c r="AF282" i="1" a="1"/>
  <c r="AF282" i="1"/>
  <c r="AF283" i="1" a="1"/>
  <c r="AF283" i="1"/>
  <c r="AF284" i="1" a="1"/>
  <c r="AF284" i="1"/>
  <c r="AF285" i="1" a="1"/>
  <c r="AF285" i="1"/>
  <c r="AF286" i="1" a="1"/>
  <c r="AF286" i="1"/>
  <c r="AF287" i="1" a="1"/>
  <c r="AF287" i="1"/>
  <c r="AF288" i="1" a="1"/>
  <c r="AF288" i="1"/>
  <c r="AF289" i="1" a="1"/>
  <c r="AF289" i="1"/>
  <c r="AF290" i="1" a="1"/>
  <c r="AF290" i="1"/>
  <c r="AF291" i="1" a="1"/>
  <c r="AF291" i="1"/>
  <c r="AF292" i="1" a="1"/>
  <c r="AF292" i="1"/>
  <c r="AF293" i="1" a="1"/>
  <c r="AF293" i="1"/>
  <c r="AF294" i="1" a="1"/>
  <c r="AF294" i="1"/>
  <c r="AF295" i="1" a="1"/>
  <c r="AF295" i="1"/>
  <c r="AF296" i="1" a="1"/>
  <c r="AF296" i="1"/>
  <c r="AF297" i="1" a="1"/>
  <c r="AF297" i="1"/>
  <c r="AF298" i="1" a="1"/>
  <c r="AF298" i="1"/>
  <c r="AF299" i="1" a="1"/>
  <c r="AF299" i="1"/>
  <c r="AF300" i="1" a="1"/>
  <c r="AF300" i="1"/>
  <c r="AF301" i="1" a="1"/>
  <c r="AF301" i="1"/>
  <c r="AF302" i="1" a="1"/>
  <c r="AF302" i="1"/>
  <c r="AF303" i="1" a="1"/>
  <c r="AF303" i="1"/>
  <c r="AF304" i="1" a="1"/>
  <c r="AF304" i="1"/>
  <c r="AF305" i="1" a="1"/>
  <c r="AF305" i="1"/>
  <c r="AF306" i="1" a="1"/>
  <c r="AF306" i="1"/>
  <c r="AF307" i="1" a="1"/>
  <c r="AF307" i="1"/>
  <c r="AF308" i="1" a="1"/>
  <c r="AF308" i="1"/>
  <c r="AF309" i="1" a="1"/>
  <c r="AF309" i="1"/>
  <c r="AF310" i="1" a="1"/>
  <c r="AF310" i="1"/>
  <c r="AF311" i="1" a="1"/>
  <c r="AF311" i="1"/>
  <c r="AF312" i="1" a="1"/>
  <c r="AF312" i="1"/>
  <c r="AF313" i="1" a="1"/>
  <c r="AF313" i="1"/>
  <c r="AF314" i="1" a="1"/>
  <c r="AF314" i="1"/>
  <c r="AF315" i="1" a="1"/>
  <c r="AF315" i="1"/>
  <c r="AF316" i="1" a="1"/>
  <c r="AF316" i="1"/>
  <c r="AF317" i="1" a="1"/>
  <c r="AF317" i="1"/>
  <c r="AF318" i="1" a="1"/>
  <c r="AF318" i="1"/>
  <c r="AF319" i="1" a="1"/>
  <c r="AF319" i="1"/>
  <c r="AF320" i="1" a="1"/>
  <c r="AF320" i="1"/>
  <c r="AF321" i="1" a="1"/>
  <c r="AF321" i="1"/>
  <c r="AF322" i="1" a="1"/>
  <c r="AF322" i="1"/>
  <c r="AF323" i="1" a="1"/>
  <c r="AF323" i="1"/>
  <c r="AF324" i="1" a="1"/>
  <c r="AF324" i="1"/>
  <c r="AF325" i="1" a="1"/>
  <c r="AF325" i="1"/>
  <c r="AF326" i="1" a="1"/>
  <c r="AF326" i="1"/>
  <c r="AF327" i="1" a="1"/>
  <c r="AF327" i="1"/>
  <c r="AF328" i="1" a="1"/>
  <c r="AF328" i="1"/>
  <c r="AF329" i="1" a="1"/>
  <c r="AF329" i="1"/>
  <c r="AF330" i="1" a="1"/>
  <c r="AF330" i="1"/>
  <c r="AF331" i="1" a="1"/>
  <c r="AF331" i="1"/>
  <c r="AF332" i="1" a="1"/>
  <c r="AF332" i="1"/>
  <c r="AF333" i="1" a="1"/>
  <c r="AF333" i="1"/>
  <c r="AF334" i="1" a="1"/>
  <c r="AF334" i="1"/>
  <c r="AF335" i="1" a="1"/>
  <c r="AF335" i="1"/>
  <c r="AF336" i="1" a="1"/>
  <c r="AF336" i="1"/>
  <c r="AF337" i="1" a="1"/>
  <c r="AF337" i="1"/>
  <c r="AF338" i="1" a="1"/>
  <c r="AF338" i="1"/>
  <c r="AF339" i="1" a="1"/>
  <c r="AF339" i="1"/>
  <c r="AF340" i="1" a="1"/>
  <c r="AF340" i="1"/>
  <c r="AF341" i="1" a="1"/>
  <c r="AF341" i="1"/>
  <c r="AF342" i="1" a="1"/>
  <c r="AF342" i="1"/>
  <c r="AF343" i="1" a="1"/>
  <c r="AF343" i="1"/>
  <c r="AF344" i="1" a="1"/>
  <c r="AF344" i="1"/>
  <c r="AF345" i="1" a="1"/>
  <c r="AF345" i="1"/>
  <c r="AF346" i="1" a="1"/>
  <c r="AF346" i="1"/>
  <c r="AF347" i="1" a="1"/>
  <c r="AF347" i="1"/>
  <c r="AF348" i="1" a="1"/>
  <c r="AF348" i="1"/>
  <c r="AF349" i="1" a="1"/>
  <c r="AF349" i="1"/>
  <c r="AF350" i="1" a="1"/>
  <c r="AF350" i="1"/>
  <c r="AF351" i="1" a="1"/>
  <c r="AF351" i="1"/>
  <c r="AF352" i="1" a="1"/>
  <c r="AF352" i="1"/>
  <c r="AF353" i="1" a="1"/>
  <c r="AF353" i="1"/>
  <c r="AF354" i="1" a="1"/>
  <c r="AF354" i="1"/>
  <c r="AF355" i="1" a="1"/>
  <c r="AF355" i="1"/>
  <c r="AF356" i="1" a="1"/>
  <c r="AF356" i="1"/>
  <c r="AF357" i="1" a="1"/>
  <c r="AF357" i="1"/>
  <c r="AF358" i="1" a="1"/>
  <c r="AF358" i="1"/>
  <c r="AF359" i="1" a="1"/>
  <c r="AF359" i="1"/>
  <c r="AF360" i="1" a="1"/>
  <c r="AF360" i="1"/>
  <c r="AF361" i="1" a="1"/>
  <c r="AF361" i="1"/>
  <c r="AF362" i="1" a="1"/>
  <c r="AF362" i="1"/>
  <c r="AF363" i="1" a="1"/>
  <c r="AF363" i="1"/>
  <c r="AF364" i="1" a="1"/>
  <c r="AF364" i="1"/>
  <c r="AF365" i="1" a="1"/>
  <c r="AF365" i="1"/>
  <c r="AF366" i="1" a="1"/>
  <c r="AF366" i="1"/>
  <c r="AF367" i="1" a="1"/>
  <c r="AF367" i="1"/>
  <c r="AF368" i="1" a="1"/>
  <c r="AF368" i="1"/>
  <c r="AF369" i="1" a="1"/>
  <c r="AF369" i="1"/>
  <c r="AF370" i="1" a="1"/>
  <c r="AF370" i="1"/>
  <c r="AF371" i="1" a="1"/>
  <c r="AF371" i="1"/>
  <c r="AF372" i="1" a="1"/>
  <c r="AF372" i="1"/>
  <c r="AF373" i="1" a="1"/>
  <c r="AF373" i="1"/>
  <c r="AF374" i="1" a="1"/>
  <c r="AF374" i="1"/>
  <c r="AF375" i="1" a="1"/>
  <c r="AF375" i="1"/>
  <c r="AE2" i="1" a="1"/>
  <c r="AE2" i="1"/>
  <c r="AE3" i="1" a="1"/>
  <c r="AE3" i="1"/>
  <c r="AE4" i="1" a="1"/>
  <c r="AE4" i="1"/>
  <c r="AE5" i="1" a="1"/>
  <c r="AE5" i="1"/>
  <c r="AE6" i="1" a="1"/>
  <c r="AE6" i="1"/>
  <c r="AE7" i="1" a="1"/>
  <c r="AE7" i="1"/>
  <c r="AE8" i="1" a="1"/>
  <c r="AE8" i="1"/>
  <c r="AE9" i="1" a="1"/>
  <c r="AE9" i="1"/>
  <c r="AE10" i="1" a="1"/>
  <c r="AE10" i="1"/>
  <c r="AE11" i="1" a="1"/>
  <c r="AE11" i="1"/>
  <c r="AE12" i="1" a="1"/>
  <c r="AE12" i="1"/>
  <c r="AE13" i="1" a="1"/>
  <c r="AE13" i="1"/>
  <c r="AE14" i="1" a="1"/>
  <c r="AE14" i="1"/>
  <c r="AE15" i="1" a="1"/>
  <c r="AE15" i="1"/>
  <c r="AE16" i="1" a="1"/>
  <c r="AE16" i="1"/>
  <c r="AE17" i="1" a="1"/>
  <c r="AE17" i="1"/>
  <c r="AE18" i="1" a="1"/>
  <c r="AE18" i="1"/>
  <c r="AE19" i="1" a="1"/>
  <c r="AE19" i="1"/>
  <c r="AE20" i="1" a="1"/>
  <c r="AE20" i="1"/>
  <c r="AE21" i="1" a="1"/>
  <c r="AE21" i="1"/>
  <c r="AE22" i="1" a="1"/>
  <c r="AE22" i="1"/>
  <c r="AE23" i="1" a="1"/>
  <c r="AE23" i="1"/>
  <c r="AE24" i="1" a="1"/>
  <c r="AE24" i="1"/>
  <c r="AE25" i="1" a="1"/>
  <c r="AE25" i="1"/>
  <c r="AE26" i="1" a="1"/>
  <c r="AE26" i="1"/>
  <c r="AE27" i="1" a="1"/>
  <c r="AE27" i="1"/>
  <c r="AE28" i="1" a="1"/>
  <c r="AE28" i="1"/>
  <c r="AE29" i="1" a="1"/>
  <c r="AE29" i="1"/>
  <c r="AE30" i="1" a="1"/>
  <c r="AE30" i="1"/>
  <c r="AE31" i="1" a="1"/>
  <c r="AE31" i="1"/>
  <c r="AE32" i="1" a="1"/>
  <c r="AE32" i="1"/>
  <c r="AE33" i="1" a="1"/>
  <c r="AE33" i="1"/>
  <c r="AE34" i="1" a="1"/>
  <c r="AE34" i="1"/>
  <c r="AE35" i="1" a="1"/>
  <c r="AE35" i="1"/>
  <c r="AE36" i="1" a="1"/>
  <c r="AE36" i="1"/>
  <c r="AE37" i="1" a="1"/>
  <c r="AE37" i="1"/>
  <c r="AE38" i="1" a="1"/>
  <c r="AE38" i="1"/>
  <c r="AE39" i="1" a="1"/>
  <c r="AE39" i="1"/>
  <c r="AE40" i="1" a="1"/>
  <c r="AE40" i="1"/>
  <c r="AE41" i="1" a="1"/>
  <c r="AE41" i="1"/>
  <c r="AE42" i="1" a="1"/>
  <c r="AE42" i="1"/>
  <c r="AE43" i="1" a="1"/>
  <c r="AE43" i="1"/>
  <c r="AE44" i="1" a="1"/>
  <c r="AE44" i="1"/>
  <c r="AE45" i="1" a="1"/>
  <c r="AE45" i="1"/>
  <c r="AE46" i="1" a="1"/>
  <c r="AE46" i="1"/>
  <c r="AE47" i="1" a="1"/>
  <c r="AE47" i="1"/>
  <c r="AE48" i="1" a="1"/>
  <c r="AE48" i="1"/>
  <c r="AE49" i="1" a="1"/>
  <c r="AE49" i="1"/>
  <c r="AE50" i="1" a="1"/>
  <c r="AE50" i="1"/>
  <c r="AE51" i="1" a="1"/>
  <c r="AE51" i="1"/>
  <c r="AE52" i="1" a="1"/>
  <c r="AE52" i="1"/>
  <c r="AE53" i="1" a="1"/>
  <c r="AE53" i="1"/>
  <c r="AE54" i="1" a="1"/>
  <c r="AE54" i="1"/>
  <c r="AE55" i="1" a="1"/>
  <c r="AE55" i="1"/>
  <c r="AE56" i="1" a="1"/>
  <c r="AE56" i="1"/>
  <c r="AE57" i="1" a="1"/>
  <c r="AE57" i="1"/>
  <c r="AE58" i="1" a="1"/>
  <c r="AE58" i="1"/>
  <c r="AE59" i="1" a="1"/>
  <c r="AE59" i="1"/>
  <c r="AE60" i="1" a="1"/>
  <c r="AE60" i="1"/>
  <c r="AE61" i="1" a="1"/>
  <c r="AE61" i="1"/>
  <c r="AE62" i="1" a="1"/>
  <c r="AE62" i="1"/>
  <c r="AE63" i="1" a="1"/>
  <c r="AE63" i="1"/>
  <c r="AE64" i="1" a="1"/>
  <c r="AE64" i="1"/>
  <c r="AE65" i="1" a="1"/>
  <c r="AE65" i="1"/>
  <c r="AE66" i="1" a="1"/>
  <c r="AE66" i="1"/>
  <c r="AE67" i="1" a="1"/>
  <c r="AE67" i="1"/>
  <c r="AE68" i="1" a="1"/>
  <c r="AE68" i="1"/>
  <c r="AE69" i="1" a="1"/>
  <c r="AE69" i="1"/>
  <c r="AE70" i="1" a="1"/>
  <c r="AE70" i="1"/>
  <c r="AE71" i="1" a="1"/>
  <c r="AE71" i="1"/>
  <c r="AE72" i="1" a="1"/>
  <c r="AE72" i="1"/>
  <c r="AE73" i="1" a="1"/>
  <c r="AE73" i="1"/>
  <c r="AE74" i="1" a="1"/>
  <c r="AE74" i="1"/>
  <c r="AE75" i="1" a="1"/>
  <c r="AE75" i="1"/>
  <c r="AE76" i="1" a="1"/>
  <c r="AE76" i="1"/>
  <c r="AE77" i="1" a="1"/>
  <c r="AE77" i="1"/>
  <c r="AE78" i="1" a="1"/>
  <c r="AE78" i="1"/>
  <c r="AE79" i="1" a="1"/>
  <c r="AE79" i="1"/>
  <c r="AE80" i="1" a="1"/>
  <c r="AE80" i="1"/>
  <c r="AE81" i="1" a="1"/>
  <c r="AE81" i="1"/>
  <c r="AE82" i="1" a="1"/>
  <c r="AE82" i="1"/>
  <c r="AE83" i="1" a="1"/>
  <c r="AE83" i="1"/>
  <c r="AE84" i="1" a="1"/>
  <c r="AE84" i="1"/>
  <c r="AE85" i="1" a="1"/>
  <c r="AE85" i="1"/>
  <c r="AE86" i="1" a="1"/>
  <c r="AE86" i="1"/>
  <c r="AE87" i="1" a="1"/>
  <c r="AE87" i="1"/>
  <c r="AE88" i="1" a="1"/>
  <c r="AE88" i="1"/>
  <c r="AE89" i="1" a="1"/>
  <c r="AE89" i="1"/>
  <c r="AE90" i="1" a="1"/>
  <c r="AE90" i="1"/>
  <c r="AE91" i="1" a="1"/>
  <c r="AE91" i="1"/>
  <c r="AE92" i="1" a="1"/>
  <c r="AE92" i="1"/>
  <c r="AE93" i="1" a="1"/>
  <c r="AE93" i="1"/>
  <c r="AE94" i="1" a="1"/>
  <c r="AE94" i="1"/>
  <c r="AE95" i="1" a="1"/>
  <c r="AE95" i="1"/>
  <c r="AE96" i="1" a="1"/>
  <c r="AE96" i="1"/>
  <c r="AE97" i="1" a="1"/>
  <c r="AE97" i="1"/>
  <c r="AE98" i="1" a="1"/>
  <c r="AE98" i="1"/>
  <c r="AE99" i="1" a="1"/>
  <c r="AE99" i="1"/>
  <c r="AE100" i="1" a="1"/>
  <c r="AE100" i="1"/>
  <c r="AE101" i="1" a="1"/>
  <c r="AE101" i="1"/>
  <c r="AE102" i="1" a="1"/>
  <c r="AE102" i="1"/>
  <c r="AE103" i="1" a="1"/>
  <c r="AE103" i="1"/>
  <c r="AE104" i="1" a="1"/>
  <c r="AE104" i="1"/>
  <c r="AE105" i="1" a="1"/>
  <c r="AE105" i="1"/>
  <c r="AE106" i="1" a="1"/>
  <c r="AE106" i="1"/>
  <c r="AE107" i="1" a="1"/>
  <c r="AE107" i="1"/>
  <c r="AE108" i="1" a="1"/>
  <c r="AE108" i="1"/>
  <c r="AE109" i="1" a="1"/>
  <c r="AE109" i="1"/>
  <c r="AE110" i="1" a="1"/>
  <c r="AE110" i="1"/>
  <c r="AE111" i="1" a="1"/>
  <c r="AE111" i="1"/>
  <c r="AE112" i="1" a="1"/>
  <c r="AE112" i="1"/>
  <c r="AE113" i="1" a="1"/>
  <c r="AE113" i="1"/>
  <c r="AE114" i="1" a="1"/>
  <c r="AE114" i="1"/>
  <c r="AE115" i="1" a="1"/>
  <c r="AE115" i="1"/>
  <c r="AE116" i="1" a="1"/>
  <c r="AE116" i="1"/>
  <c r="AE117" i="1" a="1"/>
  <c r="AE117" i="1"/>
  <c r="AE118" i="1" a="1"/>
  <c r="AE118" i="1"/>
  <c r="AE119" i="1" a="1"/>
  <c r="AE119" i="1"/>
  <c r="AE120" i="1" a="1"/>
  <c r="AE120" i="1"/>
  <c r="AE121" i="1" a="1"/>
  <c r="AE121" i="1"/>
  <c r="AE122" i="1" a="1"/>
  <c r="AE122" i="1"/>
  <c r="AE123" i="1" a="1"/>
  <c r="AE123" i="1"/>
  <c r="AE124" i="1" a="1"/>
  <c r="AE124" i="1"/>
  <c r="AE125" i="1" a="1"/>
  <c r="AE125" i="1"/>
  <c r="AE126" i="1" a="1"/>
  <c r="AE126" i="1"/>
  <c r="AE127" i="1" a="1"/>
  <c r="AE127" i="1"/>
  <c r="AE128" i="1" a="1"/>
  <c r="AE128" i="1"/>
  <c r="AE129" i="1" a="1"/>
  <c r="AE129" i="1"/>
  <c r="AE130" i="1" a="1"/>
  <c r="AE130" i="1"/>
  <c r="AE131" i="1" a="1"/>
  <c r="AE131" i="1"/>
  <c r="AE132" i="1" a="1"/>
  <c r="AE132" i="1"/>
  <c r="AE133" i="1" a="1"/>
  <c r="AE133" i="1"/>
  <c r="AE134" i="1" a="1"/>
  <c r="AE134" i="1"/>
  <c r="AE135" i="1" a="1"/>
  <c r="AE135" i="1"/>
  <c r="AE136" i="1" a="1"/>
  <c r="AE136" i="1"/>
  <c r="AE137" i="1" a="1"/>
  <c r="AE137" i="1"/>
  <c r="AE138" i="1" a="1"/>
  <c r="AE138" i="1"/>
  <c r="AE139" i="1" a="1"/>
  <c r="AE139" i="1"/>
  <c r="AE140" i="1" a="1"/>
  <c r="AE140" i="1"/>
  <c r="AE141" i="1" a="1"/>
  <c r="AE141" i="1"/>
  <c r="AE142" i="1" a="1"/>
  <c r="AE142" i="1"/>
  <c r="AE143" i="1" a="1"/>
  <c r="AE143" i="1"/>
  <c r="AE144" i="1" a="1"/>
  <c r="AE144" i="1"/>
  <c r="AE145" i="1" a="1"/>
  <c r="AE145" i="1"/>
  <c r="AE146" i="1" a="1"/>
  <c r="AE146" i="1"/>
  <c r="AE147" i="1" a="1"/>
  <c r="AE147" i="1"/>
  <c r="AE148" i="1" a="1"/>
  <c r="AE148" i="1"/>
  <c r="AE149" i="1" a="1"/>
  <c r="AE149" i="1"/>
  <c r="AE150" i="1" a="1"/>
  <c r="AE150" i="1"/>
  <c r="AE151" i="1" a="1"/>
  <c r="AE151" i="1"/>
  <c r="AE152" i="1" a="1"/>
  <c r="AE152" i="1"/>
  <c r="AE153" i="1" a="1"/>
  <c r="AE153" i="1"/>
  <c r="AE154" i="1" a="1"/>
  <c r="AE154" i="1"/>
  <c r="AE155" i="1" a="1"/>
  <c r="AE155" i="1"/>
  <c r="AE156" i="1" a="1"/>
  <c r="AE156" i="1"/>
  <c r="AE157" i="1" a="1"/>
  <c r="AE157" i="1"/>
  <c r="AE158" i="1" a="1"/>
  <c r="AE158" i="1"/>
  <c r="AE159" i="1" a="1"/>
  <c r="AE159" i="1"/>
  <c r="AE160" i="1" a="1"/>
  <c r="AE160" i="1"/>
  <c r="AE161" i="1" a="1"/>
  <c r="AE161" i="1"/>
  <c r="AE162" i="1" a="1"/>
  <c r="AE162" i="1"/>
  <c r="AE163" i="1" a="1"/>
  <c r="AE163" i="1"/>
  <c r="AE164" i="1" a="1"/>
  <c r="AE164" i="1"/>
  <c r="AE165" i="1" a="1"/>
  <c r="AE165" i="1"/>
  <c r="AE166" i="1" a="1"/>
  <c r="AE166" i="1"/>
  <c r="AE167" i="1" a="1"/>
  <c r="AE167" i="1"/>
  <c r="AE168" i="1" a="1"/>
  <c r="AE168" i="1"/>
  <c r="AE169" i="1" a="1"/>
  <c r="AE169" i="1"/>
  <c r="AE170" i="1" a="1"/>
  <c r="AE170" i="1"/>
  <c r="AE171" i="1" a="1"/>
  <c r="AE171" i="1"/>
  <c r="AE172" i="1" a="1"/>
  <c r="AE172" i="1"/>
  <c r="AE173" i="1" a="1"/>
  <c r="AE173" i="1"/>
  <c r="AE174" i="1" a="1"/>
  <c r="AE174" i="1"/>
  <c r="AE175" i="1" a="1"/>
  <c r="AE175" i="1"/>
  <c r="AE176" i="1" a="1"/>
  <c r="AE176" i="1"/>
  <c r="AE177" i="1" a="1"/>
  <c r="AE177" i="1"/>
  <c r="AE178" i="1" a="1"/>
  <c r="AE178" i="1"/>
  <c r="AE179" i="1" a="1"/>
  <c r="AE179" i="1"/>
  <c r="AE180" i="1" a="1"/>
  <c r="AE180" i="1"/>
  <c r="AE181" i="1" a="1"/>
  <c r="AE181" i="1"/>
  <c r="AE182" i="1" a="1"/>
  <c r="AE182" i="1"/>
  <c r="AE183" i="1" a="1"/>
  <c r="AE183" i="1"/>
  <c r="AE184" i="1" a="1"/>
  <c r="AE184" i="1"/>
  <c r="AE185" i="1" a="1"/>
  <c r="AE185" i="1"/>
  <c r="AE186" i="1" a="1"/>
  <c r="AE186" i="1"/>
  <c r="AE187" i="1" a="1"/>
  <c r="AE187" i="1"/>
  <c r="AE188" i="1" a="1"/>
  <c r="AE188" i="1"/>
  <c r="AE189" i="1" a="1"/>
  <c r="AE189" i="1"/>
  <c r="AE190" i="1" a="1"/>
  <c r="AE190" i="1"/>
  <c r="AE191" i="1" a="1"/>
  <c r="AE191" i="1"/>
  <c r="AE192" i="1" a="1"/>
  <c r="AE192" i="1"/>
  <c r="AE193" i="1" a="1"/>
  <c r="AE193" i="1"/>
  <c r="AE194" i="1" a="1"/>
  <c r="AE194" i="1"/>
  <c r="AE195" i="1" a="1"/>
  <c r="AE195" i="1"/>
  <c r="AE196" i="1" a="1"/>
  <c r="AE196" i="1"/>
  <c r="AE197" i="1" a="1"/>
  <c r="AE197" i="1"/>
  <c r="AE198" i="1" a="1"/>
  <c r="AE198" i="1"/>
  <c r="AE199" i="1" a="1"/>
  <c r="AE199" i="1"/>
  <c r="AE200" i="1" a="1"/>
  <c r="AE200" i="1"/>
  <c r="AE201" i="1" a="1"/>
  <c r="AE201" i="1"/>
  <c r="AE202" i="1" a="1"/>
  <c r="AE202" i="1"/>
  <c r="AE203" i="1" a="1"/>
  <c r="AE203" i="1"/>
  <c r="AE204" i="1" a="1"/>
  <c r="AE204" i="1"/>
  <c r="AE205" i="1" a="1"/>
  <c r="AE205" i="1"/>
  <c r="AE206" i="1" a="1"/>
  <c r="AE206" i="1"/>
  <c r="AE207" i="1" a="1"/>
  <c r="AE207" i="1"/>
  <c r="AE208" i="1" a="1"/>
  <c r="AE208" i="1"/>
  <c r="AE209" i="1" a="1"/>
  <c r="AE209" i="1"/>
  <c r="AE210" i="1" a="1"/>
  <c r="AE210" i="1"/>
  <c r="AE211" i="1" a="1"/>
  <c r="AE211" i="1"/>
  <c r="AE212" i="1" a="1"/>
  <c r="AE212" i="1"/>
  <c r="AE213" i="1" a="1"/>
  <c r="AE213" i="1"/>
  <c r="AE214" i="1" a="1"/>
  <c r="AE214" i="1"/>
  <c r="AE215" i="1" a="1"/>
  <c r="AE215" i="1"/>
  <c r="AE216" i="1" a="1"/>
  <c r="AE216" i="1"/>
  <c r="AE217" i="1" a="1"/>
  <c r="AE217" i="1"/>
  <c r="AE218" i="1" a="1"/>
  <c r="AE218" i="1"/>
  <c r="AE219" i="1" a="1"/>
  <c r="AE219" i="1"/>
  <c r="AE220" i="1" a="1"/>
  <c r="AE220" i="1"/>
  <c r="AE221" i="1" a="1"/>
  <c r="AE221" i="1"/>
  <c r="AE222" i="1" a="1"/>
  <c r="AE222" i="1"/>
  <c r="AE223" i="1" a="1"/>
  <c r="AE223" i="1"/>
  <c r="AE224" i="1" a="1"/>
  <c r="AE224" i="1"/>
  <c r="AE225" i="1" a="1"/>
  <c r="AE225" i="1"/>
  <c r="AE226" i="1" a="1"/>
  <c r="AE226" i="1"/>
  <c r="AE227" i="1" a="1"/>
  <c r="AE227" i="1"/>
  <c r="AE228" i="1" a="1"/>
  <c r="AE228" i="1"/>
  <c r="AE229" i="1" a="1"/>
  <c r="AE229" i="1"/>
  <c r="AE230" i="1" a="1"/>
  <c r="AE230" i="1"/>
  <c r="AE231" i="1" a="1"/>
  <c r="AE231" i="1"/>
  <c r="AE232" i="1" a="1"/>
  <c r="AE232" i="1"/>
  <c r="AE233" i="1" a="1"/>
  <c r="AE233" i="1"/>
  <c r="AE234" i="1" a="1"/>
  <c r="AE234" i="1"/>
  <c r="AE235" i="1" a="1"/>
  <c r="AE235" i="1"/>
  <c r="AE236" i="1" a="1"/>
  <c r="AE236" i="1"/>
  <c r="AE237" i="1" a="1"/>
  <c r="AE237" i="1"/>
  <c r="AE238" i="1" a="1"/>
  <c r="AE238" i="1"/>
  <c r="AE239" i="1" a="1"/>
  <c r="AE239" i="1"/>
  <c r="AE240" i="1" a="1"/>
  <c r="AE240" i="1"/>
  <c r="AE241" i="1" a="1"/>
  <c r="AE241" i="1"/>
  <c r="AE242" i="1" a="1"/>
  <c r="AE242" i="1"/>
  <c r="AE243" i="1" a="1"/>
  <c r="AE243" i="1"/>
  <c r="AE244" i="1" a="1"/>
  <c r="AE244" i="1"/>
  <c r="AE245" i="1" a="1"/>
  <c r="AE245" i="1"/>
  <c r="AE246" i="1" a="1"/>
  <c r="AE246" i="1"/>
  <c r="AE247" i="1" a="1"/>
  <c r="AE247" i="1"/>
  <c r="AE248" i="1" a="1"/>
  <c r="AE248" i="1"/>
  <c r="AE249" i="1" a="1"/>
  <c r="AE249" i="1"/>
  <c r="AE250" i="1" a="1"/>
  <c r="AE250" i="1"/>
  <c r="AE251" i="1" a="1"/>
  <c r="AE251" i="1"/>
  <c r="AE252" i="1" a="1"/>
  <c r="AE252" i="1"/>
  <c r="AE253" i="1" a="1"/>
  <c r="AE253" i="1"/>
  <c r="AE254" i="1" a="1"/>
  <c r="AE254" i="1"/>
  <c r="AE255" i="1" a="1"/>
  <c r="AE255" i="1"/>
  <c r="AE256" i="1" a="1"/>
  <c r="AE256" i="1"/>
  <c r="AE257" i="1" a="1"/>
  <c r="AE257" i="1"/>
  <c r="AE258" i="1" a="1"/>
  <c r="AE258" i="1"/>
  <c r="AE259" i="1" a="1"/>
  <c r="AE259" i="1"/>
  <c r="AE260" i="1" a="1"/>
  <c r="AE260" i="1"/>
  <c r="AE261" i="1" a="1"/>
  <c r="AE261" i="1"/>
  <c r="AE262" i="1" a="1"/>
  <c r="AE262" i="1"/>
  <c r="AE263" i="1" a="1"/>
  <c r="AE263" i="1"/>
  <c r="AE264" i="1" a="1"/>
  <c r="AE264" i="1"/>
  <c r="AE265" i="1" a="1"/>
  <c r="AE265" i="1"/>
  <c r="AE266" i="1" a="1"/>
  <c r="AE266" i="1"/>
  <c r="AE267" i="1" a="1"/>
  <c r="AE267" i="1"/>
  <c r="AE268" i="1" a="1"/>
  <c r="AE268" i="1"/>
  <c r="AE269" i="1" a="1"/>
  <c r="AE269" i="1"/>
  <c r="AE270" i="1" a="1"/>
  <c r="AE270" i="1"/>
  <c r="AE271" i="1" a="1"/>
  <c r="AE271" i="1"/>
  <c r="AE272" i="1" a="1"/>
  <c r="AE272" i="1"/>
  <c r="AE273" i="1" a="1"/>
  <c r="AE273" i="1"/>
  <c r="AE274" i="1" a="1"/>
  <c r="AE274" i="1"/>
  <c r="AE275" i="1" a="1"/>
  <c r="AE275" i="1"/>
  <c r="AE276" i="1" a="1"/>
  <c r="AE276" i="1"/>
  <c r="AE277" i="1" a="1"/>
  <c r="AE277" i="1"/>
  <c r="AE278" i="1" a="1"/>
  <c r="AE278" i="1"/>
  <c r="AE279" i="1" a="1"/>
  <c r="AE279" i="1"/>
  <c r="AE280" i="1" a="1"/>
  <c r="AE280" i="1"/>
  <c r="AE281" i="1" a="1"/>
  <c r="AE281" i="1"/>
  <c r="AE282" i="1" a="1"/>
  <c r="AE282" i="1"/>
  <c r="AE283" i="1" a="1"/>
  <c r="AE283" i="1"/>
  <c r="AE284" i="1" a="1"/>
  <c r="AE284" i="1"/>
  <c r="AE285" i="1" a="1"/>
  <c r="AE285" i="1"/>
  <c r="AE286" i="1" a="1"/>
  <c r="AE286" i="1"/>
  <c r="AE287" i="1" a="1"/>
  <c r="AE287" i="1"/>
  <c r="AE288" i="1" a="1"/>
  <c r="AE288" i="1"/>
  <c r="AE289" i="1" a="1"/>
  <c r="AE289" i="1"/>
  <c r="AE290" i="1" a="1"/>
  <c r="AE290" i="1"/>
  <c r="AE291" i="1" a="1"/>
  <c r="AE291" i="1"/>
  <c r="AE292" i="1" a="1"/>
  <c r="AE292" i="1"/>
  <c r="AE293" i="1" a="1"/>
  <c r="AE293" i="1"/>
  <c r="AE294" i="1" a="1"/>
  <c r="AE294" i="1"/>
  <c r="AE295" i="1" a="1"/>
  <c r="AE295" i="1"/>
  <c r="AE296" i="1" a="1"/>
  <c r="AE296" i="1"/>
  <c r="AE297" i="1" a="1"/>
  <c r="AE297" i="1"/>
  <c r="AE298" i="1" a="1"/>
  <c r="AE298" i="1"/>
  <c r="AE299" i="1" a="1"/>
  <c r="AE299" i="1"/>
  <c r="AE300" i="1" a="1"/>
  <c r="AE300" i="1"/>
  <c r="AE301" i="1" a="1"/>
  <c r="AE301" i="1"/>
  <c r="AE302" i="1" a="1"/>
  <c r="AE302" i="1"/>
  <c r="AE303" i="1" a="1"/>
  <c r="AE303" i="1"/>
  <c r="AE304" i="1" a="1"/>
  <c r="AE304" i="1"/>
  <c r="AE305" i="1" a="1"/>
  <c r="AE305" i="1"/>
  <c r="AE306" i="1" a="1"/>
  <c r="AE306" i="1"/>
  <c r="AE307" i="1" a="1"/>
  <c r="AE307" i="1"/>
  <c r="AE308" i="1" a="1"/>
  <c r="AE308" i="1"/>
  <c r="AE309" i="1" a="1"/>
  <c r="AE309" i="1"/>
  <c r="AE310" i="1" a="1"/>
  <c r="AE310" i="1"/>
  <c r="AE311" i="1" a="1"/>
  <c r="AE311" i="1"/>
  <c r="AE312" i="1" a="1"/>
  <c r="AE312" i="1"/>
  <c r="AE313" i="1" a="1"/>
  <c r="AE313" i="1"/>
  <c r="AE314" i="1" a="1"/>
  <c r="AE314" i="1"/>
  <c r="AE315" i="1" a="1"/>
  <c r="AE315" i="1"/>
  <c r="AE316" i="1" a="1"/>
  <c r="AE316" i="1"/>
  <c r="AE317" i="1" a="1"/>
  <c r="AE317" i="1"/>
  <c r="AE318" i="1" a="1"/>
  <c r="AE318" i="1"/>
  <c r="AE319" i="1" a="1"/>
  <c r="AE319" i="1"/>
  <c r="AE320" i="1" a="1"/>
  <c r="AE320" i="1"/>
  <c r="AE321" i="1" a="1"/>
  <c r="AE321" i="1"/>
  <c r="AE322" i="1" a="1"/>
  <c r="AE322" i="1"/>
  <c r="AE323" i="1" a="1"/>
  <c r="AE323" i="1"/>
  <c r="AE324" i="1" a="1"/>
  <c r="AE324" i="1"/>
  <c r="AE325" i="1" a="1"/>
  <c r="AE325" i="1"/>
  <c r="AE326" i="1" a="1"/>
  <c r="AE326" i="1"/>
  <c r="AE327" i="1" a="1"/>
  <c r="AE327" i="1"/>
  <c r="AE328" i="1" a="1"/>
  <c r="AE328" i="1"/>
  <c r="AE329" i="1" a="1"/>
  <c r="AE329" i="1"/>
  <c r="AE330" i="1" a="1"/>
  <c r="AE330" i="1"/>
  <c r="AE331" i="1" a="1"/>
  <c r="AE331" i="1"/>
  <c r="AE332" i="1" a="1"/>
  <c r="AE332" i="1"/>
  <c r="AE333" i="1" a="1"/>
  <c r="AE333" i="1"/>
  <c r="AE334" i="1" a="1"/>
  <c r="AE334" i="1"/>
  <c r="AE335" i="1" a="1"/>
  <c r="AE335" i="1"/>
  <c r="AE336" i="1" a="1"/>
  <c r="AE336" i="1"/>
  <c r="AE337" i="1" a="1"/>
  <c r="AE337" i="1"/>
  <c r="AE338" i="1" a="1"/>
  <c r="AE338" i="1"/>
  <c r="AE339" i="1" a="1"/>
  <c r="AE339" i="1"/>
  <c r="AE340" i="1" a="1"/>
  <c r="AE340" i="1"/>
  <c r="AE341" i="1" a="1"/>
  <c r="AE341" i="1"/>
  <c r="AE342" i="1" a="1"/>
  <c r="AE342" i="1"/>
  <c r="AE343" i="1" a="1"/>
  <c r="AE343" i="1"/>
  <c r="AE344" i="1" a="1"/>
  <c r="AE344" i="1"/>
  <c r="AE345" i="1" a="1"/>
  <c r="AE345" i="1"/>
  <c r="AE346" i="1" a="1"/>
  <c r="AE346" i="1"/>
  <c r="AE347" i="1" a="1"/>
  <c r="AE347" i="1"/>
  <c r="AE348" i="1" a="1"/>
  <c r="AE348" i="1"/>
  <c r="AE349" i="1" a="1"/>
  <c r="AE349" i="1"/>
  <c r="AE350" i="1" a="1"/>
  <c r="AE350" i="1"/>
  <c r="AE351" i="1" a="1"/>
  <c r="AE351" i="1"/>
  <c r="AE352" i="1" a="1"/>
  <c r="AE352" i="1"/>
  <c r="AE353" i="1" a="1"/>
  <c r="AE353" i="1"/>
  <c r="AE354" i="1" a="1"/>
  <c r="AE354" i="1"/>
  <c r="AE355" i="1" a="1"/>
  <c r="AE355" i="1"/>
  <c r="AE356" i="1" a="1"/>
  <c r="AE356" i="1"/>
  <c r="AE357" i="1" a="1"/>
  <c r="AE357" i="1"/>
  <c r="AE358" i="1" a="1"/>
  <c r="AE358" i="1"/>
  <c r="AE359" i="1" a="1"/>
  <c r="AE359" i="1"/>
  <c r="AE360" i="1" a="1"/>
  <c r="AE360" i="1"/>
  <c r="AE361" i="1" a="1"/>
  <c r="AE361" i="1"/>
  <c r="AE362" i="1" a="1"/>
  <c r="AE362" i="1"/>
  <c r="AE363" i="1" a="1"/>
  <c r="AE363" i="1"/>
  <c r="AE364" i="1" a="1"/>
  <c r="AE364" i="1"/>
  <c r="AE365" i="1" a="1"/>
  <c r="AE365" i="1"/>
  <c r="AE366" i="1" a="1"/>
  <c r="AE366" i="1"/>
  <c r="AE367" i="1" a="1"/>
  <c r="AE367" i="1"/>
  <c r="AE368" i="1" a="1"/>
  <c r="AE368" i="1"/>
  <c r="AE369" i="1" a="1"/>
  <c r="AE369" i="1"/>
  <c r="AE370" i="1" a="1"/>
  <c r="AE370" i="1"/>
  <c r="AE371" i="1" a="1"/>
  <c r="AE371" i="1"/>
  <c r="AE372" i="1" a="1"/>
  <c r="AE372" i="1"/>
  <c r="AE373" i="1" a="1"/>
  <c r="AE373" i="1"/>
  <c r="AE374" i="1" a="1"/>
  <c r="AE374" i="1"/>
  <c r="AE375" i="1" a="1"/>
  <c r="AE375" i="1"/>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O2" i="6" a="1"/>
  <c r="O2" i="6"/>
  <c r="O3" i="6" a="1"/>
  <c r="O3" i="6"/>
  <c r="O4" i="6" a="1"/>
  <c r="O4" i="6"/>
  <c r="O5" i="6" a="1"/>
  <c r="O5" i="6"/>
  <c r="O6" i="6" a="1"/>
  <c r="O6" i="6"/>
  <c r="O7" i="6" a="1"/>
  <c r="O7" i="6"/>
  <c r="O8" i="6" a="1"/>
  <c r="O8" i="6"/>
  <c r="O9" i="6" a="1"/>
  <c r="O9" i="6"/>
  <c r="O10" i="6" a="1"/>
  <c r="O10" i="6"/>
  <c r="O11" i="6" a="1"/>
  <c r="O11" i="6"/>
  <c r="O12" i="6" a="1"/>
  <c r="O12" i="6"/>
  <c r="O13" i="6" a="1"/>
  <c r="O13" i="6"/>
  <c r="O14" i="6" a="1"/>
  <c r="O14" i="6"/>
  <c r="O15" i="6" a="1"/>
  <c r="O15" i="6"/>
  <c r="O16" i="6" a="1"/>
  <c r="O16" i="6"/>
  <c r="O17" i="6" a="1"/>
  <c r="O17" i="6"/>
  <c r="O18" i="6" a="1"/>
  <c r="O18" i="6"/>
  <c r="O19" i="6" a="1"/>
  <c r="O19" i="6"/>
  <c r="O20" i="6" a="1"/>
  <c r="O20" i="6"/>
  <c r="O21" i="6" a="1"/>
  <c r="O21" i="6"/>
  <c r="O22" i="6" a="1"/>
  <c r="O22" i="6"/>
  <c r="O23" i="6" a="1"/>
  <c r="O23" i="6"/>
  <c r="O24" i="6" a="1"/>
  <c r="O24" i="6"/>
  <c r="O25" i="6" a="1"/>
  <c r="O25" i="6"/>
  <c r="O26" i="6" a="1"/>
  <c r="O26" i="6"/>
  <c r="O27" i="6" a="1"/>
  <c r="O27" i="6"/>
  <c r="O28" i="6" a="1"/>
  <c r="O28" i="6"/>
  <c r="O29" i="6" a="1"/>
  <c r="O29" i="6"/>
  <c r="O30" i="6" a="1"/>
  <c r="O30" i="6"/>
  <c r="O31" i="6" a="1"/>
  <c r="O31" i="6"/>
  <c r="O32" i="6" a="1"/>
  <c r="O32" i="6"/>
  <c r="O33" i="6" a="1"/>
  <c r="O33" i="6"/>
  <c r="O34" i="6" a="1"/>
  <c r="O34" i="6"/>
  <c r="O35" i="6" a="1"/>
  <c r="O35" i="6"/>
  <c r="O36" i="6" a="1"/>
  <c r="O36" i="6"/>
  <c r="O37" i="6" a="1"/>
  <c r="O37" i="6"/>
  <c r="O38" i="6" a="1"/>
  <c r="O38" i="6"/>
  <c r="O39" i="6" a="1"/>
  <c r="O39" i="6"/>
  <c r="O40" i="6" a="1"/>
  <c r="O40" i="6"/>
  <c r="O41" i="6" a="1"/>
  <c r="O41" i="6"/>
  <c r="O42" i="6" a="1"/>
  <c r="O42" i="6"/>
  <c r="O43" i="6" a="1"/>
  <c r="O43" i="6"/>
  <c r="O44" i="6" a="1"/>
  <c r="O44" i="6"/>
  <c r="O45" i="6" a="1"/>
  <c r="O45" i="6"/>
  <c r="O46" i="6" a="1"/>
  <c r="O46" i="6"/>
  <c r="O47" i="6" a="1"/>
  <c r="O47" i="6"/>
  <c r="O48" i="6" a="1"/>
  <c r="O48" i="6"/>
  <c r="O49" i="6" a="1"/>
  <c r="O49" i="6"/>
  <c r="O50" i="6" a="1"/>
  <c r="O50" i="6"/>
  <c r="O51" i="6" a="1"/>
  <c r="O51" i="6"/>
  <c r="O52" i="6" a="1"/>
  <c r="O52" i="6"/>
  <c r="O53" i="6" a="1"/>
  <c r="O53" i="6"/>
  <c r="O54" i="6" a="1"/>
  <c r="O54" i="6"/>
  <c r="O55" i="6" a="1"/>
  <c r="O55" i="6"/>
  <c r="O56" i="6" a="1"/>
  <c r="O56" i="6"/>
  <c r="O57" i="6" a="1"/>
  <c r="O57" i="6"/>
  <c r="O58" i="6" a="1"/>
  <c r="O58" i="6"/>
  <c r="O59" i="6" a="1"/>
  <c r="O59" i="6"/>
  <c r="O60" i="6" a="1"/>
  <c r="O60" i="6"/>
  <c r="O61" i="6" a="1"/>
  <c r="O61" i="6"/>
  <c r="O62" i="6" a="1"/>
  <c r="O62" i="6"/>
  <c r="O63" i="6" a="1"/>
  <c r="O63" i="6"/>
  <c r="O64" i="6" a="1"/>
  <c r="O64" i="6"/>
  <c r="O65" i="6" a="1"/>
  <c r="O65" i="6"/>
  <c r="O66" i="6" a="1"/>
  <c r="O66" i="6"/>
  <c r="O67" i="6" a="1"/>
  <c r="O67" i="6"/>
  <c r="O68" i="6" a="1"/>
  <c r="O68" i="6"/>
  <c r="O69" i="6" a="1"/>
  <c r="O69" i="6"/>
  <c r="O70" i="6" a="1"/>
  <c r="O70" i="6"/>
  <c r="O71" i="6" a="1"/>
  <c r="O71" i="6"/>
  <c r="O72" i="6" a="1"/>
  <c r="O72" i="6"/>
  <c r="O73" i="6" a="1"/>
  <c r="O73" i="6"/>
  <c r="O74" i="6" a="1"/>
  <c r="O74" i="6"/>
  <c r="O75" i="6" a="1"/>
  <c r="O75" i="6"/>
  <c r="O76" i="6" a="1"/>
  <c r="O76" i="6"/>
  <c r="O77" i="6" a="1"/>
  <c r="O77" i="6"/>
  <c r="O78" i="6" a="1"/>
  <c r="O78" i="6"/>
  <c r="O79" i="6" a="1"/>
  <c r="O79" i="6"/>
  <c r="O80" i="6" a="1"/>
  <c r="O80" i="6"/>
  <c r="O81" i="6" a="1"/>
  <c r="O81" i="6"/>
  <c r="O82" i="6" a="1"/>
  <c r="O82" i="6"/>
  <c r="O83" i="6" a="1"/>
  <c r="O83" i="6"/>
  <c r="O84" i="6" a="1"/>
  <c r="O84" i="6"/>
  <c r="O85" i="6" a="1"/>
  <c r="O85" i="6"/>
  <c r="O86" i="6" a="1"/>
  <c r="O86" i="6"/>
  <c r="O87" i="6" a="1"/>
  <c r="O87" i="6"/>
  <c r="O88" i="6" a="1"/>
  <c r="O88" i="6"/>
  <c r="O89" i="6" a="1"/>
  <c r="O89" i="6"/>
  <c r="O90" i="6" a="1"/>
  <c r="O90" i="6"/>
  <c r="O91" i="6" a="1"/>
  <c r="O91" i="6"/>
  <c r="O92" i="6" a="1"/>
  <c r="O92" i="6"/>
  <c r="O93" i="6" a="1"/>
  <c r="O93" i="6"/>
  <c r="O94" i="6" a="1"/>
  <c r="O94" i="6"/>
  <c r="O95" i="6" a="1"/>
  <c r="O95" i="6"/>
  <c r="O96" i="6" a="1"/>
  <c r="O96" i="6"/>
  <c r="O97" i="6" a="1"/>
  <c r="O97" i="6"/>
  <c r="O98" i="6" a="1"/>
  <c r="O98" i="6"/>
  <c r="O99" i="6" a="1"/>
  <c r="O99" i="6"/>
  <c r="O100" i="6" a="1"/>
  <c r="O100" i="6"/>
  <c r="O101" i="6" a="1"/>
  <c r="O101" i="6"/>
  <c r="O102" i="6" a="1"/>
  <c r="O102" i="6"/>
  <c r="O103" i="6" a="1"/>
  <c r="O103" i="6"/>
  <c r="O104" i="6" a="1"/>
  <c r="O104" i="6"/>
  <c r="O105" i="6" a="1"/>
  <c r="O105" i="6"/>
  <c r="O106" i="6" a="1"/>
  <c r="O106" i="6"/>
  <c r="O107" i="6" a="1"/>
  <c r="O107" i="6"/>
  <c r="O108" i="6" a="1"/>
  <c r="O108" i="6"/>
  <c r="O109" i="6" a="1"/>
  <c r="O109" i="6"/>
  <c r="O110" i="6" a="1"/>
  <c r="O110" i="6"/>
  <c r="O111" i="6" a="1"/>
  <c r="O111" i="6"/>
  <c r="O112" i="6" a="1"/>
  <c r="O112" i="6"/>
  <c r="O113" i="6" a="1"/>
  <c r="O113" i="6"/>
  <c r="O114" i="6" a="1"/>
  <c r="O114" i="6"/>
  <c r="O115" i="6" a="1"/>
  <c r="O115" i="6"/>
  <c r="O116" i="6" a="1"/>
  <c r="O116" i="6"/>
  <c r="O117" i="6" a="1"/>
  <c r="O117" i="6"/>
  <c r="O118" i="6" a="1"/>
  <c r="O118" i="6"/>
  <c r="O119" i="6" a="1"/>
  <c r="O119" i="6"/>
  <c r="O120" i="6" a="1"/>
  <c r="O120" i="6"/>
  <c r="O121" i="6" a="1"/>
  <c r="O121" i="6"/>
  <c r="O122" i="6" a="1"/>
  <c r="O122" i="6"/>
  <c r="O123" i="6" a="1"/>
  <c r="O123" i="6"/>
  <c r="O124" i="6" a="1"/>
  <c r="O124" i="6"/>
  <c r="O125" i="6" a="1"/>
  <c r="O125" i="6"/>
  <c r="O126" i="6" a="1"/>
  <c r="O126" i="6"/>
  <c r="O127" i="6" a="1"/>
  <c r="O127" i="6"/>
  <c r="O128" i="6" a="1"/>
  <c r="O128" i="6"/>
  <c r="O129" i="6" a="1"/>
  <c r="O129" i="6"/>
  <c r="O130" i="6" a="1"/>
  <c r="O130" i="6"/>
  <c r="O131" i="6" a="1"/>
  <c r="O131" i="6"/>
  <c r="O132" i="6" a="1"/>
  <c r="O132" i="6"/>
  <c r="O133" i="6" a="1"/>
  <c r="O133" i="6"/>
  <c r="O134" i="6" a="1"/>
  <c r="O134" i="6"/>
  <c r="O135" i="6" a="1"/>
  <c r="O135" i="6"/>
  <c r="O136" i="6" a="1"/>
  <c r="O136" i="6"/>
  <c r="O137" i="6" a="1"/>
  <c r="O137" i="6"/>
  <c r="O138" i="6" a="1"/>
  <c r="O138" i="6"/>
  <c r="O139" i="6" a="1"/>
  <c r="O139" i="6"/>
  <c r="O140" i="6" a="1"/>
  <c r="O140" i="6"/>
  <c r="O141" i="6" a="1"/>
  <c r="O141" i="6"/>
  <c r="O142" i="6" a="1"/>
  <c r="O142" i="6"/>
  <c r="O143" i="6" a="1"/>
  <c r="O143" i="6"/>
  <c r="O144" i="6" a="1"/>
  <c r="O144" i="6"/>
  <c r="O145" i="6" a="1"/>
  <c r="O145" i="6"/>
  <c r="O146" i="6" a="1"/>
  <c r="O146" i="6"/>
  <c r="O147" i="6" a="1"/>
  <c r="O147" i="6"/>
  <c r="O148" i="6" a="1"/>
  <c r="O148" i="6"/>
  <c r="O149" i="6" a="1"/>
  <c r="O149" i="6"/>
  <c r="O150" i="6" a="1"/>
  <c r="O150" i="6"/>
  <c r="O151" i="6" a="1"/>
  <c r="O151" i="6"/>
  <c r="O152" i="6" a="1"/>
  <c r="O152" i="6"/>
  <c r="O153" i="6" a="1"/>
  <c r="O153" i="6"/>
  <c r="O154" i="6" a="1"/>
  <c r="O154" i="6"/>
  <c r="O155" i="6" a="1"/>
  <c r="O155" i="6"/>
  <c r="O156" i="6" a="1"/>
  <c r="O156" i="6"/>
  <c r="O157" i="6" a="1"/>
  <c r="O157" i="6"/>
  <c r="O158" i="6" a="1"/>
  <c r="O158" i="6"/>
  <c r="O159" i="6" a="1"/>
  <c r="O159" i="6"/>
  <c r="O160" i="6" a="1"/>
  <c r="O160" i="6"/>
  <c r="O161" i="6" a="1"/>
  <c r="O161" i="6"/>
  <c r="O162" i="6" a="1"/>
  <c r="O162" i="6"/>
  <c r="O163" i="6" a="1"/>
  <c r="O163" i="6"/>
  <c r="O164" i="6" a="1"/>
  <c r="O164" i="6"/>
  <c r="O165" i="6" a="1"/>
  <c r="O165" i="6"/>
  <c r="O166" i="6" a="1"/>
  <c r="O166" i="6"/>
  <c r="O167" i="6" a="1"/>
  <c r="O167" i="6"/>
  <c r="O168" i="6" a="1"/>
  <c r="O168" i="6"/>
  <c r="O169" i="6" a="1"/>
  <c r="O169" i="6"/>
  <c r="O170" i="6" a="1"/>
  <c r="O170" i="6"/>
  <c r="O171" i="6" a="1"/>
  <c r="O171" i="6"/>
  <c r="O172" i="6" a="1"/>
  <c r="O172" i="6"/>
  <c r="O173" i="6" a="1"/>
  <c r="O173" i="6"/>
  <c r="O174" i="6" a="1"/>
  <c r="O174" i="6"/>
  <c r="O175" i="6" a="1"/>
  <c r="O175" i="6"/>
  <c r="N2" i="6" a="1"/>
  <c r="N2" i="6"/>
  <c r="N3" i="6" a="1"/>
  <c r="N3" i="6"/>
  <c r="N4" i="6" a="1"/>
  <c r="N4" i="6"/>
  <c r="N5" i="6" a="1"/>
  <c r="N5" i="6"/>
  <c r="N6" i="6" a="1"/>
  <c r="N6" i="6"/>
  <c r="N7" i="6" a="1"/>
  <c r="N7" i="6"/>
  <c r="N8" i="6" a="1"/>
  <c r="N8" i="6"/>
  <c r="N9" i="6" a="1"/>
  <c r="N9" i="6"/>
  <c r="N10" i="6" a="1"/>
  <c r="N10" i="6"/>
  <c r="N11" i="6" a="1"/>
  <c r="N11" i="6"/>
  <c r="N12" i="6" a="1"/>
  <c r="N12" i="6"/>
  <c r="N13" i="6" a="1"/>
  <c r="N13" i="6"/>
  <c r="N14" i="6" a="1"/>
  <c r="N14" i="6"/>
  <c r="N15" i="6" a="1"/>
  <c r="N15" i="6"/>
  <c r="N16" i="6" a="1"/>
  <c r="N16" i="6"/>
  <c r="N17" i="6" a="1"/>
  <c r="N17" i="6"/>
  <c r="N18" i="6" a="1"/>
  <c r="N18" i="6"/>
  <c r="N19" i="6" a="1"/>
  <c r="N19" i="6"/>
  <c r="N20" i="6" a="1"/>
  <c r="N20" i="6"/>
  <c r="N21" i="6" a="1"/>
  <c r="N21" i="6"/>
  <c r="N22" i="6" a="1"/>
  <c r="N22" i="6"/>
  <c r="N23" i="6" a="1"/>
  <c r="N23" i="6"/>
  <c r="N24" i="6" a="1"/>
  <c r="N24" i="6"/>
  <c r="N25" i="6" a="1"/>
  <c r="N25" i="6"/>
  <c r="N26" i="6" a="1"/>
  <c r="N26" i="6"/>
  <c r="N27" i="6" a="1"/>
  <c r="N27" i="6"/>
  <c r="N28" i="6" a="1"/>
  <c r="N28" i="6"/>
  <c r="N29" i="6" a="1"/>
  <c r="N29" i="6"/>
  <c r="N30" i="6" a="1"/>
  <c r="N30" i="6"/>
  <c r="N31" i="6" a="1"/>
  <c r="N31" i="6"/>
  <c r="N32" i="6" a="1"/>
  <c r="N32" i="6"/>
  <c r="N33" i="6" a="1"/>
  <c r="N33" i="6"/>
  <c r="N34" i="6" a="1"/>
  <c r="N34" i="6"/>
  <c r="N35" i="6" a="1"/>
  <c r="N35" i="6"/>
  <c r="N36" i="6" a="1"/>
  <c r="N36" i="6"/>
  <c r="N37" i="6" a="1"/>
  <c r="N37" i="6"/>
  <c r="N38" i="6" a="1"/>
  <c r="N38" i="6"/>
  <c r="N39" i="6" a="1"/>
  <c r="N39" i="6"/>
  <c r="N40" i="6" a="1"/>
  <c r="N40" i="6"/>
  <c r="N41" i="6" a="1"/>
  <c r="N41" i="6"/>
  <c r="N42" i="6" a="1"/>
  <c r="N42" i="6"/>
  <c r="N43" i="6" a="1"/>
  <c r="N43" i="6"/>
  <c r="N44" i="6" a="1"/>
  <c r="N44" i="6"/>
  <c r="N45" i="6" a="1"/>
  <c r="N45" i="6"/>
  <c r="N46" i="6" a="1"/>
  <c r="N46" i="6"/>
  <c r="N47" i="6" a="1"/>
  <c r="N47" i="6"/>
  <c r="N48" i="6" a="1"/>
  <c r="N48" i="6"/>
  <c r="N49" i="6" a="1"/>
  <c r="N49" i="6"/>
  <c r="N50" i="6" a="1"/>
  <c r="N50" i="6"/>
  <c r="N51" i="6" a="1"/>
  <c r="N51" i="6"/>
  <c r="N52" i="6" a="1"/>
  <c r="N52" i="6"/>
  <c r="N53" i="6" a="1"/>
  <c r="N53" i="6"/>
  <c r="N54" i="6" a="1"/>
  <c r="N54" i="6"/>
  <c r="N55" i="6" a="1"/>
  <c r="N55" i="6"/>
  <c r="N56" i="6" a="1"/>
  <c r="N56" i="6"/>
  <c r="N57" i="6" a="1"/>
  <c r="N57" i="6"/>
  <c r="N58" i="6" a="1"/>
  <c r="N58" i="6"/>
  <c r="N59" i="6" a="1"/>
  <c r="N59" i="6"/>
  <c r="N60" i="6" a="1"/>
  <c r="N60" i="6"/>
  <c r="N61" i="6" a="1"/>
  <c r="N61" i="6"/>
  <c r="N62" i="6" a="1"/>
  <c r="N62" i="6"/>
  <c r="N63" i="6" a="1"/>
  <c r="N63" i="6"/>
  <c r="N64" i="6" a="1"/>
  <c r="N64" i="6"/>
  <c r="N65" i="6" a="1"/>
  <c r="N65" i="6"/>
  <c r="N66" i="6" a="1"/>
  <c r="N66" i="6"/>
  <c r="N67" i="6" a="1"/>
  <c r="N67" i="6"/>
  <c r="N68" i="6" a="1"/>
  <c r="N68" i="6"/>
  <c r="N69" i="6" a="1"/>
  <c r="N69" i="6"/>
  <c r="N70" i="6" a="1"/>
  <c r="N70" i="6"/>
  <c r="N71" i="6" a="1"/>
  <c r="N71" i="6"/>
  <c r="N72" i="6" a="1"/>
  <c r="N72" i="6"/>
  <c r="N73" i="6" a="1"/>
  <c r="N73" i="6"/>
  <c r="N74" i="6" a="1"/>
  <c r="N74" i="6"/>
  <c r="N75" i="6" a="1"/>
  <c r="N75" i="6"/>
  <c r="N76" i="6" a="1"/>
  <c r="N76" i="6"/>
  <c r="N77" i="6" a="1"/>
  <c r="N77" i="6"/>
  <c r="N78" i="6" a="1"/>
  <c r="N78" i="6"/>
  <c r="N79" i="6" a="1"/>
  <c r="N79" i="6"/>
  <c r="N80" i="6" a="1"/>
  <c r="N80" i="6"/>
  <c r="N81" i="6" a="1"/>
  <c r="N81" i="6"/>
  <c r="N82" i="6" a="1"/>
  <c r="N82" i="6"/>
  <c r="N83" i="6" a="1"/>
  <c r="N83" i="6"/>
  <c r="N84" i="6" a="1"/>
  <c r="N84" i="6"/>
  <c r="N85" i="6" a="1"/>
  <c r="N85" i="6"/>
  <c r="N86" i="6" a="1"/>
  <c r="N86" i="6"/>
  <c r="N87" i="6" a="1"/>
  <c r="N87" i="6"/>
  <c r="N88" i="6" a="1"/>
  <c r="N88" i="6"/>
  <c r="N89" i="6" a="1"/>
  <c r="N89" i="6"/>
  <c r="N90" i="6" a="1"/>
  <c r="N90" i="6"/>
  <c r="N91" i="6" a="1"/>
  <c r="N91" i="6"/>
  <c r="N92" i="6" a="1"/>
  <c r="N92" i="6"/>
  <c r="N93" i="6" a="1"/>
  <c r="N93" i="6"/>
  <c r="N94" i="6" a="1"/>
  <c r="N94" i="6"/>
  <c r="N95" i="6" a="1"/>
  <c r="N95" i="6"/>
  <c r="N96" i="6" a="1"/>
  <c r="N96" i="6"/>
  <c r="N97" i="6" a="1"/>
  <c r="N97" i="6"/>
  <c r="N98" i="6" a="1"/>
  <c r="N98" i="6"/>
  <c r="N99" i="6" a="1"/>
  <c r="N99" i="6"/>
  <c r="N100" i="6" a="1"/>
  <c r="N100" i="6"/>
  <c r="N101" i="6" a="1"/>
  <c r="N101" i="6"/>
  <c r="N102" i="6" a="1"/>
  <c r="N102" i="6"/>
  <c r="N103" i="6" a="1"/>
  <c r="N103" i="6"/>
  <c r="N104" i="6" a="1"/>
  <c r="N104" i="6"/>
  <c r="N105" i="6" a="1"/>
  <c r="N105" i="6"/>
  <c r="N106" i="6" a="1"/>
  <c r="N106" i="6"/>
  <c r="N107" i="6" a="1"/>
  <c r="N107" i="6"/>
  <c r="N108" i="6" a="1"/>
  <c r="N108" i="6"/>
  <c r="N109" i="6" a="1"/>
  <c r="N109" i="6"/>
  <c r="N110" i="6" a="1"/>
  <c r="N110" i="6"/>
  <c r="N111" i="6" a="1"/>
  <c r="N111" i="6"/>
  <c r="N112" i="6" a="1"/>
  <c r="N112" i="6"/>
  <c r="N113" i="6" a="1"/>
  <c r="N113" i="6"/>
  <c r="N114" i="6" a="1"/>
  <c r="N114" i="6"/>
  <c r="N115" i="6" a="1"/>
  <c r="N115" i="6"/>
  <c r="N116" i="6" a="1"/>
  <c r="N116" i="6"/>
  <c r="N117" i="6" a="1"/>
  <c r="N117" i="6"/>
  <c r="N118" i="6" a="1"/>
  <c r="N118" i="6"/>
  <c r="N119" i="6" a="1"/>
  <c r="N119" i="6"/>
  <c r="N120" i="6" a="1"/>
  <c r="N120" i="6"/>
  <c r="N121" i="6" a="1"/>
  <c r="N121" i="6"/>
  <c r="N122" i="6" a="1"/>
  <c r="N122" i="6"/>
  <c r="N123" i="6" a="1"/>
  <c r="N123" i="6"/>
  <c r="N124" i="6" a="1"/>
  <c r="N124" i="6"/>
  <c r="N125" i="6" a="1"/>
  <c r="N125" i="6"/>
  <c r="N126" i="6" a="1"/>
  <c r="N126" i="6"/>
  <c r="N127" i="6" a="1"/>
  <c r="N127" i="6"/>
  <c r="N128" i="6" a="1"/>
  <c r="N128" i="6"/>
  <c r="N129" i="6" a="1"/>
  <c r="N129" i="6"/>
  <c r="N130" i="6" a="1"/>
  <c r="N130" i="6"/>
  <c r="N131" i="6" a="1"/>
  <c r="N131" i="6"/>
  <c r="N132" i="6" a="1"/>
  <c r="N132" i="6"/>
  <c r="N133" i="6" a="1"/>
  <c r="N133" i="6"/>
  <c r="N134" i="6" a="1"/>
  <c r="N134" i="6"/>
  <c r="N135" i="6" a="1"/>
  <c r="N135" i="6"/>
  <c r="N136" i="6" a="1"/>
  <c r="N136" i="6"/>
  <c r="N137" i="6" a="1"/>
  <c r="N137" i="6"/>
  <c r="N138" i="6" a="1"/>
  <c r="N138" i="6"/>
  <c r="N139" i="6" a="1"/>
  <c r="N139" i="6"/>
  <c r="N140" i="6" a="1"/>
  <c r="N140" i="6"/>
  <c r="N141" i="6" a="1"/>
  <c r="N141" i="6"/>
  <c r="N142" i="6" a="1"/>
  <c r="N142" i="6"/>
  <c r="N143" i="6" a="1"/>
  <c r="N143" i="6"/>
  <c r="N144" i="6" a="1"/>
  <c r="N144" i="6"/>
  <c r="N145" i="6" a="1"/>
  <c r="N145" i="6"/>
  <c r="N146" i="6" a="1"/>
  <c r="N146" i="6"/>
  <c r="N147" i="6" a="1"/>
  <c r="N147" i="6"/>
  <c r="N148" i="6" a="1"/>
  <c r="N148" i="6"/>
  <c r="N149" i="6" a="1"/>
  <c r="N149" i="6"/>
  <c r="N150" i="6" a="1"/>
  <c r="N150" i="6"/>
  <c r="N151" i="6" a="1"/>
  <c r="N151" i="6"/>
  <c r="N152" i="6" a="1"/>
  <c r="N152" i="6"/>
  <c r="N153" i="6" a="1"/>
  <c r="N153" i="6"/>
  <c r="N154" i="6" a="1"/>
  <c r="N154" i="6"/>
  <c r="N155" i="6" a="1"/>
  <c r="N155" i="6"/>
  <c r="N156" i="6" a="1"/>
  <c r="N156" i="6"/>
  <c r="N157" i="6" a="1"/>
  <c r="N157" i="6"/>
  <c r="N158" i="6" a="1"/>
  <c r="N158" i="6"/>
  <c r="N159" i="6" a="1"/>
  <c r="N159" i="6"/>
  <c r="N160" i="6" a="1"/>
  <c r="N160" i="6"/>
  <c r="N161" i="6" a="1"/>
  <c r="N161" i="6"/>
  <c r="N162" i="6" a="1"/>
  <c r="N162" i="6"/>
  <c r="N163" i="6" a="1"/>
  <c r="N163" i="6"/>
  <c r="N164" i="6" a="1"/>
  <c r="N164" i="6"/>
  <c r="N165" i="6" a="1"/>
  <c r="N165" i="6"/>
  <c r="N166" i="6" a="1"/>
  <c r="N166" i="6"/>
  <c r="N167" i="6" a="1"/>
  <c r="N167" i="6"/>
  <c r="N168" i="6" a="1"/>
  <c r="N168" i="6"/>
  <c r="N169" i="6" a="1"/>
  <c r="N169" i="6"/>
  <c r="N170" i="6" a="1"/>
  <c r="N170" i="6"/>
  <c r="N171" i="6" a="1"/>
  <c r="N171" i="6"/>
  <c r="N172" i="6" a="1"/>
  <c r="N172" i="6"/>
  <c r="N173" i="6" a="1"/>
  <c r="N173" i="6"/>
  <c r="N174" i="6" a="1"/>
  <c r="N174" i="6"/>
  <c r="N175" i="6" a="1"/>
  <c r="N175" i="6"/>
  <c r="M2" i="6" a="1"/>
  <c r="M2" i="6"/>
  <c r="M3" i="6" a="1"/>
  <c r="M3" i="6"/>
  <c r="M4" i="6" a="1"/>
  <c r="M4" i="6"/>
  <c r="M5" i="6" a="1"/>
  <c r="M5" i="6"/>
  <c r="M6" i="6" a="1"/>
  <c r="M6" i="6"/>
  <c r="M7" i="6" a="1"/>
  <c r="M7" i="6"/>
  <c r="M8" i="6" a="1"/>
  <c r="M8" i="6"/>
  <c r="M9" i="6" a="1"/>
  <c r="M9" i="6"/>
  <c r="M10" i="6" a="1"/>
  <c r="M10" i="6"/>
  <c r="M11" i="6" a="1"/>
  <c r="M11" i="6"/>
  <c r="M12" i="6" a="1"/>
  <c r="M12" i="6"/>
  <c r="M13" i="6" a="1"/>
  <c r="M13" i="6"/>
  <c r="M14" i="6" a="1"/>
  <c r="M14" i="6"/>
  <c r="M15" i="6" a="1"/>
  <c r="M15" i="6"/>
  <c r="M16" i="6" a="1"/>
  <c r="M16" i="6"/>
  <c r="M17" i="6" a="1"/>
  <c r="M17" i="6"/>
  <c r="M18" i="6" a="1"/>
  <c r="M18" i="6"/>
  <c r="M19" i="6" a="1"/>
  <c r="M19" i="6"/>
  <c r="M20" i="6" a="1"/>
  <c r="M20" i="6"/>
  <c r="M21" i="6" a="1"/>
  <c r="M21" i="6"/>
  <c r="M22" i="6" a="1"/>
  <c r="M22" i="6"/>
  <c r="M23" i="6" a="1"/>
  <c r="M23" i="6"/>
  <c r="M24" i="6" a="1"/>
  <c r="M24" i="6"/>
  <c r="M25" i="6" a="1"/>
  <c r="M25" i="6"/>
  <c r="M26" i="6" a="1"/>
  <c r="M26" i="6"/>
  <c r="M27" i="6" a="1"/>
  <c r="M27" i="6"/>
  <c r="M28" i="6" a="1"/>
  <c r="M28" i="6"/>
  <c r="M29" i="6" a="1"/>
  <c r="M29" i="6"/>
  <c r="M30" i="6" a="1"/>
  <c r="M30" i="6"/>
  <c r="M31" i="6" a="1"/>
  <c r="M31" i="6"/>
  <c r="M32" i="6" a="1"/>
  <c r="M32" i="6"/>
  <c r="M33" i="6" a="1"/>
  <c r="M33" i="6"/>
  <c r="M34" i="6" a="1"/>
  <c r="M34" i="6"/>
  <c r="M35" i="6" a="1"/>
  <c r="M35" i="6"/>
  <c r="M36" i="6" a="1"/>
  <c r="M36" i="6"/>
  <c r="M37" i="6" a="1"/>
  <c r="M37" i="6"/>
  <c r="M38" i="6" a="1"/>
  <c r="M38" i="6"/>
  <c r="M39" i="6" a="1"/>
  <c r="M39" i="6"/>
  <c r="M40" i="6" a="1"/>
  <c r="M40" i="6"/>
  <c r="M41" i="6" a="1"/>
  <c r="M41" i="6"/>
  <c r="M42" i="6" a="1"/>
  <c r="M42" i="6"/>
  <c r="M43" i="6" a="1"/>
  <c r="M43" i="6"/>
  <c r="M44" i="6" a="1"/>
  <c r="M44" i="6"/>
  <c r="M45" i="6" a="1"/>
  <c r="M45" i="6"/>
  <c r="M46" i="6" a="1"/>
  <c r="M46" i="6"/>
  <c r="M47" i="6" a="1"/>
  <c r="M47" i="6"/>
  <c r="M48" i="6" a="1"/>
  <c r="M48" i="6"/>
  <c r="M49" i="6" a="1"/>
  <c r="M49" i="6"/>
  <c r="M50" i="6" a="1"/>
  <c r="M50" i="6"/>
  <c r="M51" i="6" a="1"/>
  <c r="M51" i="6"/>
  <c r="M52" i="6" a="1"/>
  <c r="M52" i="6"/>
  <c r="M53" i="6" a="1"/>
  <c r="M53" i="6"/>
  <c r="M54" i="6" a="1"/>
  <c r="M54" i="6"/>
  <c r="M55" i="6" a="1"/>
  <c r="M55" i="6"/>
  <c r="M56" i="6" a="1"/>
  <c r="M56" i="6"/>
  <c r="M57" i="6" a="1"/>
  <c r="M57" i="6"/>
  <c r="M58" i="6" a="1"/>
  <c r="M58" i="6"/>
  <c r="M59" i="6" a="1"/>
  <c r="M59" i="6"/>
  <c r="M60" i="6" a="1"/>
  <c r="M60" i="6"/>
  <c r="M61" i="6" a="1"/>
  <c r="M61" i="6"/>
  <c r="M62" i="6" a="1"/>
  <c r="M62" i="6"/>
  <c r="M63" i="6" a="1"/>
  <c r="M63" i="6"/>
  <c r="M64" i="6" a="1"/>
  <c r="M64" i="6"/>
  <c r="M65" i="6" a="1"/>
  <c r="M65" i="6"/>
  <c r="M66" i="6" a="1"/>
  <c r="M66" i="6"/>
  <c r="M67" i="6" a="1"/>
  <c r="M67" i="6"/>
  <c r="M68" i="6" a="1"/>
  <c r="M68" i="6"/>
  <c r="M69" i="6" a="1"/>
  <c r="M69" i="6"/>
  <c r="M70" i="6" a="1"/>
  <c r="M70" i="6"/>
  <c r="M71" i="6" a="1"/>
  <c r="M71" i="6"/>
  <c r="M72" i="6" a="1"/>
  <c r="M72" i="6"/>
  <c r="M73" i="6" a="1"/>
  <c r="M73" i="6"/>
  <c r="M74" i="6" a="1"/>
  <c r="M74" i="6"/>
  <c r="M75" i="6" a="1"/>
  <c r="M75" i="6"/>
  <c r="M76" i="6" a="1"/>
  <c r="M76" i="6"/>
  <c r="M77" i="6" a="1"/>
  <c r="M77" i="6"/>
  <c r="M78" i="6" a="1"/>
  <c r="M78" i="6"/>
  <c r="M79" i="6" a="1"/>
  <c r="M79" i="6"/>
  <c r="M80" i="6" a="1"/>
  <c r="M80" i="6"/>
  <c r="M81" i="6" a="1"/>
  <c r="M81" i="6"/>
  <c r="M82" i="6" a="1"/>
  <c r="M82" i="6"/>
  <c r="M83" i="6" a="1"/>
  <c r="M83" i="6"/>
  <c r="M84" i="6" a="1"/>
  <c r="M84" i="6"/>
  <c r="M85" i="6" a="1"/>
  <c r="M85" i="6"/>
  <c r="M86" i="6" a="1"/>
  <c r="M86" i="6"/>
  <c r="M87" i="6" a="1"/>
  <c r="M87" i="6"/>
  <c r="M88" i="6" a="1"/>
  <c r="M88" i="6"/>
  <c r="M89" i="6" a="1"/>
  <c r="M89" i="6"/>
  <c r="M90" i="6" a="1"/>
  <c r="M90" i="6"/>
  <c r="M91" i="6" a="1"/>
  <c r="M91" i="6"/>
  <c r="M92" i="6" a="1"/>
  <c r="M92" i="6"/>
  <c r="M93" i="6" a="1"/>
  <c r="M93" i="6"/>
  <c r="M94" i="6" a="1"/>
  <c r="M94" i="6"/>
  <c r="M95" i="6" a="1"/>
  <c r="M95" i="6"/>
  <c r="M96" i="6" a="1"/>
  <c r="M96" i="6"/>
  <c r="M97" i="6" a="1"/>
  <c r="M97" i="6"/>
  <c r="M98" i="6" a="1"/>
  <c r="M98" i="6"/>
  <c r="M99" i="6" a="1"/>
  <c r="M99" i="6"/>
  <c r="M100" i="6" a="1"/>
  <c r="M100" i="6"/>
  <c r="M101" i="6" a="1"/>
  <c r="M101" i="6"/>
  <c r="M102" i="6" a="1"/>
  <c r="M102" i="6"/>
  <c r="M103" i="6" a="1"/>
  <c r="M103" i="6"/>
  <c r="M104" i="6" a="1"/>
  <c r="M104" i="6"/>
  <c r="M105" i="6" a="1"/>
  <c r="M105" i="6"/>
  <c r="M106" i="6" a="1"/>
  <c r="M106" i="6"/>
  <c r="M107" i="6" a="1"/>
  <c r="M107" i="6"/>
  <c r="M108" i="6" a="1"/>
  <c r="M108" i="6"/>
  <c r="M109" i="6" a="1"/>
  <c r="M109" i="6"/>
  <c r="M110" i="6" a="1"/>
  <c r="M110" i="6"/>
  <c r="M111" i="6" a="1"/>
  <c r="M111" i="6"/>
  <c r="M112" i="6" a="1"/>
  <c r="M112" i="6"/>
  <c r="M113" i="6" a="1"/>
  <c r="M113" i="6"/>
  <c r="M114" i="6" a="1"/>
  <c r="M114" i="6"/>
  <c r="M115" i="6" a="1"/>
  <c r="M115" i="6"/>
  <c r="M116" i="6" a="1"/>
  <c r="M116" i="6"/>
  <c r="M117" i="6" a="1"/>
  <c r="M117" i="6"/>
  <c r="M118" i="6" a="1"/>
  <c r="M118" i="6"/>
  <c r="M119" i="6" a="1"/>
  <c r="M119" i="6"/>
  <c r="M120" i="6" a="1"/>
  <c r="M120" i="6"/>
  <c r="M121" i="6" a="1"/>
  <c r="M121" i="6"/>
  <c r="M122" i="6" a="1"/>
  <c r="M122" i="6"/>
  <c r="M123" i="6" a="1"/>
  <c r="M123" i="6"/>
  <c r="M124" i="6" a="1"/>
  <c r="M124" i="6"/>
  <c r="M125" i="6" a="1"/>
  <c r="M125" i="6"/>
  <c r="M126" i="6" a="1"/>
  <c r="M126" i="6"/>
  <c r="M127" i="6" a="1"/>
  <c r="M127" i="6"/>
  <c r="M128" i="6" a="1"/>
  <c r="M128" i="6"/>
  <c r="M129" i="6" a="1"/>
  <c r="M129" i="6"/>
  <c r="M130" i="6" a="1"/>
  <c r="M130" i="6"/>
  <c r="M131" i="6" a="1"/>
  <c r="M131" i="6"/>
  <c r="M132" i="6" a="1"/>
  <c r="M132" i="6"/>
  <c r="M133" i="6" a="1"/>
  <c r="M133" i="6"/>
  <c r="M134" i="6" a="1"/>
  <c r="M134" i="6"/>
  <c r="M135" i="6" a="1"/>
  <c r="M135" i="6"/>
  <c r="M136" i="6" a="1"/>
  <c r="M136" i="6"/>
  <c r="M137" i="6" a="1"/>
  <c r="M137" i="6"/>
  <c r="M138" i="6" a="1"/>
  <c r="M138" i="6"/>
  <c r="M139" i="6" a="1"/>
  <c r="M139" i="6"/>
  <c r="M140" i="6" a="1"/>
  <c r="M140" i="6"/>
  <c r="M141" i="6" a="1"/>
  <c r="M141" i="6"/>
  <c r="M142" i="6" a="1"/>
  <c r="M142" i="6"/>
  <c r="M143" i="6" a="1"/>
  <c r="M143" i="6"/>
  <c r="M144" i="6" a="1"/>
  <c r="M144" i="6"/>
  <c r="M145" i="6" a="1"/>
  <c r="M145" i="6"/>
  <c r="M146" i="6" a="1"/>
  <c r="M146" i="6"/>
  <c r="M147" i="6" a="1"/>
  <c r="M147" i="6"/>
  <c r="M148" i="6" a="1"/>
  <c r="M148" i="6"/>
  <c r="M149" i="6" a="1"/>
  <c r="M149" i="6"/>
  <c r="M150" i="6" a="1"/>
  <c r="M150" i="6"/>
  <c r="M151" i="6" a="1"/>
  <c r="M151" i="6"/>
  <c r="M152" i="6" a="1"/>
  <c r="M152" i="6"/>
  <c r="M153" i="6" a="1"/>
  <c r="M153" i="6"/>
  <c r="M154" i="6" a="1"/>
  <c r="M154" i="6"/>
  <c r="M155" i="6" a="1"/>
  <c r="M155" i="6"/>
  <c r="M156" i="6" a="1"/>
  <c r="M156" i="6"/>
  <c r="M157" i="6" a="1"/>
  <c r="M157" i="6"/>
  <c r="M158" i="6" a="1"/>
  <c r="M158" i="6"/>
  <c r="M159" i="6" a="1"/>
  <c r="M159" i="6"/>
  <c r="M160" i="6" a="1"/>
  <c r="M160" i="6"/>
  <c r="M161" i="6" a="1"/>
  <c r="M161" i="6"/>
  <c r="M162" i="6" a="1"/>
  <c r="M162" i="6"/>
  <c r="M163" i="6" a="1"/>
  <c r="M163" i="6"/>
  <c r="M164" i="6" a="1"/>
  <c r="M164" i="6"/>
  <c r="M165" i="6" a="1"/>
  <c r="M165" i="6"/>
  <c r="M166" i="6" a="1"/>
  <c r="M166" i="6"/>
  <c r="M167" i="6" a="1"/>
  <c r="M167" i="6"/>
  <c r="M168" i="6" a="1"/>
  <c r="M168" i="6"/>
  <c r="M169" i="6" a="1"/>
  <c r="M169" i="6"/>
  <c r="M170" i="6" a="1"/>
  <c r="M170" i="6"/>
  <c r="M171" i="6" a="1"/>
  <c r="M171" i="6"/>
  <c r="M172" i="6" a="1"/>
  <c r="M172" i="6"/>
  <c r="M173" i="6" a="1"/>
  <c r="M173" i="6"/>
  <c r="M174" i="6" a="1"/>
  <c r="M174" i="6"/>
  <c r="M175" i="6" a="1"/>
  <c r="M175" i="6"/>
  <c r="L2" i="6" a="1"/>
  <c r="L2" i="6"/>
  <c r="L3" i="6" a="1"/>
  <c r="L3" i="6"/>
  <c r="L4" i="6" a="1"/>
  <c r="L4" i="6"/>
  <c r="L5" i="6" a="1"/>
  <c r="L5" i="6"/>
  <c r="L6" i="6" a="1"/>
  <c r="L6" i="6"/>
  <c r="L7" i="6" a="1"/>
  <c r="L7" i="6"/>
  <c r="L8" i="6" a="1"/>
  <c r="L8" i="6"/>
  <c r="L9" i="6" a="1"/>
  <c r="L9" i="6"/>
  <c r="L10" i="6" a="1"/>
  <c r="L10" i="6"/>
  <c r="L11" i="6" a="1"/>
  <c r="L11" i="6"/>
  <c r="L12" i="6" a="1"/>
  <c r="L12" i="6"/>
  <c r="L13" i="6" a="1"/>
  <c r="L13" i="6"/>
  <c r="L14" i="6" a="1"/>
  <c r="L14" i="6"/>
  <c r="L15" i="6" a="1"/>
  <c r="L15" i="6"/>
  <c r="L16" i="6" a="1"/>
  <c r="L16" i="6"/>
  <c r="L17" i="6" a="1"/>
  <c r="L17" i="6"/>
  <c r="L18" i="6" a="1"/>
  <c r="L18" i="6"/>
  <c r="L19" i="6" a="1"/>
  <c r="L19" i="6"/>
  <c r="L20" i="6" a="1"/>
  <c r="L20" i="6"/>
  <c r="L21" i="6" a="1"/>
  <c r="L21" i="6"/>
  <c r="L22" i="6" a="1"/>
  <c r="L22" i="6"/>
  <c r="L23" i="6" a="1"/>
  <c r="L23" i="6"/>
  <c r="L24" i="6" a="1"/>
  <c r="L24" i="6"/>
  <c r="L25" i="6" a="1"/>
  <c r="L25" i="6"/>
  <c r="L26" i="6" a="1"/>
  <c r="L26" i="6"/>
  <c r="L27" i="6" a="1"/>
  <c r="L27" i="6"/>
  <c r="L28" i="6" a="1"/>
  <c r="L28" i="6"/>
  <c r="L29" i="6" a="1"/>
  <c r="L29" i="6"/>
  <c r="L30" i="6" a="1"/>
  <c r="L30" i="6"/>
  <c r="L31" i="6" a="1"/>
  <c r="L31" i="6"/>
  <c r="L32" i="6" a="1"/>
  <c r="L32" i="6"/>
  <c r="L33" i="6" a="1"/>
  <c r="L33" i="6"/>
  <c r="L34" i="6" a="1"/>
  <c r="L34" i="6"/>
  <c r="L35" i="6" a="1"/>
  <c r="L35" i="6"/>
  <c r="L36" i="6" a="1"/>
  <c r="L36" i="6"/>
  <c r="L37" i="6" a="1"/>
  <c r="L37" i="6"/>
  <c r="L38" i="6" a="1"/>
  <c r="L38" i="6"/>
  <c r="L39" i="6" a="1"/>
  <c r="L39" i="6"/>
  <c r="L40" i="6" a="1"/>
  <c r="L40" i="6"/>
  <c r="L41" i="6" a="1"/>
  <c r="L41" i="6"/>
  <c r="L42" i="6" a="1"/>
  <c r="L42" i="6"/>
  <c r="L43" i="6" a="1"/>
  <c r="L43" i="6"/>
  <c r="L44" i="6" a="1"/>
  <c r="L44" i="6"/>
  <c r="L45" i="6" a="1"/>
  <c r="L45" i="6"/>
  <c r="L46" i="6" a="1"/>
  <c r="L46" i="6"/>
  <c r="L47" i="6" a="1"/>
  <c r="L47" i="6"/>
  <c r="L48" i="6" a="1"/>
  <c r="L48" i="6"/>
  <c r="L49" i="6" a="1"/>
  <c r="L49" i="6"/>
  <c r="L50" i="6" a="1"/>
  <c r="L50" i="6"/>
  <c r="L51" i="6" a="1"/>
  <c r="L51" i="6"/>
  <c r="L52" i="6" a="1"/>
  <c r="L52" i="6"/>
  <c r="L53" i="6" a="1"/>
  <c r="L53" i="6"/>
  <c r="L54" i="6" a="1"/>
  <c r="L54" i="6"/>
  <c r="L55" i="6" a="1"/>
  <c r="L55" i="6"/>
  <c r="L56" i="6" a="1"/>
  <c r="L56" i="6"/>
  <c r="L57" i="6" a="1"/>
  <c r="L57" i="6"/>
  <c r="L58" i="6" a="1"/>
  <c r="L58" i="6"/>
  <c r="L59" i="6" a="1"/>
  <c r="L59" i="6"/>
  <c r="L60" i="6" a="1"/>
  <c r="L60" i="6"/>
  <c r="L61" i="6" a="1"/>
  <c r="L61" i="6"/>
  <c r="L62" i="6" a="1"/>
  <c r="L62" i="6"/>
  <c r="L63" i="6" a="1"/>
  <c r="L63" i="6"/>
  <c r="L64" i="6" a="1"/>
  <c r="L64" i="6"/>
  <c r="L65" i="6" a="1"/>
  <c r="L65" i="6"/>
  <c r="L66" i="6" a="1"/>
  <c r="L66" i="6"/>
  <c r="L67" i="6" a="1"/>
  <c r="L67" i="6"/>
  <c r="L68" i="6" a="1"/>
  <c r="L68" i="6"/>
  <c r="L69" i="6" a="1"/>
  <c r="L69" i="6"/>
  <c r="L70" i="6" a="1"/>
  <c r="L70" i="6"/>
  <c r="L71" i="6" a="1"/>
  <c r="L71" i="6"/>
  <c r="L72" i="6" a="1"/>
  <c r="L72" i="6"/>
  <c r="L73" i="6" a="1"/>
  <c r="L73" i="6"/>
  <c r="L74" i="6" a="1"/>
  <c r="L74" i="6"/>
  <c r="L75" i="6" a="1"/>
  <c r="L75" i="6"/>
  <c r="L76" i="6" a="1"/>
  <c r="L76" i="6"/>
  <c r="L77" i="6" a="1"/>
  <c r="L77" i="6"/>
  <c r="L78" i="6" a="1"/>
  <c r="L78" i="6"/>
  <c r="L79" i="6" a="1"/>
  <c r="L79" i="6"/>
  <c r="L80" i="6" a="1"/>
  <c r="L80" i="6"/>
  <c r="L81" i="6" a="1"/>
  <c r="L81" i="6"/>
  <c r="L82" i="6" a="1"/>
  <c r="L82" i="6"/>
  <c r="L83" i="6" a="1"/>
  <c r="L83" i="6"/>
  <c r="L84" i="6" a="1"/>
  <c r="L84" i="6"/>
  <c r="L85" i="6" a="1"/>
  <c r="L85" i="6"/>
  <c r="L86" i="6" a="1"/>
  <c r="L86" i="6"/>
  <c r="L87" i="6" a="1"/>
  <c r="L87" i="6"/>
  <c r="L88" i="6" a="1"/>
  <c r="L88" i="6"/>
  <c r="L89" i="6" a="1"/>
  <c r="L89" i="6"/>
  <c r="L90" i="6" a="1"/>
  <c r="L90" i="6"/>
  <c r="L91" i="6" a="1"/>
  <c r="L91" i="6"/>
  <c r="L92" i="6" a="1"/>
  <c r="L92" i="6"/>
  <c r="L93" i="6" a="1"/>
  <c r="L93" i="6"/>
  <c r="L94" i="6" a="1"/>
  <c r="L94" i="6"/>
  <c r="L95" i="6" a="1"/>
  <c r="L95" i="6"/>
  <c r="L96" i="6" a="1"/>
  <c r="L96" i="6"/>
  <c r="L97" i="6" a="1"/>
  <c r="L97" i="6"/>
  <c r="L98" i="6" a="1"/>
  <c r="L98" i="6"/>
  <c r="L99" i="6" a="1"/>
  <c r="L99" i="6"/>
  <c r="L100" i="6" a="1"/>
  <c r="L100" i="6"/>
  <c r="L101" i="6" a="1"/>
  <c r="L101" i="6"/>
  <c r="L102" i="6" a="1"/>
  <c r="L102" i="6"/>
  <c r="L103" i="6" a="1"/>
  <c r="L103" i="6"/>
  <c r="L104" i="6" a="1"/>
  <c r="L104" i="6"/>
  <c r="L105" i="6" a="1"/>
  <c r="L105" i="6"/>
  <c r="L106" i="6" a="1"/>
  <c r="L106" i="6"/>
  <c r="L107" i="6" a="1"/>
  <c r="L107" i="6"/>
  <c r="L108" i="6" a="1"/>
  <c r="L108" i="6"/>
  <c r="L109" i="6" a="1"/>
  <c r="L109" i="6"/>
  <c r="L110" i="6" a="1"/>
  <c r="L110" i="6"/>
  <c r="L111" i="6" a="1"/>
  <c r="L111" i="6"/>
  <c r="L112" i="6" a="1"/>
  <c r="L112" i="6"/>
  <c r="L113" i="6" a="1"/>
  <c r="L113" i="6"/>
  <c r="L114" i="6" a="1"/>
  <c r="L114" i="6"/>
  <c r="L115" i="6" a="1"/>
  <c r="L115" i="6"/>
  <c r="L116" i="6" a="1"/>
  <c r="L116" i="6"/>
  <c r="L117" i="6" a="1"/>
  <c r="L117" i="6"/>
  <c r="L118" i="6" a="1"/>
  <c r="L118" i="6"/>
  <c r="L119" i="6" a="1"/>
  <c r="L119" i="6"/>
  <c r="L120" i="6" a="1"/>
  <c r="L120" i="6"/>
  <c r="L121" i="6" a="1"/>
  <c r="L121" i="6"/>
  <c r="L122" i="6" a="1"/>
  <c r="L122" i="6"/>
  <c r="L123" i="6" a="1"/>
  <c r="L123" i="6"/>
  <c r="L124" i="6" a="1"/>
  <c r="L124" i="6"/>
  <c r="L125" i="6" a="1"/>
  <c r="L125" i="6"/>
  <c r="L126" i="6" a="1"/>
  <c r="L126" i="6"/>
  <c r="L127" i="6" a="1"/>
  <c r="L127" i="6"/>
  <c r="L128" i="6" a="1"/>
  <c r="L128" i="6"/>
  <c r="L129" i="6" a="1"/>
  <c r="L129" i="6"/>
  <c r="L130" i="6" a="1"/>
  <c r="L130" i="6"/>
  <c r="L131" i="6" a="1"/>
  <c r="L131" i="6"/>
  <c r="L132" i="6" a="1"/>
  <c r="L132" i="6"/>
  <c r="L133" i="6" a="1"/>
  <c r="L133" i="6"/>
  <c r="L134" i="6" a="1"/>
  <c r="L134" i="6"/>
  <c r="L135" i="6" a="1"/>
  <c r="L135" i="6"/>
  <c r="L136" i="6" a="1"/>
  <c r="L136" i="6"/>
  <c r="L137" i="6" a="1"/>
  <c r="L137" i="6"/>
  <c r="L138" i="6" a="1"/>
  <c r="L138" i="6"/>
  <c r="L139" i="6" a="1"/>
  <c r="L139" i="6"/>
  <c r="L140" i="6" a="1"/>
  <c r="L140" i="6"/>
  <c r="L141" i="6" a="1"/>
  <c r="L141" i="6"/>
  <c r="L142" i="6" a="1"/>
  <c r="L142" i="6"/>
  <c r="L143" i="6" a="1"/>
  <c r="L143" i="6"/>
  <c r="L144" i="6" a="1"/>
  <c r="L144" i="6"/>
  <c r="L145" i="6" a="1"/>
  <c r="L145" i="6"/>
  <c r="L146" i="6" a="1"/>
  <c r="L146" i="6"/>
  <c r="L147" i="6" a="1"/>
  <c r="L147" i="6"/>
  <c r="L148" i="6" a="1"/>
  <c r="L148" i="6"/>
  <c r="L149" i="6" a="1"/>
  <c r="L149" i="6"/>
  <c r="L150" i="6" a="1"/>
  <c r="L150" i="6"/>
  <c r="L151" i="6" a="1"/>
  <c r="L151" i="6"/>
  <c r="L152" i="6" a="1"/>
  <c r="L152" i="6"/>
  <c r="L153" i="6" a="1"/>
  <c r="L153" i="6"/>
  <c r="L154" i="6" a="1"/>
  <c r="L154" i="6"/>
  <c r="L155" i="6" a="1"/>
  <c r="L155" i="6"/>
  <c r="L156" i="6" a="1"/>
  <c r="L156" i="6"/>
  <c r="L157" i="6" a="1"/>
  <c r="L157" i="6"/>
  <c r="L158" i="6" a="1"/>
  <c r="L158" i="6"/>
  <c r="L159" i="6" a="1"/>
  <c r="L159" i="6"/>
  <c r="L160" i="6" a="1"/>
  <c r="L160" i="6"/>
  <c r="L161" i="6" a="1"/>
  <c r="L161" i="6"/>
  <c r="L162" i="6" a="1"/>
  <c r="L162" i="6"/>
  <c r="L163" i="6" a="1"/>
  <c r="L163" i="6"/>
  <c r="L164" i="6" a="1"/>
  <c r="L164" i="6"/>
  <c r="L165" i="6" a="1"/>
  <c r="L165" i="6"/>
  <c r="L166" i="6" a="1"/>
  <c r="L166" i="6"/>
  <c r="L167" i="6" a="1"/>
  <c r="L167" i="6"/>
  <c r="L168" i="6" a="1"/>
  <c r="L168" i="6"/>
  <c r="L169" i="6" a="1"/>
  <c r="L169" i="6"/>
  <c r="L170" i="6" a="1"/>
  <c r="L170" i="6"/>
  <c r="L171" i="6" a="1"/>
  <c r="L171" i="6"/>
  <c r="L172" i="6" a="1"/>
  <c r="L172" i="6"/>
  <c r="L173" i="6" a="1"/>
  <c r="L173" i="6"/>
  <c r="L174" i="6" a="1"/>
  <c r="L174" i="6"/>
  <c r="L175" i="6" a="1"/>
  <c r="L175" i="6"/>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U2" i="1" a="1"/>
  <c r="U2" i="1"/>
  <c r="U3" i="1" a="1"/>
  <c r="U3" i="1"/>
  <c r="U4" i="1" a="1"/>
  <c r="U4" i="1"/>
  <c r="U5" i="1" a="1"/>
  <c r="U5" i="1"/>
  <c r="U6" i="1" a="1"/>
  <c r="U6" i="1"/>
  <c r="U7" i="1" a="1"/>
  <c r="U7" i="1"/>
  <c r="U8" i="1" a="1"/>
  <c r="U8" i="1"/>
  <c r="U9" i="1" a="1"/>
  <c r="U9" i="1"/>
  <c r="U10" i="1" a="1"/>
  <c r="U10" i="1"/>
  <c r="U11" i="1" a="1"/>
  <c r="U11" i="1"/>
  <c r="U12" i="1" a="1"/>
  <c r="U12" i="1"/>
  <c r="U13" i="1" a="1"/>
  <c r="U13" i="1"/>
  <c r="U14" i="1" a="1"/>
  <c r="U14" i="1"/>
  <c r="U15" i="1" a="1"/>
  <c r="U15" i="1"/>
  <c r="U16" i="1" a="1"/>
  <c r="U16" i="1"/>
  <c r="U17" i="1" a="1"/>
  <c r="U17" i="1"/>
  <c r="U18" i="1" a="1"/>
  <c r="U18" i="1"/>
  <c r="U19" i="1" a="1"/>
  <c r="U19" i="1"/>
  <c r="U20" i="1" a="1"/>
  <c r="U20" i="1"/>
  <c r="U21" i="1" a="1"/>
  <c r="U21" i="1"/>
  <c r="U22" i="1" a="1"/>
  <c r="U22" i="1"/>
  <c r="U23" i="1" a="1"/>
  <c r="U23" i="1"/>
  <c r="U24" i="1" a="1"/>
  <c r="U24" i="1"/>
  <c r="U25" i="1" a="1"/>
  <c r="U25" i="1"/>
  <c r="U26" i="1" a="1"/>
  <c r="U26" i="1"/>
  <c r="U27" i="1" a="1"/>
  <c r="U27" i="1"/>
  <c r="U28" i="1" a="1"/>
  <c r="U28" i="1"/>
  <c r="U29" i="1" a="1"/>
  <c r="U29" i="1"/>
  <c r="U30" i="1" a="1"/>
  <c r="U30" i="1"/>
  <c r="U31" i="1" a="1"/>
  <c r="U31" i="1"/>
  <c r="U32" i="1" a="1"/>
  <c r="U32" i="1"/>
  <c r="U33" i="1" a="1"/>
  <c r="U33" i="1"/>
  <c r="U34" i="1" a="1"/>
  <c r="U34" i="1"/>
  <c r="U35" i="1" a="1"/>
  <c r="U35" i="1"/>
  <c r="U36" i="1" a="1"/>
  <c r="U36" i="1"/>
  <c r="U37" i="1" a="1"/>
  <c r="U37" i="1"/>
  <c r="U38" i="1" a="1"/>
  <c r="U38" i="1"/>
  <c r="U39" i="1" a="1"/>
  <c r="U39" i="1"/>
  <c r="U40" i="1" a="1"/>
  <c r="U40" i="1"/>
  <c r="U41" i="1" a="1"/>
  <c r="U41" i="1"/>
  <c r="U42" i="1" a="1"/>
  <c r="U42" i="1"/>
  <c r="U43" i="1" a="1"/>
  <c r="U43" i="1"/>
  <c r="U44" i="1" a="1"/>
  <c r="U44" i="1"/>
  <c r="U45" i="1" a="1"/>
  <c r="U45" i="1"/>
  <c r="U46" i="1" a="1"/>
  <c r="U46" i="1"/>
  <c r="U47" i="1" a="1"/>
  <c r="U47" i="1"/>
  <c r="U48" i="1" a="1"/>
  <c r="U48" i="1"/>
  <c r="U49" i="1" a="1"/>
  <c r="U49" i="1"/>
  <c r="U50" i="1" a="1"/>
  <c r="U50" i="1"/>
  <c r="U51" i="1" a="1"/>
  <c r="U51" i="1"/>
  <c r="U52" i="1" a="1"/>
  <c r="U52" i="1"/>
  <c r="U53" i="1" a="1"/>
  <c r="U53" i="1"/>
  <c r="U54" i="1" a="1"/>
  <c r="U54" i="1"/>
  <c r="U55" i="1" a="1"/>
  <c r="U55" i="1"/>
  <c r="U56" i="1" a="1"/>
  <c r="U56" i="1"/>
  <c r="U57" i="1" a="1"/>
  <c r="U57" i="1"/>
  <c r="U58" i="1" a="1"/>
  <c r="U58" i="1"/>
  <c r="U59" i="1" a="1"/>
  <c r="U59" i="1"/>
  <c r="U60" i="1" a="1"/>
  <c r="U60" i="1"/>
  <c r="U61" i="1" a="1"/>
  <c r="U61" i="1"/>
  <c r="U62" i="1" a="1"/>
  <c r="U62" i="1"/>
  <c r="U63" i="1" a="1"/>
  <c r="U63" i="1"/>
  <c r="U64" i="1" a="1"/>
  <c r="U64" i="1"/>
  <c r="U65" i="1" a="1"/>
  <c r="U65" i="1"/>
  <c r="U66" i="1" a="1"/>
  <c r="U66" i="1"/>
  <c r="U67" i="1" a="1"/>
  <c r="U67" i="1"/>
  <c r="U68" i="1" a="1"/>
  <c r="U68" i="1"/>
  <c r="U69" i="1" a="1"/>
  <c r="U69" i="1"/>
  <c r="U70" i="1" a="1"/>
  <c r="U70" i="1"/>
  <c r="U71" i="1" a="1"/>
  <c r="U71" i="1"/>
  <c r="U72" i="1" a="1"/>
  <c r="U72" i="1"/>
  <c r="U73" i="1" a="1"/>
  <c r="U73" i="1"/>
  <c r="U74" i="1" a="1"/>
  <c r="U74" i="1"/>
  <c r="U75" i="1" a="1"/>
  <c r="U75" i="1"/>
  <c r="U76" i="1" a="1"/>
  <c r="U76" i="1"/>
  <c r="U77" i="1" a="1"/>
  <c r="U77" i="1"/>
  <c r="U78" i="1" a="1"/>
  <c r="U78" i="1"/>
  <c r="U79" i="1" a="1"/>
  <c r="U79" i="1"/>
  <c r="U80" i="1" a="1"/>
  <c r="U80" i="1"/>
  <c r="U81" i="1" a="1"/>
  <c r="U81" i="1"/>
  <c r="U82" i="1" a="1"/>
  <c r="U82" i="1"/>
  <c r="U83" i="1" a="1"/>
  <c r="U83" i="1"/>
  <c r="U84" i="1" a="1"/>
  <c r="U84" i="1"/>
  <c r="U85" i="1" a="1"/>
  <c r="U85" i="1"/>
  <c r="U86" i="1" a="1"/>
  <c r="U86" i="1"/>
  <c r="U87" i="1" a="1"/>
  <c r="U87" i="1"/>
  <c r="U88" i="1" a="1"/>
  <c r="U88" i="1"/>
  <c r="U89" i="1" a="1"/>
  <c r="U89" i="1"/>
  <c r="U90" i="1" a="1"/>
  <c r="U90" i="1"/>
  <c r="U91" i="1" a="1"/>
  <c r="U91" i="1"/>
  <c r="U92" i="1" a="1"/>
  <c r="U92" i="1"/>
  <c r="U93" i="1" a="1"/>
  <c r="U93" i="1"/>
  <c r="U94" i="1" a="1"/>
  <c r="U94" i="1"/>
  <c r="U95" i="1" a="1"/>
  <c r="U95" i="1"/>
  <c r="U96" i="1" a="1"/>
  <c r="U96" i="1"/>
  <c r="U97" i="1" a="1"/>
  <c r="U97" i="1"/>
  <c r="U98" i="1" a="1"/>
  <c r="U98" i="1"/>
  <c r="U99" i="1" a="1"/>
  <c r="U99" i="1"/>
  <c r="U100" i="1" a="1"/>
  <c r="U100" i="1"/>
  <c r="U101" i="1" a="1"/>
  <c r="U101" i="1"/>
  <c r="U102" i="1" a="1"/>
  <c r="U102" i="1"/>
  <c r="U103" i="1" a="1"/>
  <c r="U103" i="1"/>
  <c r="U104" i="1" a="1"/>
  <c r="U104" i="1"/>
  <c r="U105" i="1" a="1"/>
  <c r="U105" i="1"/>
  <c r="U106" i="1" a="1"/>
  <c r="U106" i="1"/>
  <c r="U107" i="1" a="1"/>
  <c r="U107" i="1"/>
  <c r="U108" i="1" a="1"/>
  <c r="U108" i="1"/>
  <c r="U109" i="1" a="1"/>
  <c r="U109" i="1"/>
  <c r="U110" i="1" a="1"/>
  <c r="U110" i="1"/>
  <c r="U111" i="1" a="1"/>
  <c r="U111" i="1"/>
  <c r="U112" i="1" a="1"/>
  <c r="U112" i="1"/>
  <c r="U113" i="1" a="1"/>
  <c r="U113" i="1"/>
  <c r="U114" i="1" a="1"/>
  <c r="U114" i="1"/>
  <c r="U115" i="1" a="1"/>
  <c r="U115" i="1"/>
  <c r="U116" i="1" a="1"/>
  <c r="U116" i="1"/>
  <c r="U117" i="1" a="1"/>
  <c r="U117" i="1"/>
  <c r="U118" i="1" a="1"/>
  <c r="U118" i="1"/>
  <c r="U119" i="1" a="1"/>
  <c r="U119" i="1"/>
  <c r="U120" i="1" a="1"/>
  <c r="U120" i="1"/>
  <c r="U121" i="1" a="1"/>
  <c r="U121" i="1"/>
  <c r="U122" i="1" a="1"/>
  <c r="U122" i="1"/>
  <c r="U123" i="1" a="1"/>
  <c r="U123" i="1"/>
  <c r="U124" i="1" a="1"/>
  <c r="U124" i="1"/>
  <c r="U125" i="1" a="1"/>
  <c r="U125" i="1"/>
  <c r="U126" i="1" a="1"/>
  <c r="U126" i="1"/>
  <c r="U127" i="1" a="1"/>
  <c r="U127" i="1"/>
  <c r="U128" i="1" a="1"/>
  <c r="U128" i="1"/>
  <c r="U129" i="1" a="1"/>
  <c r="U129" i="1"/>
  <c r="U130" i="1" a="1"/>
  <c r="U130" i="1"/>
  <c r="U131" i="1" a="1"/>
  <c r="U131" i="1"/>
  <c r="U132" i="1" a="1"/>
  <c r="U132" i="1"/>
  <c r="U133" i="1" a="1"/>
  <c r="U133" i="1"/>
  <c r="U134" i="1" a="1"/>
  <c r="U134" i="1"/>
  <c r="U135" i="1" a="1"/>
  <c r="U135" i="1"/>
  <c r="U136" i="1" a="1"/>
  <c r="U136" i="1"/>
  <c r="U137" i="1" a="1"/>
  <c r="U137" i="1"/>
  <c r="U138" i="1" a="1"/>
  <c r="U138" i="1"/>
  <c r="U139" i="1" a="1"/>
  <c r="U139" i="1"/>
  <c r="U140" i="1" a="1"/>
  <c r="U140" i="1"/>
  <c r="U141" i="1" a="1"/>
  <c r="U141" i="1"/>
  <c r="U142" i="1" a="1"/>
  <c r="U142" i="1"/>
  <c r="U143" i="1" a="1"/>
  <c r="U143" i="1"/>
  <c r="U144" i="1" a="1"/>
  <c r="U144" i="1"/>
  <c r="U145" i="1" a="1"/>
  <c r="U145" i="1"/>
  <c r="U146" i="1" a="1"/>
  <c r="U146" i="1"/>
  <c r="U147" i="1" a="1"/>
  <c r="U147" i="1"/>
  <c r="U148" i="1" a="1"/>
  <c r="U148" i="1"/>
  <c r="U149" i="1" a="1"/>
  <c r="U149" i="1"/>
  <c r="U150" i="1" a="1"/>
  <c r="U150" i="1"/>
  <c r="U151" i="1" a="1"/>
  <c r="U151" i="1"/>
  <c r="U152" i="1" a="1"/>
  <c r="U152" i="1"/>
  <c r="U153" i="1" a="1"/>
  <c r="U153" i="1"/>
  <c r="U154" i="1" a="1"/>
  <c r="U154" i="1"/>
  <c r="U155" i="1" a="1"/>
  <c r="U155" i="1"/>
  <c r="U156" i="1" a="1"/>
  <c r="U156" i="1"/>
  <c r="U157" i="1" a="1"/>
  <c r="U157" i="1"/>
  <c r="U158" i="1" a="1"/>
  <c r="U158" i="1"/>
  <c r="U159" i="1" a="1"/>
  <c r="U159" i="1"/>
  <c r="U160" i="1" a="1"/>
  <c r="U160" i="1"/>
  <c r="U161" i="1" a="1"/>
  <c r="U161" i="1"/>
  <c r="U162" i="1" a="1"/>
  <c r="U162" i="1"/>
  <c r="U163" i="1" a="1"/>
  <c r="U163" i="1"/>
  <c r="U164" i="1" a="1"/>
  <c r="U164" i="1"/>
  <c r="U165" i="1" a="1"/>
  <c r="U165" i="1"/>
  <c r="U166" i="1" a="1"/>
  <c r="U166" i="1"/>
  <c r="U167" i="1" a="1"/>
  <c r="U167" i="1"/>
  <c r="U168" i="1" a="1"/>
  <c r="U168" i="1"/>
  <c r="U169" i="1" a="1"/>
  <c r="U169" i="1"/>
  <c r="U170" i="1" a="1"/>
  <c r="U170" i="1"/>
  <c r="U171" i="1" a="1"/>
  <c r="U171" i="1"/>
  <c r="U172" i="1" a="1"/>
  <c r="U172" i="1"/>
  <c r="U173" i="1" a="1"/>
  <c r="U173" i="1"/>
  <c r="U174" i="1" a="1"/>
  <c r="U174" i="1"/>
  <c r="U175" i="1" a="1"/>
  <c r="U175" i="1"/>
  <c r="U176" i="1" a="1"/>
  <c r="U176" i="1"/>
  <c r="U177" i="1" a="1"/>
  <c r="U177" i="1"/>
  <c r="U178" i="1" a="1"/>
  <c r="U178" i="1"/>
  <c r="U179" i="1" a="1"/>
  <c r="U179" i="1"/>
  <c r="U180" i="1" a="1"/>
  <c r="U180" i="1"/>
  <c r="U181" i="1" a="1"/>
  <c r="U181" i="1"/>
  <c r="U182" i="1" a="1"/>
  <c r="U182" i="1"/>
  <c r="U183" i="1" a="1"/>
  <c r="U183" i="1"/>
  <c r="U184" i="1" a="1"/>
  <c r="U184" i="1"/>
  <c r="U185" i="1" a="1"/>
  <c r="U185" i="1"/>
  <c r="U186" i="1" a="1"/>
  <c r="U186" i="1"/>
  <c r="U187" i="1" a="1"/>
  <c r="U187" i="1"/>
  <c r="U188" i="1" a="1"/>
  <c r="U188" i="1"/>
  <c r="U189" i="1" a="1"/>
  <c r="U189" i="1"/>
  <c r="U190" i="1" a="1"/>
  <c r="U190" i="1"/>
  <c r="U191" i="1" a="1"/>
  <c r="U191" i="1"/>
  <c r="U192" i="1" a="1"/>
  <c r="U192" i="1"/>
  <c r="U193" i="1" a="1"/>
  <c r="U193" i="1"/>
  <c r="U194" i="1" a="1"/>
  <c r="U194" i="1"/>
  <c r="U195" i="1" a="1"/>
  <c r="U195" i="1"/>
  <c r="U196" i="1" a="1"/>
  <c r="U196" i="1"/>
  <c r="U197" i="1" a="1"/>
  <c r="U197" i="1"/>
  <c r="U198" i="1" a="1"/>
  <c r="U198" i="1"/>
  <c r="U199" i="1" a="1"/>
  <c r="U199" i="1"/>
  <c r="U200" i="1" a="1"/>
  <c r="U200" i="1"/>
  <c r="U201" i="1" a="1"/>
  <c r="U201" i="1"/>
  <c r="U202" i="1" a="1"/>
  <c r="U202" i="1"/>
  <c r="U203" i="1" a="1"/>
  <c r="U203" i="1"/>
  <c r="U204" i="1" a="1"/>
  <c r="U204" i="1"/>
  <c r="U205" i="1" a="1"/>
  <c r="U205" i="1"/>
  <c r="U206" i="1" a="1"/>
  <c r="U206" i="1"/>
  <c r="U207" i="1" a="1"/>
  <c r="U207" i="1"/>
  <c r="U208" i="1" a="1"/>
  <c r="U208" i="1"/>
  <c r="U209" i="1" a="1"/>
  <c r="U209" i="1"/>
  <c r="U210" i="1" a="1"/>
  <c r="U210" i="1"/>
  <c r="U211" i="1" a="1"/>
  <c r="U211" i="1"/>
  <c r="U212" i="1" a="1"/>
  <c r="U212" i="1"/>
  <c r="U213" i="1" a="1"/>
  <c r="U213" i="1"/>
  <c r="U214" i="1" a="1"/>
  <c r="U214" i="1"/>
  <c r="U215" i="1" a="1"/>
  <c r="U215" i="1"/>
  <c r="U216" i="1" a="1"/>
  <c r="U216" i="1"/>
  <c r="U217" i="1" a="1"/>
  <c r="U217" i="1"/>
  <c r="U218" i="1" a="1"/>
  <c r="U218" i="1"/>
  <c r="U219" i="1" a="1"/>
  <c r="U219" i="1"/>
  <c r="U220" i="1" a="1"/>
  <c r="U220" i="1"/>
  <c r="U221" i="1" a="1"/>
  <c r="U221" i="1"/>
  <c r="U222" i="1" a="1"/>
  <c r="U222" i="1"/>
  <c r="U223" i="1" a="1"/>
  <c r="U223" i="1"/>
  <c r="U224" i="1" a="1"/>
  <c r="U224" i="1"/>
  <c r="U225" i="1" a="1"/>
  <c r="U225" i="1"/>
  <c r="U226" i="1" a="1"/>
  <c r="U226" i="1"/>
  <c r="U227" i="1" a="1"/>
  <c r="U227" i="1"/>
  <c r="U228" i="1" a="1"/>
  <c r="U228" i="1"/>
  <c r="U229" i="1" a="1"/>
  <c r="U229" i="1"/>
  <c r="U230" i="1" a="1"/>
  <c r="U230" i="1"/>
  <c r="U231" i="1" a="1"/>
  <c r="U231" i="1"/>
  <c r="U232" i="1" a="1"/>
  <c r="U232" i="1"/>
  <c r="U233" i="1" a="1"/>
  <c r="U233" i="1"/>
  <c r="U234" i="1" a="1"/>
  <c r="U234" i="1"/>
  <c r="U235" i="1" a="1"/>
  <c r="U235" i="1"/>
  <c r="U236" i="1" a="1"/>
  <c r="U236" i="1"/>
  <c r="U237" i="1" a="1"/>
  <c r="U237" i="1"/>
  <c r="U238" i="1" a="1"/>
  <c r="U238" i="1"/>
  <c r="U239" i="1" a="1"/>
  <c r="U239" i="1"/>
  <c r="U240" i="1" a="1"/>
  <c r="U240" i="1"/>
  <c r="U241" i="1" a="1"/>
  <c r="U241" i="1"/>
  <c r="U242" i="1" a="1"/>
  <c r="U242" i="1"/>
  <c r="U243" i="1" a="1"/>
  <c r="U243" i="1"/>
  <c r="U244" i="1" a="1"/>
  <c r="U244" i="1"/>
  <c r="U245" i="1" a="1"/>
  <c r="U245" i="1"/>
  <c r="U246" i="1" a="1"/>
  <c r="U246" i="1"/>
  <c r="U247" i="1" a="1"/>
  <c r="U247" i="1"/>
  <c r="U248" i="1" a="1"/>
  <c r="U248" i="1"/>
  <c r="U249" i="1" a="1"/>
  <c r="U249" i="1"/>
  <c r="U250" i="1" a="1"/>
  <c r="U250" i="1"/>
  <c r="U251" i="1" a="1"/>
  <c r="U251" i="1"/>
  <c r="U252" i="1" a="1"/>
  <c r="U252" i="1"/>
  <c r="U253" i="1" a="1"/>
  <c r="U253" i="1"/>
  <c r="U254" i="1" a="1"/>
  <c r="U254" i="1"/>
  <c r="U255" i="1" a="1"/>
  <c r="U255" i="1"/>
  <c r="U256" i="1" a="1"/>
  <c r="U256" i="1"/>
  <c r="U257" i="1" a="1"/>
  <c r="U257" i="1"/>
  <c r="U258" i="1" a="1"/>
  <c r="U258" i="1"/>
  <c r="U259" i="1" a="1"/>
  <c r="U259" i="1"/>
  <c r="U260" i="1" a="1"/>
  <c r="U260" i="1"/>
  <c r="U261" i="1" a="1"/>
  <c r="U261" i="1"/>
  <c r="U262" i="1" a="1"/>
  <c r="U262" i="1"/>
  <c r="U263" i="1" a="1"/>
  <c r="U263" i="1"/>
  <c r="U264" i="1" a="1"/>
  <c r="U264" i="1"/>
  <c r="U265" i="1" a="1"/>
  <c r="U265" i="1"/>
  <c r="U266" i="1" a="1"/>
  <c r="U266" i="1"/>
  <c r="U267" i="1" a="1"/>
  <c r="U267" i="1"/>
  <c r="U268" i="1" a="1"/>
  <c r="U268" i="1"/>
  <c r="U269" i="1" a="1"/>
  <c r="U269" i="1"/>
  <c r="U270" i="1" a="1"/>
  <c r="U270" i="1"/>
  <c r="U271" i="1" a="1"/>
  <c r="U271" i="1"/>
  <c r="U272" i="1" a="1"/>
  <c r="U272" i="1"/>
  <c r="U273" i="1" a="1"/>
  <c r="U273" i="1"/>
  <c r="U274" i="1" a="1"/>
  <c r="U274" i="1"/>
  <c r="U275" i="1" a="1"/>
  <c r="U275" i="1"/>
  <c r="U276" i="1" a="1"/>
  <c r="U276" i="1"/>
  <c r="U277" i="1" a="1"/>
  <c r="U277" i="1"/>
  <c r="U278" i="1" a="1"/>
  <c r="U278" i="1"/>
  <c r="U279" i="1" a="1"/>
  <c r="U279" i="1"/>
  <c r="U280" i="1" a="1"/>
  <c r="U280" i="1"/>
  <c r="U281" i="1" a="1"/>
  <c r="U281" i="1"/>
  <c r="U282" i="1" a="1"/>
  <c r="U282" i="1"/>
  <c r="U283" i="1" a="1"/>
  <c r="U283" i="1"/>
  <c r="U284" i="1" a="1"/>
  <c r="U284" i="1"/>
  <c r="U285" i="1" a="1"/>
  <c r="U285" i="1"/>
  <c r="U286" i="1" a="1"/>
  <c r="U286" i="1"/>
  <c r="U287" i="1" a="1"/>
  <c r="U287" i="1"/>
  <c r="U288" i="1" a="1"/>
  <c r="U288" i="1"/>
  <c r="U289" i="1" a="1"/>
  <c r="U289" i="1"/>
  <c r="U290" i="1" a="1"/>
  <c r="U290" i="1"/>
  <c r="U291" i="1" a="1"/>
  <c r="U291" i="1"/>
  <c r="U292" i="1" a="1"/>
  <c r="U292" i="1"/>
  <c r="U293" i="1" a="1"/>
  <c r="U293" i="1"/>
  <c r="U294" i="1" a="1"/>
  <c r="U294" i="1"/>
  <c r="U295" i="1" a="1"/>
  <c r="U295" i="1"/>
  <c r="U296" i="1" a="1"/>
  <c r="U296" i="1"/>
  <c r="U297" i="1" a="1"/>
  <c r="U297" i="1"/>
  <c r="U298" i="1" a="1"/>
  <c r="U298" i="1"/>
  <c r="U299" i="1" a="1"/>
  <c r="U299" i="1"/>
  <c r="U300" i="1" a="1"/>
  <c r="U300" i="1"/>
  <c r="U301" i="1" a="1"/>
  <c r="U301" i="1"/>
  <c r="U302" i="1" a="1"/>
  <c r="U302" i="1"/>
  <c r="U303" i="1" a="1"/>
  <c r="U303" i="1"/>
  <c r="U304" i="1" a="1"/>
  <c r="U304" i="1"/>
  <c r="U305" i="1" a="1"/>
  <c r="U305" i="1"/>
  <c r="U306" i="1" a="1"/>
  <c r="U306" i="1"/>
  <c r="U307" i="1" a="1"/>
  <c r="U307" i="1"/>
  <c r="U308" i="1" a="1"/>
  <c r="U308" i="1"/>
  <c r="U309" i="1" a="1"/>
  <c r="U309" i="1"/>
  <c r="U310" i="1" a="1"/>
  <c r="U310" i="1"/>
  <c r="U311" i="1" a="1"/>
  <c r="U311" i="1"/>
  <c r="U312" i="1" a="1"/>
  <c r="U312" i="1"/>
  <c r="U313" i="1" a="1"/>
  <c r="U313" i="1"/>
  <c r="U314" i="1" a="1"/>
  <c r="U314" i="1"/>
  <c r="U315" i="1" a="1"/>
  <c r="U315" i="1"/>
  <c r="U316" i="1" a="1"/>
  <c r="U316" i="1"/>
  <c r="U317" i="1" a="1"/>
  <c r="U317" i="1"/>
  <c r="U318" i="1" a="1"/>
  <c r="U318" i="1"/>
  <c r="U319" i="1" a="1"/>
  <c r="U319" i="1"/>
  <c r="U320" i="1" a="1"/>
  <c r="U320" i="1"/>
  <c r="U321" i="1" a="1"/>
  <c r="U321" i="1"/>
  <c r="U322" i="1" a="1"/>
  <c r="U322" i="1"/>
  <c r="U323" i="1" a="1"/>
  <c r="U323" i="1"/>
  <c r="U324" i="1" a="1"/>
  <c r="U324" i="1"/>
  <c r="U325" i="1" a="1"/>
  <c r="U325" i="1"/>
  <c r="U326" i="1" a="1"/>
  <c r="U326" i="1"/>
  <c r="U327" i="1" a="1"/>
  <c r="U327" i="1"/>
  <c r="U328" i="1" a="1"/>
  <c r="U328" i="1"/>
  <c r="U329" i="1" a="1"/>
  <c r="U329" i="1"/>
  <c r="U330" i="1" a="1"/>
  <c r="U330" i="1"/>
  <c r="U331" i="1" a="1"/>
  <c r="U331" i="1"/>
  <c r="U332" i="1" a="1"/>
  <c r="U332" i="1"/>
  <c r="U333" i="1" a="1"/>
  <c r="U333" i="1"/>
  <c r="U334" i="1" a="1"/>
  <c r="U334" i="1"/>
  <c r="U335" i="1" a="1"/>
  <c r="U335" i="1"/>
  <c r="U336" i="1" a="1"/>
  <c r="U336" i="1"/>
  <c r="U337" i="1" a="1"/>
  <c r="U337" i="1"/>
  <c r="U338" i="1" a="1"/>
  <c r="U338" i="1"/>
  <c r="U339" i="1" a="1"/>
  <c r="U339" i="1"/>
  <c r="U340" i="1" a="1"/>
  <c r="U340" i="1"/>
  <c r="U341" i="1" a="1"/>
  <c r="U341" i="1"/>
  <c r="U342" i="1" a="1"/>
  <c r="U342" i="1"/>
  <c r="U343" i="1" a="1"/>
  <c r="U343" i="1"/>
  <c r="U344" i="1" a="1"/>
  <c r="U344" i="1"/>
  <c r="U345" i="1" a="1"/>
  <c r="U345" i="1"/>
  <c r="U346" i="1" a="1"/>
  <c r="U346" i="1"/>
  <c r="U347" i="1" a="1"/>
  <c r="U347" i="1"/>
  <c r="U348" i="1" a="1"/>
  <c r="U348" i="1"/>
  <c r="U349" i="1" a="1"/>
  <c r="U349" i="1"/>
  <c r="U350" i="1" a="1"/>
  <c r="U350" i="1"/>
  <c r="U351" i="1" a="1"/>
  <c r="U351" i="1"/>
  <c r="U352" i="1" a="1"/>
  <c r="U352" i="1"/>
  <c r="U353" i="1" a="1"/>
  <c r="U353" i="1"/>
  <c r="U354" i="1" a="1"/>
  <c r="U354" i="1"/>
  <c r="U355" i="1" a="1"/>
  <c r="U355" i="1"/>
  <c r="U356" i="1" a="1"/>
  <c r="U356" i="1"/>
  <c r="U357" i="1" a="1"/>
  <c r="U357" i="1"/>
  <c r="U358" i="1" a="1"/>
  <c r="U358" i="1"/>
  <c r="U359" i="1" a="1"/>
  <c r="U359" i="1"/>
  <c r="U360" i="1" a="1"/>
  <c r="U360" i="1"/>
  <c r="U361" i="1" a="1"/>
  <c r="U361" i="1"/>
  <c r="U362" i="1" a="1"/>
  <c r="U362" i="1"/>
  <c r="U363" i="1" a="1"/>
  <c r="U363" i="1"/>
  <c r="U364" i="1" a="1"/>
  <c r="U364" i="1"/>
  <c r="U365" i="1" a="1"/>
  <c r="U365" i="1"/>
  <c r="U366" i="1" a="1"/>
  <c r="U366" i="1"/>
  <c r="U367" i="1" a="1"/>
  <c r="U367" i="1"/>
  <c r="U368" i="1" a="1"/>
  <c r="U368" i="1"/>
  <c r="U369" i="1" a="1"/>
  <c r="U369" i="1"/>
  <c r="U370" i="1" a="1"/>
  <c r="U370" i="1"/>
  <c r="U371" i="1" a="1"/>
  <c r="U371" i="1"/>
  <c r="U372" i="1" a="1"/>
  <c r="U372" i="1"/>
  <c r="U373" i="1" a="1"/>
  <c r="U373" i="1"/>
  <c r="U374" i="1" a="1"/>
  <c r="U374" i="1"/>
  <c r="U375" i="1" a="1"/>
  <c r="U375" i="1"/>
  <c r="J2" i="6" a="1"/>
  <c r="J2" i="6"/>
  <c r="J3" i="6" a="1"/>
  <c r="J3" i="6"/>
  <c r="J4" i="6" a="1"/>
  <c r="J4" i="6"/>
  <c r="J5" i="6" a="1"/>
  <c r="J5" i="6"/>
  <c r="J6" i="6" a="1"/>
  <c r="J6" i="6"/>
  <c r="J7" i="6" a="1"/>
  <c r="J7" i="6"/>
  <c r="J8" i="6" a="1"/>
  <c r="J8" i="6"/>
  <c r="J9" i="6" a="1"/>
  <c r="J9" i="6"/>
  <c r="J10" i="6" a="1"/>
  <c r="J10" i="6"/>
  <c r="J11" i="6" a="1"/>
  <c r="J11" i="6"/>
  <c r="J12" i="6" a="1"/>
  <c r="J12" i="6"/>
  <c r="J13" i="6" a="1"/>
  <c r="J13" i="6"/>
  <c r="J14" i="6" a="1"/>
  <c r="J14" i="6"/>
  <c r="J15" i="6" a="1"/>
  <c r="J15" i="6"/>
  <c r="J16" i="6" a="1"/>
  <c r="J16" i="6"/>
  <c r="J17" i="6" a="1"/>
  <c r="J17" i="6"/>
  <c r="J18" i="6" a="1"/>
  <c r="J18" i="6"/>
  <c r="J19" i="6" a="1"/>
  <c r="J19" i="6"/>
  <c r="J20" i="6" a="1"/>
  <c r="J20" i="6"/>
  <c r="J21" i="6" a="1"/>
  <c r="J21" i="6"/>
  <c r="J22" i="6" a="1"/>
  <c r="J22" i="6"/>
  <c r="J23" i="6" a="1"/>
  <c r="J23" i="6"/>
  <c r="J24" i="6" a="1"/>
  <c r="J24" i="6"/>
  <c r="J25" i="6" a="1"/>
  <c r="J25" i="6"/>
  <c r="J26" i="6" a="1"/>
  <c r="J26" i="6"/>
  <c r="J27" i="6" a="1"/>
  <c r="J27" i="6"/>
  <c r="J28" i="6" a="1"/>
  <c r="J28" i="6"/>
  <c r="J29" i="6" a="1"/>
  <c r="J29" i="6"/>
  <c r="J30" i="6" a="1"/>
  <c r="J30" i="6"/>
  <c r="J31" i="6" a="1"/>
  <c r="J31" i="6"/>
  <c r="J32" i="6" a="1"/>
  <c r="J32" i="6"/>
  <c r="J33" i="6" a="1"/>
  <c r="J33" i="6"/>
  <c r="J34" i="6" a="1"/>
  <c r="J34" i="6"/>
  <c r="J35" i="6" a="1"/>
  <c r="J35" i="6"/>
  <c r="J36" i="6" a="1"/>
  <c r="J36" i="6"/>
  <c r="J37" i="6" a="1"/>
  <c r="J37" i="6"/>
  <c r="J38" i="6" a="1"/>
  <c r="J38" i="6"/>
  <c r="J39" i="6" a="1"/>
  <c r="J39" i="6"/>
  <c r="J40" i="6" a="1"/>
  <c r="J40" i="6"/>
  <c r="J41" i="6" a="1"/>
  <c r="J41" i="6"/>
  <c r="J42" i="6" a="1"/>
  <c r="J42" i="6"/>
  <c r="J43" i="6" a="1"/>
  <c r="J43" i="6"/>
  <c r="J44" i="6" a="1"/>
  <c r="J44" i="6"/>
  <c r="J45" i="6" a="1"/>
  <c r="J45" i="6"/>
  <c r="J46" i="6" a="1"/>
  <c r="J46" i="6"/>
  <c r="J47" i="6" a="1"/>
  <c r="J47" i="6"/>
  <c r="J48" i="6" a="1"/>
  <c r="J48" i="6"/>
  <c r="J49" i="6" a="1"/>
  <c r="J49" i="6"/>
  <c r="J50" i="6" a="1"/>
  <c r="J50" i="6"/>
  <c r="J51" i="6" a="1"/>
  <c r="J51" i="6"/>
  <c r="J52" i="6" a="1"/>
  <c r="J52" i="6"/>
  <c r="J53" i="6" a="1"/>
  <c r="J53" i="6"/>
  <c r="J54" i="6" a="1"/>
  <c r="J54" i="6"/>
  <c r="J55" i="6" a="1"/>
  <c r="J55" i="6"/>
  <c r="J56" i="6" a="1"/>
  <c r="J56" i="6"/>
  <c r="J57" i="6" a="1"/>
  <c r="J57" i="6"/>
  <c r="J58" i="6" a="1"/>
  <c r="J58" i="6"/>
  <c r="J59" i="6" a="1"/>
  <c r="J59" i="6"/>
  <c r="J60" i="6" a="1"/>
  <c r="J60" i="6"/>
  <c r="J61" i="6" a="1"/>
  <c r="J61" i="6"/>
  <c r="J62" i="6" a="1"/>
  <c r="J62" i="6"/>
  <c r="J63" i="6" a="1"/>
  <c r="J63" i="6"/>
  <c r="J64" i="6" a="1"/>
  <c r="J64" i="6"/>
  <c r="J65" i="6" a="1"/>
  <c r="J65" i="6"/>
  <c r="J66" i="6" a="1"/>
  <c r="J66" i="6"/>
  <c r="J67" i="6" a="1"/>
  <c r="J67" i="6"/>
  <c r="J68" i="6" a="1"/>
  <c r="J68" i="6"/>
  <c r="J69" i="6" a="1"/>
  <c r="J69" i="6"/>
  <c r="J70" i="6" a="1"/>
  <c r="J70" i="6"/>
  <c r="J71" i="6" a="1"/>
  <c r="J71" i="6"/>
  <c r="J72" i="6" a="1"/>
  <c r="J72" i="6"/>
  <c r="J73" i="6" a="1"/>
  <c r="J73" i="6"/>
  <c r="J74" i="6" a="1"/>
  <c r="J74" i="6"/>
  <c r="J75" i="6" a="1"/>
  <c r="J75" i="6"/>
  <c r="J76" i="6" a="1"/>
  <c r="J76" i="6"/>
  <c r="J77" i="6" a="1"/>
  <c r="J77" i="6"/>
  <c r="J78" i="6" a="1"/>
  <c r="J78" i="6"/>
  <c r="J79" i="6" a="1"/>
  <c r="J79" i="6"/>
  <c r="J80" i="6" a="1"/>
  <c r="J80" i="6"/>
  <c r="J81" i="6" a="1"/>
  <c r="J81" i="6"/>
  <c r="J82" i="6" a="1"/>
  <c r="J82" i="6"/>
  <c r="J83" i="6" a="1"/>
  <c r="J83" i="6"/>
  <c r="J84" i="6" a="1"/>
  <c r="J84" i="6"/>
  <c r="J85" i="6" a="1"/>
  <c r="J85" i="6"/>
  <c r="J86" i="6" a="1"/>
  <c r="J86" i="6"/>
  <c r="J87" i="6" a="1"/>
  <c r="J87" i="6"/>
  <c r="J88" i="6" a="1"/>
  <c r="J88" i="6"/>
  <c r="J89" i="6" a="1"/>
  <c r="J89" i="6"/>
  <c r="J90" i="6" a="1"/>
  <c r="J90" i="6"/>
  <c r="J91" i="6" a="1"/>
  <c r="J91" i="6"/>
  <c r="J92" i="6" a="1"/>
  <c r="J92" i="6"/>
  <c r="J93" i="6" a="1"/>
  <c r="J93" i="6"/>
  <c r="J94" i="6" a="1"/>
  <c r="J94" i="6"/>
  <c r="J95" i="6" a="1"/>
  <c r="J95" i="6"/>
  <c r="J96" i="6" a="1"/>
  <c r="J96" i="6"/>
  <c r="J97" i="6" a="1"/>
  <c r="J97" i="6"/>
  <c r="J98" i="6" a="1"/>
  <c r="J98" i="6"/>
  <c r="J99" i="6" a="1"/>
  <c r="J99" i="6"/>
  <c r="J100" i="6" a="1"/>
  <c r="J100" i="6"/>
  <c r="J101" i="6" a="1"/>
  <c r="J101" i="6"/>
  <c r="J102" i="6" a="1"/>
  <c r="J102" i="6"/>
  <c r="J103" i="6" a="1"/>
  <c r="J103" i="6"/>
  <c r="J104" i="6" a="1"/>
  <c r="J104" i="6"/>
  <c r="J105" i="6" a="1"/>
  <c r="J105" i="6"/>
  <c r="J106" i="6" a="1"/>
  <c r="J106" i="6"/>
  <c r="J107" i="6" a="1"/>
  <c r="J107" i="6"/>
  <c r="J108" i="6" a="1"/>
  <c r="J108" i="6"/>
  <c r="J109" i="6" a="1"/>
  <c r="J109" i="6"/>
  <c r="J110" i="6" a="1"/>
  <c r="J110" i="6"/>
  <c r="J111" i="6" a="1"/>
  <c r="J111" i="6"/>
  <c r="J112" i="6" a="1"/>
  <c r="J112" i="6"/>
  <c r="J113" i="6" a="1"/>
  <c r="J113" i="6"/>
  <c r="J114" i="6" a="1"/>
  <c r="J114" i="6"/>
  <c r="J115" i="6" a="1"/>
  <c r="J115" i="6"/>
  <c r="J116" i="6" a="1"/>
  <c r="J116" i="6"/>
  <c r="J117" i="6" a="1"/>
  <c r="J117" i="6"/>
  <c r="J118" i="6" a="1"/>
  <c r="J118" i="6"/>
  <c r="J119" i="6" a="1"/>
  <c r="J119" i="6"/>
  <c r="J120" i="6" a="1"/>
  <c r="J120" i="6"/>
  <c r="J121" i="6" a="1"/>
  <c r="J121" i="6"/>
  <c r="J122" i="6" a="1"/>
  <c r="J122" i="6"/>
  <c r="J123" i="6" a="1"/>
  <c r="J123" i="6"/>
  <c r="J124" i="6" a="1"/>
  <c r="J124" i="6"/>
  <c r="J125" i="6" a="1"/>
  <c r="J125" i="6"/>
  <c r="J126" i="6" a="1"/>
  <c r="J126" i="6"/>
  <c r="J127" i="6" a="1"/>
  <c r="J127" i="6"/>
  <c r="J128" i="6" a="1"/>
  <c r="J128" i="6"/>
  <c r="J129" i="6" a="1"/>
  <c r="J129" i="6"/>
  <c r="J130" i="6" a="1"/>
  <c r="J130" i="6"/>
  <c r="J131" i="6" a="1"/>
  <c r="J131" i="6"/>
  <c r="J132" i="6" a="1"/>
  <c r="J132" i="6"/>
  <c r="J133" i="6" a="1"/>
  <c r="J133" i="6"/>
  <c r="J134" i="6" a="1"/>
  <c r="J134" i="6"/>
  <c r="J135" i="6" a="1"/>
  <c r="J135" i="6"/>
  <c r="J136" i="6" a="1"/>
  <c r="J136" i="6"/>
  <c r="J137" i="6" a="1"/>
  <c r="J137" i="6"/>
  <c r="J138" i="6" a="1"/>
  <c r="J138" i="6"/>
  <c r="J139" i="6" a="1"/>
  <c r="J139" i="6"/>
  <c r="J140" i="6" a="1"/>
  <c r="J140" i="6"/>
  <c r="J141" i="6" a="1"/>
  <c r="J141" i="6"/>
  <c r="J142" i="6" a="1"/>
  <c r="J142" i="6"/>
  <c r="J143" i="6" a="1"/>
  <c r="J143" i="6"/>
  <c r="J144" i="6" a="1"/>
  <c r="J144" i="6"/>
  <c r="J145" i="6" a="1"/>
  <c r="J145" i="6"/>
  <c r="J146" i="6" a="1"/>
  <c r="J146" i="6"/>
  <c r="J147" i="6" a="1"/>
  <c r="J147" i="6"/>
  <c r="J148" i="6" a="1"/>
  <c r="J148" i="6"/>
  <c r="J149" i="6" a="1"/>
  <c r="J149" i="6"/>
  <c r="J150" i="6" a="1"/>
  <c r="J150" i="6"/>
  <c r="J151" i="6" a="1"/>
  <c r="J151" i="6"/>
  <c r="J152" i="6" a="1"/>
  <c r="J152" i="6"/>
  <c r="J153" i="6" a="1"/>
  <c r="J153" i="6"/>
  <c r="J154" i="6" a="1"/>
  <c r="J154" i="6"/>
  <c r="J155" i="6" a="1"/>
  <c r="J155" i="6"/>
  <c r="J156" i="6" a="1"/>
  <c r="J156" i="6"/>
  <c r="J157" i="6" a="1"/>
  <c r="J157" i="6"/>
  <c r="J158" i="6" a="1"/>
  <c r="J158" i="6"/>
  <c r="J159" i="6" a="1"/>
  <c r="J159" i="6"/>
  <c r="J160" i="6" a="1"/>
  <c r="J160" i="6"/>
  <c r="J161" i="6" a="1"/>
  <c r="J161" i="6"/>
  <c r="J162" i="6" a="1"/>
  <c r="J162" i="6"/>
  <c r="J163" i="6" a="1"/>
  <c r="J163" i="6"/>
  <c r="J164" i="6" a="1"/>
  <c r="J164" i="6"/>
  <c r="J165" i="6" a="1"/>
  <c r="J165" i="6"/>
  <c r="J166" i="6" a="1"/>
  <c r="J166" i="6"/>
  <c r="J167" i="6" a="1"/>
  <c r="J167" i="6"/>
  <c r="J168" i="6" a="1"/>
  <c r="J168" i="6"/>
  <c r="J169" i="6" a="1"/>
  <c r="J169" i="6"/>
  <c r="J170" i="6" a="1"/>
  <c r="J170" i="6"/>
  <c r="J171" i="6" a="1"/>
  <c r="J171" i="6"/>
  <c r="J172" i="6" a="1"/>
  <c r="J172" i="6"/>
  <c r="J173" i="6" a="1"/>
  <c r="J173" i="6"/>
  <c r="J174" i="6" a="1"/>
  <c r="J174" i="6"/>
  <c r="J175" i="6" a="1"/>
  <c r="J175" i="6"/>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70" i="1"/>
  <c r="T371" i="1"/>
  <c r="T372" i="1"/>
  <c r="T373" i="1"/>
  <c r="T374" i="1"/>
  <c r="T375" i="1"/>
  <c r="S2" i="1" a="1"/>
  <c r="S2" i="1"/>
  <c r="S3" i="1" a="1"/>
  <c r="S3" i="1"/>
  <c r="S4" i="1" a="1"/>
  <c r="S4" i="1"/>
  <c r="S5" i="1" a="1"/>
  <c r="S5" i="1"/>
  <c r="S6" i="1" a="1"/>
  <c r="S6" i="1"/>
  <c r="S7" i="1" a="1"/>
  <c r="S7" i="1"/>
  <c r="S8" i="1" a="1"/>
  <c r="S8" i="1"/>
  <c r="S9" i="1" a="1"/>
  <c r="S9" i="1"/>
  <c r="S10" i="1" a="1"/>
  <c r="S10" i="1"/>
  <c r="S11" i="1" a="1"/>
  <c r="S11" i="1"/>
  <c r="S12" i="1" a="1"/>
  <c r="S12" i="1"/>
  <c r="S13" i="1" a="1"/>
  <c r="S13" i="1"/>
  <c r="S14" i="1" a="1"/>
  <c r="S14" i="1"/>
  <c r="S15" i="1" a="1"/>
  <c r="S15" i="1"/>
  <c r="S16" i="1" a="1"/>
  <c r="S16" i="1"/>
  <c r="S17" i="1" a="1"/>
  <c r="S17" i="1"/>
  <c r="S18" i="1" a="1"/>
  <c r="S18" i="1"/>
  <c r="S19" i="1" a="1"/>
  <c r="S19" i="1"/>
  <c r="S20" i="1" a="1"/>
  <c r="S20" i="1"/>
  <c r="S21" i="1" a="1"/>
  <c r="S21" i="1"/>
  <c r="S22" i="1" a="1"/>
  <c r="S22" i="1"/>
  <c r="S23" i="1" a="1"/>
  <c r="S23" i="1"/>
  <c r="S24" i="1" a="1"/>
  <c r="S24" i="1"/>
  <c r="S25" i="1" a="1"/>
  <c r="S25" i="1"/>
  <c r="S26" i="1" a="1"/>
  <c r="S26" i="1"/>
  <c r="S27" i="1" a="1"/>
  <c r="S27" i="1"/>
  <c r="S28" i="1" a="1"/>
  <c r="S28" i="1"/>
  <c r="S29" i="1" a="1"/>
  <c r="S29" i="1"/>
  <c r="S30" i="1" a="1"/>
  <c r="S30" i="1"/>
  <c r="S31" i="1" a="1"/>
  <c r="S31" i="1"/>
  <c r="S32" i="1" a="1"/>
  <c r="S32" i="1"/>
  <c r="S33" i="1" a="1"/>
  <c r="S33" i="1"/>
  <c r="S34" i="1" a="1"/>
  <c r="S34" i="1"/>
  <c r="S35" i="1" a="1"/>
  <c r="S35" i="1"/>
  <c r="S36" i="1" a="1"/>
  <c r="S36" i="1"/>
  <c r="S37" i="1" a="1"/>
  <c r="S37" i="1"/>
  <c r="S38" i="1" a="1"/>
  <c r="S38" i="1"/>
  <c r="S39" i="1" a="1"/>
  <c r="S39" i="1"/>
  <c r="S40" i="1" a="1"/>
  <c r="S40" i="1"/>
  <c r="S41" i="1" a="1"/>
  <c r="S41" i="1"/>
  <c r="S42" i="1" a="1"/>
  <c r="S42" i="1"/>
  <c r="S43" i="1" a="1"/>
  <c r="S43" i="1"/>
  <c r="S44" i="1" a="1"/>
  <c r="S44" i="1"/>
  <c r="S45" i="1" a="1"/>
  <c r="S45" i="1"/>
  <c r="S46" i="1" a="1"/>
  <c r="S46" i="1"/>
  <c r="S47" i="1" a="1"/>
  <c r="S47" i="1"/>
  <c r="S48" i="1" a="1"/>
  <c r="S48" i="1"/>
  <c r="S49" i="1" a="1"/>
  <c r="S49" i="1"/>
  <c r="S50" i="1" a="1"/>
  <c r="S50" i="1"/>
  <c r="S51" i="1" a="1"/>
  <c r="S51" i="1"/>
  <c r="S52" i="1" a="1"/>
  <c r="S52" i="1"/>
  <c r="S53" i="1" a="1"/>
  <c r="S53" i="1"/>
  <c r="S54" i="1" a="1"/>
  <c r="S54" i="1"/>
  <c r="S55" i="1" a="1"/>
  <c r="S55" i="1"/>
  <c r="S56" i="1" a="1"/>
  <c r="S56" i="1"/>
  <c r="S57" i="1" a="1"/>
  <c r="S57" i="1"/>
  <c r="S58" i="1" a="1"/>
  <c r="S58" i="1"/>
  <c r="S59" i="1" a="1"/>
  <c r="S59" i="1"/>
  <c r="S60" i="1" a="1"/>
  <c r="S60" i="1"/>
  <c r="S61" i="1" a="1"/>
  <c r="S61" i="1"/>
  <c r="S62" i="1" a="1"/>
  <c r="S62" i="1"/>
  <c r="S63" i="1" a="1"/>
  <c r="S63" i="1"/>
  <c r="S64" i="1" a="1"/>
  <c r="S64" i="1"/>
  <c r="S65" i="1" a="1"/>
  <c r="S65" i="1"/>
  <c r="S66" i="1" a="1"/>
  <c r="S66" i="1"/>
  <c r="S67" i="1" a="1"/>
  <c r="S67" i="1"/>
  <c r="S68" i="1" a="1"/>
  <c r="S68" i="1"/>
  <c r="S69" i="1" a="1"/>
  <c r="S69" i="1"/>
  <c r="S70" i="1" a="1"/>
  <c r="S70" i="1"/>
  <c r="S71" i="1" a="1"/>
  <c r="S71" i="1"/>
  <c r="S72" i="1" a="1"/>
  <c r="S72" i="1"/>
  <c r="S73" i="1" a="1"/>
  <c r="S73" i="1"/>
  <c r="S74" i="1" a="1"/>
  <c r="S74" i="1"/>
  <c r="S75" i="1" a="1"/>
  <c r="S75" i="1"/>
  <c r="S76" i="1" a="1"/>
  <c r="S76" i="1"/>
  <c r="S77" i="1" a="1"/>
  <c r="S77" i="1"/>
  <c r="S78" i="1" a="1"/>
  <c r="S78" i="1"/>
  <c r="S79" i="1" a="1"/>
  <c r="S79" i="1"/>
  <c r="S80" i="1" a="1"/>
  <c r="S80" i="1"/>
  <c r="S81" i="1" a="1"/>
  <c r="S81" i="1"/>
  <c r="S82" i="1" a="1"/>
  <c r="S82" i="1"/>
  <c r="S83" i="1" a="1"/>
  <c r="S83" i="1"/>
  <c r="S84" i="1" a="1"/>
  <c r="S84" i="1"/>
  <c r="S85" i="1" a="1"/>
  <c r="S85" i="1"/>
  <c r="S86" i="1" a="1"/>
  <c r="S86" i="1"/>
  <c r="S87" i="1" a="1"/>
  <c r="S87" i="1"/>
  <c r="S88" i="1" a="1"/>
  <c r="S88" i="1"/>
  <c r="S89" i="1" a="1"/>
  <c r="S89" i="1"/>
  <c r="S90" i="1" a="1"/>
  <c r="S90" i="1"/>
  <c r="S91" i="1" a="1"/>
  <c r="S91" i="1"/>
  <c r="S92" i="1" a="1"/>
  <c r="S92" i="1"/>
  <c r="S93" i="1" a="1"/>
  <c r="S93" i="1"/>
  <c r="S94" i="1" a="1"/>
  <c r="S94" i="1"/>
  <c r="S95" i="1" a="1"/>
  <c r="S95" i="1"/>
  <c r="S96" i="1" a="1"/>
  <c r="S96" i="1"/>
  <c r="S97" i="1" a="1"/>
  <c r="S97" i="1"/>
  <c r="S98" i="1" a="1"/>
  <c r="S98" i="1"/>
  <c r="S99" i="1" a="1"/>
  <c r="S99" i="1"/>
  <c r="S100" i="1" a="1"/>
  <c r="S100" i="1"/>
  <c r="S101" i="1" a="1"/>
  <c r="S101" i="1"/>
  <c r="S102" i="1" a="1"/>
  <c r="S102" i="1"/>
  <c r="S103" i="1" a="1"/>
  <c r="S103" i="1"/>
  <c r="S104" i="1" a="1"/>
  <c r="S104" i="1"/>
  <c r="S105" i="1" a="1"/>
  <c r="S105" i="1"/>
  <c r="S106" i="1" a="1"/>
  <c r="S106" i="1"/>
  <c r="S107" i="1" a="1"/>
  <c r="S107" i="1"/>
  <c r="S108" i="1" a="1"/>
  <c r="S108" i="1"/>
  <c r="S109" i="1" a="1"/>
  <c r="S109" i="1"/>
  <c r="S110" i="1" a="1"/>
  <c r="S110" i="1"/>
  <c r="S111" i="1" a="1"/>
  <c r="S111" i="1"/>
  <c r="S112" i="1" a="1"/>
  <c r="S112" i="1"/>
  <c r="S113" i="1" a="1"/>
  <c r="S113" i="1"/>
  <c r="S114" i="1" a="1"/>
  <c r="S114" i="1"/>
  <c r="S115" i="1" a="1"/>
  <c r="S115" i="1"/>
  <c r="S116" i="1" a="1"/>
  <c r="S116" i="1"/>
  <c r="S117" i="1" a="1"/>
  <c r="S117" i="1"/>
  <c r="S118" i="1" a="1"/>
  <c r="S118" i="1"/>
  <c r="S119" i="1" a="1"/>
  <c r="S119" i="1"/>
  <c r="S120" i="1" a="1"/>
  <c r="S120" i="1"/>
  <c r="S121" i="1" a="1"/>
  <c r="S121" i="1"/>
  <c r="S122" i="1" a="1"/>
  <c r="S122" i="1"/>
  <c r="S123" i="1" a="1"/>
  <c r="S123" i="1"/>
  <c r="S124" i="1" a="1"/>
  <c r="S124" i="1"/>
  <c r="S125" i="1" a="1"/>
  <c r="S125" i="1"/>
  <c r="S126" i="1" a="1"/>
  <c r="S126" i="1"/>
  <c r="S127" i="1" a="1"/>
  <c r="S127" i="1"/>
  <c r="S128" i="1" a="1"/>
  <c r="S128" i="1"/>
  <c r="S129" i="1" a="1"/>
  <c r="S129" i="1"/>
  <c r="S130" i="1" a="1"/>
  <c r="S130" i="1"/>
  <c r="S131" i="1" a="1"/>
  <c r="S131" i="1"/>
  <c r="S132" i="1" a="1"/>
  <c r="S132" i="1"/>
  <c r="S133" i="1" a="1"/>
  <c r="S133" i="1"/>
  <c r="S134" i="1" a="1"/>
  <c r="S134" i="1"/>
  <c r="S135" i="1" a="1"/>
  <c r="S135" i="1"/>
  <c r="S136" i="1" a="1"/>
  <c r="S136" i="1"/>
  <c r="S137" i="1" a="1"/>
  <c r="S137" i="1"/>
  <c r="S138" i="1" a="1"/>
  <c r="S138" i="1"/>
  <c r="S139" i="1" a="1"/>
  <c r="S139" i="1"/>
  <c r="S140" i="1" a="1"/>
  <c r="S140" i="1"/>
  <c r="S141" i="1" a="1"/>
  <c r="S141" i="1"/>
  <c r="S142" i="1" a="1"/>
  <c r="S142" i="1"/>
  <c r="S143" i="1" a="1"/>
  <c r="S143" i="1"/>
  <c r="S144" i="1" a="1"/>
  <c r="S144" i="1"/>
  <c r="S145" i="1" a="1"/>
  <c r="S145" i="1"/>
  <c r="S146" i="1" a="1"/>
  <c r="S146" i="1"/>
  <c r="S147" i="1" a="1"/>
  <c r="S147" i="1"/>
  <c r="S148" i="1" a="1"/>
  <c r="S148" i="1"/>
  <c r="S149" i="1" a="1"/>
  <c r="S149" i="1"/>
  <c r="S150" i="1" a="1"/>
  <c r="S150" i="1"/>
  <c r="S151" i="1" a="1"/>
  <c r="S151" i="1"/>
  <c r="S152" i="1" a="1"/>
  <c r="S152" i="1"/>
  <c r="S153" i="1" a="1"/>
  <c r="S153" i="1"/>
  <c r="S154" i="1" a="1"/>
  <c r="S154" i="1"/>
  <c r="S155" i="1" a="1"/>
  <c r="S155" i="1"/>
  <c r="S156" i="1" a="1"/>
  <c r="S156" i="1"/>
  <c r="S157" i="1" a="1"/>
  <c r="S157" i="1"/>
  <c r="S158" i="1" a="1"/>
  <c r="S158" i="1"/>
  <c r="S159" i="1" a="1"/>
  <c r="S159" i="1"/>
  <c r="S160" i="1" a="1"/>
  <c r="S160" i="1"/>
  <c r="S161" i="1" a="1"/>
  <c r="S161" i="1"/>
  <c r="S162" i="1" a="1"/>
  <c r="S162" i="1"/>
  <c r="S163" i="1" a="1"/>
  <c r="S163" i="1"/>
  <c r="S164" i="1" a="1"/>
  <c r="S164" i="1"/>
  <c r="S165" i="1" a="1"/>
  <c r="S165" i="1"/>
  <c r="S166" i="1" a="1"/>
  <c r="S166" i="1"/>
  <c r="S167" i="1" a="1"/>
  <c r="S167" i="1"/>
  <c r="S168" i="1" a="1"/>
  <c r="S168" i="1"/>
  <c r="S169" i="1" a="1"/>
  <c r="S169" i="1"/>
  <c r="S170" i="1" a="1"/>
  <c r="S170" i="1"/>
  <c r="S171" i="1" a="1"/>
  <c r="S171" i="1"/>
  <c r="S172" i="1" a="1"/>
  <c r="S172" i="1"/>
  <c r="S173" i="1" a="1"/>
  <c r="S173" i="1"/>
  <c r="S174" i="1" a="1"/>
  <c r="S174" i="1"/>
  <c r="S175" i="1" a="1"/>
  <c r="S175" i="1"/>
  <c r="S176" i="1" a="1"/>
  <c r="S176" i="1"/>
  <c r="S177" i="1" a="1"/>
  <c r="S177" i="1"/>
  <c r="S178" i="1" a="1"/>
  <c r="S178" i="1"/>
  <c r="S179" i="1" a="1"/>
  <c r="S179" i="1"/>
  <c r="S180" i="1" a="1"/>
  <c r="S180" i="1"/>
  <c r="S181" i="1" a="1"/>
  <c r="S181" i="1"/>
  <c r="S182" i="1" a="1"/>
  <c r="S182" i="1"/>
  <c r="S183" i="1" a="1"/>
  <c r="S183" i="1"/>
  <c r="S184" i="1" a="1"/>
  <c r="S184" i="1"/>
  <c r="S185" i="1" a="1"/>
  <c r="S185" i="1"/>
  <c r="S186" i="1" a="1"/>
  <c r="S186" i="1"/>
  <c r="S187" i="1" a="1"/>
  <c r="S187" i="1"/>
  <c r="S188" i="1" a="1"/>
  <c r="S188" i="1"/>
  <c r="S189" i="1" a="1"/>
  <c r="S189" i="1"/>
  <c r="S190" i="1" a="1"/>
  <c r="S190" i="1"/>
  <c r="S191" i="1" a="1"/>
  <c r="S191" i="1"/>
  <c r="S192" i="1" a="1"/>
  <c r="S192" i="1"/>
  <c r="S193" i="1" a="1"/>
  <c r="S193" i="1"/>
  <c r="S194" i="1" a="1"/>
  <c r="S194" i="1"/>
  <c r="S195" i="1" a="1"/>
  <c r="S195" i="1"/>
  <c r="S196" i="1" a="1"/>
  <c r="S196" i="1"/>
  <c r="S197" i="1" a="1"/>
  <c r="S197" i="1"/>
  <c r="S198" i="1" a="1"/>
  <c r="S198" i="1"/>
  <c r="S199" i="1" a="1"/>
  <c r="S199" i="1"/>
  <c r="S200" i="1" a="1"/>
  <c r="S200" i="1"/>
  <c r="S201" i="1" a="1"/>
  <c r="S201" i="1"/>
  <c r="S202" i="1" a="1"/>
  <c r="S202" i="1"/>
  <c r="S203" i="1" a="1"/>
  <c r="S203" i="1"/>
  <c r="S204" i="1" a="1"/>
  <c r="S204" i="1"/>
  <c r="S205" i="1" a="1"/>
  <c r="S205" i="1"/>
  <c r="S206" i="1" a="1"/>
  <c r="S206" i="1"/>
  <c r="S207" i="1" a="1"/>
  <c r="S207" i="1"/>
  <c r="S208" i="1" a="1"/>
  <c r="S208" i="1"/>
  <c r="S209" i="1" a="1"/>
  <c r="S209" i="1"/>
  <c r="S210" i="1" a="1"/>
  <c r="S210" i="1"/>
  <c r="S211" i="1" a="1"/>
  <c r="S211" i="1"/>
  <c r="S212" i="1" a="1"/>
  <c r="S212" i="1"/>
  <c r="S213" i="1" a="1"/>
  <c r="S213" i="1"/>
  <c r="S214" i="1" a="1"/>
  <c r="S214" i="1"/>
  <c r="S215" i="1" a="1"/>
  <c r="S215" i="1"/>
  <c r="S216" i="1" a="1"/>
  <c r="S216" i="1"/>
  <c r="S217" i="1" a="1"/>
  <c r="S217" i="1"/>
  <c r="S218" i="1" a="1"/>
  <c r="S218" i="1"/>
  <c r="S219" i="1" a="1"/>
  <c r="S219" i="1"/>
  <c r="S220" i="1" a="1"/>
  <c r="S220" i="1"/>
  <c r="S221" i="1" a="1"/>
  <c r="S221" i="1"/>
  <c r="S222" i="1" a="1"/>
  <c r="S222" i="1"/>
  <c r="S223" i="1" a="1"/>
  <c r="S223" i="1"/>
  <c r="S224" i="1" a="1"/>
  <c r="S224" i="1"/>
  <c r="S225" i="1" a="1"/>
  <c r="S225" i="1"/>
  <c r="S226" i="1" a="1"/>
  <c r="S226" i="1"/>
  <c r="S227" i="1" a="1"/>
  <c r="S227" i="1"/>
  <c r="S228" i="1" a="1"/>
  <c r="S228" i="1"/>
  <c r="S229" i="1" a="1"/>
  <c r="S229" i="1"/>
  <c r="S230" i="1" a="1"/>
  <c r="S230" i="1"/>
  <c r="S231" i="1" a="1"/>
  <c r="S231" i="1"/>
  <c r="S232" i="1" a="1"/>
  <c r="S232" i="1"/>
  <c r="S233" i="1" a="1"/>
  <c r="S233" i="1"/>
  <c r="S234" i="1" a="1"/>
  <c r="S234" i="1"/>
  <c r="S235" i="1" a="1"/>
  <c r="S235" i="1"/>
  <c r="S236" i="1" a="1"/>
  <c r="S236" i="1"/>
  <c r="S237" i="1" a="1"/>
  <c r="S237" i="1"/>
  <c r="S238" i="1" a="1"/>
  <c r="S238" i="1"/>
  <c r="S239" i="1" a="1"/>
  <c r="S239" i="1"/>
  <c r="S240" i="1" a="1"/>
  <c r="S240" i="1"/>
  <c r="S241" i="1" a="1"/>
  <c r="S241" i="1"/>
  <c r="S242" i="1" a="1"/>
  <c r="S242" i="1"/>
  <c r="S243" i="1" a="1"/>
  <c r="S243" i="1"/>
  <c r="S244" i="1" a="1"/>
  <c r="S244" i="1"/>
  <c r="S245" i="1" a="1"/>
  <c r="S245" i="1"/>
  <c r="S246" i="1" a="1"/>
  <c r="S246" i="1"/>
  <c r="S247" i="1" a="1"/>
  <c r="S247" i="1"/>
  <c r="S248" i="1" a="1"/>
  <c r="S248" i="1"/>
  <c r="S249" i="1" a="1"/>
  <c r="S249" i="1"/>
  <c r="S250" i="1" a="1"/>
  <c r="S250" i="1"/>
  <c r="S251" i="1" a="1"/>
  <c r="S251" i="1"/>
  <c r="S252" i="1" a="1"/>
  <c r="S252" i="1"/>
  <c r="S253" i="1" a="1"/>
  <c r="S253" i="1"/>
  <c r="S254" i="1" a="1"/>
  <c r="S254" i="1"/>
  <c r="S255" i="1" a="1"/>
  <c r="S255" i="1"/>
  <c r="S256" i="1" a="1"/>
  <c r="S256" i="1"/>
  <c r="S257" i="1" a="1"/>
  <c r="S257" i="1"/>
  <c r="S258" i="1" a="1"/>
  <c r="S258" i="1"/>
  <c r="S259" i="1" a="1"/>
  <c r="S259" i="1"/>
  <c r="S260" i="1" a="1"/>
  <c r="S260" i="1"/>
  <c r="S261" i="1" a="1"/>
  <c r="S261" i="1"/>
  <c r="S262" i="1" a="1"/>
  <c r="S262" i="1"/>
  <c r="S263" i="1" a="1"/>
  <c r="S263" i="1"/>
  <c r="S264" i="1" a="1"/>
  <c r="S264" i="1"/>
  <c r="S265" i="1" a="1"/>
  <c r="S265" i="1"/>
  <c r="S266" i="1" a="1"/>
  <c r="S266" i="1"/>
  <c r="S267" i="1" a="1"/>
  <c r="S267" i="1"/>
  <c r="S268" i="1" a="1"/>
  <c r="S268" i="1"/>
  <c r="S269" i="1" a="1"/>
  <c r="S269" i="1"/>
  <c r="S270" i="1" a="1"/>
  <c r="S270" i="1"/>
  <c r="S271" i="1" a="1"/>
  <c r="S271" i="1"/>
  <c r="S272" i="1" a="1"/>
  <c r="S272" i="1"/>
  <c r="S273" i="1" a="1"/>
  <c r="S273" i="1"/>
  <c r="S274" i="1" a="1"/>
  <c r="S274" i="1"/>
  <c r="S275" i="1" a="1"/>
  <c r="S275" i="1"/>
  <c r="S276" i="1" a="1"/>
  <c r="S276" i="1"/>
  <c r="S277" i="1" a="1"/>
  <c r="S277" i="1"/>
  <c r="S278" i="1" a="1"/>
  <c r="S278" i="1"/>
  <c r="S279" i="1" a="1"/>
  <c r="S279" i="1"/>
  <c r="S280" i="1" a="1"/>
  <c r="S280" i="1"/>
  <c r="S281" i="1" a="1"/>
  <c r="S281" i="1"/>
  <c r="S282" i="1" a="1"/>
  <c r="S282" i="1"/>
  <c r="S283" i="1" a="1"/>
  <c r="S283" i="1"/>
  <c r="S284" i="1" a="1"/>
  <c r="S284" i="1"/>
  <c r="S285" i="1" a="1"/>
  <c r="S285" i="1"/>
  <c r="S286" i="1" a="1"/>
  <c r="S286" i="1"/>
  <c r="S287" i="1" a="1"/>
  <c r="S287" i="1"/>
  <c r="S288" i="1" a="1"/>
  <c r="S288" i="1"/>
  <c r="S289" i="1" a="1"/>
  <c r="S289" i="1"/>
  <c r="S290" i="1" a="1"/>
  <c r="S290" i="1"/>
  <c r="S291" i="1" a="1"/>
  <c r="S291" i="1"/>
  <c r="S292" i="1" a="1"/>
  <c r="S292" i="1"/>
  <c r="S293" i="1" a="1"/>
  <c r="S293" i="1"/>
  <c r="S294" i="1" a="1"/>
  <c r="S294" i="1"/>
  <c r="S295" i="1" a="1"/>
  <c r="S295" i="1"/>
  <c r="S296" i="1" a="1"/>
  <c r="S296" i="1"/>
  <c r="S297" i="1" a="1"/>
  <c r="S297" i="1"/>
  <c r="S298" i="1" a="1"/>
  <c r="S298" i="1"/>
  <c r="S299" i="1" a="1"/>
  <c r="S299" i="1"/>
  <c r="S300" i="1" a="1"/>
  <c r="S300" i="1"/>
  <c r="S301" i="1" a="1"/>
  <c r="S301" i="1"/>
  <c r="S302" i="1" a="1"/>
  <c r="S302" i="1"/>
  <c r="S303" i="1" a="1"/>
  <c r="S303" i="1"/>
  <c r="S304" i="1" a="1"/>
  <c r="S304" i="1"/>
  <c r="S305" i="1" a="1"/>
  <c r="S305" i="1"/>
  <c r="S306" i="1" a="1"/>
  <c r="S306" i="1"/>
  <c r="S307" i="1" a="1"/>
  <c r="S307" i="1"/>
  <c r="S308" i="1" a="1"/>
  <c r="S308" i="1"/>
  <c r="S309" i="1" a="1"/>
  <c r="S309" i="1"/>
  <c r="S310" i="1" a="1"/>
  <c r="S310" i="1"/>
  <c r="S311" i="1" a="1"/>
  <c r="S311" i="1"/>
  <c r="S312" i="1" a="1"/>
  <c r="S312" i="1"/>
  <c r="S313" i="1" a="1"/>
  <c r="S313" i="1"/>
  <c r="S314" i="1" a="1"/>
  <c r="S314" i="1"/>
  <c r="S315" i="1" a="1"/>
  <c r="S315" i="1"/>
  <c r="S316" i="1" a="1"/>
  <c r="S316" i="1"/>
  <c r="S317" i="1" a="1"/>
  <c r="S317" i="1"/>
  <c r="S318" i="1" a="1"/>
  <c r="S318" i="1"/>
  <c r="S319" i="1" a="1"/>
  <c r="S319" i="1"/>
  <c r="S320" i="1" a="1"/>
  <c r="S320" i="1"/>
  <c r="S321" i="1" a="1"/>
  <c r="S321" i="1"/>
  <c r="S322" i="1" a="1"/>
  <c r="S322" i="1"/>
  <c r="S323" i="1" a="1"/>
  <c r="S323" i="1"/>
  <c r="S324" i="1" a="1"/>
  <c r="S324" i="1"/>
  <c r="S325" i="1" a="1"/>
  <c r="S325" i="1"/>
  <c r="S326" i="1" a="1"/>
  <c r="S326" i="1"/>
  <c r="S327" i="1" a="1"/>
  <c r="S327" i="1"/>
  <c r="S328" i="1" a="1"/>
  <c r="S328" i="1"/>
  <c r="S329" i="1" a="1"/>
  <c r="S329" i="1"/>
  <c r="S330" i="1" a="1"/>
  <c r="S330" i="1"/>
  <c r="S331" i="1" a="1"/>
  <c r="S331" i="1"/>
  <c r="S332" i="1" a="1"/>
  <c r="S332" i="1"/>
  <c r="S333" i="1" a="1"/>
  <c r="S333" i="1"/>
  <c r="S334" i="1" a="1"/>
  <c r="S334" i="1"/>
  <c r="S335" i="1" a="1"/>
  <c r="S335" i="1"/>
  <c r="S336" i="1" a="1"/>
  <c r="S336" i="1"/>
  <c r="S337" i="1" a="1"/>
  <c r="S337" i="1"/>
  <c r="S338" i="1" a="1"/>
  <c r="S338" i="1"/>
  <c r="S339" i="1" a="1"/>
  <c r="S339" i="1"/>
  <c r="S340" i="1" a="1"/>
  <c r="S340" i="1"/>
  <c r="S341" i="1" a="1"/>
  <c r="S341" i="1"/>
  <c r="S342" i="1" a="1"/>
  <c r="S342" i="1"/>
  <c r="S343" i="1" a="1"/>
  <c r="S343" i="1"/>
  <c r="S344" i="1" a="1"/>
  <c r="S344" i="1"/>
  <c r="S345" i="1" a="1"/>
  <c r="S345" i="1"/>
  <c r="S346" i="1" a="1"/>
  <c r="S346" i="1"/>
  <c r="S347" i="1" a="1"/>
  <c r="S347" i="1"/>
  <c r="S348" i="1" a="1"/>
  <c r="S348" i="1"/>
  <c r="S349" i="1" a="1"/>
  <c r="S349" i="1"/>
  <c r="S350" i="1" a="1"/>
  <c r="S350" i="1"/>
  <c r="S351" i="1" a="1"/>
  <c r="S351" i="1"/>
  <c r="S352" i="1" a="1"/>
  <c r="S352" i="1"/>
  <c r="S353" i="1" a="1"/>
  <c r="S353" i="1"/>
  <c r="S354" i="1" a="1"/>
  <c r="S354" i="1"/>
  <c r="S355" i="1" a="1"/>
  <c r="S355" i="1"/>
  <c r="S356" i="1" a="1"/>
  <c r="S356" i="1"/>
  <c r="S357" i="1" a="1"/>
  <c r="S357" i="1"/>
  <c r="S358" i="1" a="1"/>
  <c r="S358" i="1"/>
  <c r="S359" i="1" a="1"/>
  <c r="S359" i="1"/>
  <c r="S360" i="1" a="1"/>
  <c r="S360" i="1"/>
  <c r="S361" i="1" a="1"/>
  <c r="S361" i="1"/>
  <c r="S362" i="1" a="1"/>
  <c r="S362" i="1"/>
  <c r="S363" i="1" a="1"/>
  <c r="S363" i="1"/>
  <c r="S364" i="1" a="1"/>
  <c r="S364" i="1"/>
  <c r="S365" i="1" a="1"/>
  <c r="S365" i="1"/>
  <c r="S366" i="1" a="1"/>
  <c r="S366" i="1"/>
  <c r="S367" i="1" a="1"/>
  <c r="S367" i="1"/>
  <c r="S368" i="1" a="1"/>
  <c r="S368" i="1"/>
  <c r="S369" i="1" a="1"/>
  <c r="S369" i="1"/>
  <c r="T369" i="1" s="1"/>
  <c r="S370" i="1" a="1"/>
  <c r="S370" i="1"/>
  <c r="S371" i="1" a="1"/>
  <c r="S371" i="1"/>
  <c r="S372" i="1" a="1"/>
  <c r="S372" i="1"/>
  <c r="S373" i="1" a="1"/>
  <c r="S373" i="1"/>
  <c r="S374" i="1" a="1"/>
  <c r="S374" i="1"/>
  <c r="S375" i="1" a="1"/>
  <c r="S375"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Q375" i="1" l="1"/>
  <c r="P375" i="1"/>
  <c r="R375" i="1" s="1"/>
  <c r="Q374" i="1"/>
  <c r="P374" i="1"/>
  <c r="R374" i="1" s="1"/>
  <c r="Q373" i="1"/>
  <c r="P373" i="1"/>
  <c r="R373" i="1" s="1"/>
  <c r="Q372" i="1"/>
  <c r="P372" i="1"/>
  <c r="R372" i="1" s="1"/>
  <c r="Q371" i="1"/>
  <c r="P371" i="1"/>
  <c r="R371" i="1" s="1"/>
  <c r="Q370" i="1"/>
  <c r="P370" i="1"/>
  <c r="R370" i="1" s="1"/>
  <c r="Q369" i="1"/>
  <c r="P369" i="1"/>
  <c r="R369" i="1" s="1"/>
  <c r="Q368" i="1"/>
  <c r="P368" i="1"/>
  <c r="R368" i="1" s="1"/>
  <c r="Q367" i="1"/>
  <c r="P367" i="1"/>
  <c r="R367" i="1" s="1"/>
  <c r="Q366" i="1"/>
  <c r="P366" i="1"/>
  <c r="R366" i="1" s="1"/>
  <c r="Q365" i="1"/>
  <c r="P365" i="1"/>
  <c r="R365" i="1" s="1"/>
  <c r="Q364" i="1"/>
  <c r="P364" i="1"/>
  <c r="R364" i="1" s="1"/>
  <c r="Q363" i="1"/>
  <c r="P363" i="1"/>
  <c r="R363" i="1" s="1"/>
  <c r="Q362" i="1"/>
  <c r="P362" i="1"/>
  <c r="R362" i="1" s="1"/>
  <c r="Q361" i="1"/>
  <c r="P361" i="1"/>
  <c r="R361" i="1" s="1"/>
  <c r="Q360" i="1"/>
  <c r="P360" i="1"/>
  <c r="R360" i="1" s="1"/>
  <c r="Q359" i="1"/>
  <c r="P359" i="1"/>
  <c r="R359" i="1" s="1"/>
  <c r="Q358" i="1"/>
  <c r="P358" i="1"/>
  <c r="R358" i="1" s="1"/>
  <c r="Q357" i="1"/>
  <c r="P357" i="1"/>
  <c r="R357" i="1" s="1"/>
  <c r="Q356" i="1"/>
  <c r="P356" i="1"/>
  <c r="R356" i="1" s="1"/>
  <c r="Q355" i="1"/>
  <c r="P355" i="1"/>
  <c r="R355" i="1" s="1"/>
  <c r="Q354" i="1"/>
  <c r="P354" i="1"/>
  <c r="R354" i="1" s="1"/>
  <c r="Q353" i="1"/>
  <c r="P353" i="1"/>
  <c r="R353" i="1" s="1"/>
  <c r="Q352" i="1"/>
  <c r="P352" i="1"/>
  <c r="R352" i="1" s="1"/>
  <c r="Q351" i="1"/>
  <c r="P351" i="1"/>
  <c r="R351" i="1" s="1"/>
  <c r="Q350" i="1"/>
  <c r="P350" i="1"/>
  <c r="R350" i="1" s="1"/>
  <c r="Q349" i="1"/>
  <c r="P349" i="1"/>
  <c r="R349" i="1" s="1"/>
  <c r="Q348" i="1"/>
  <c r="P348" i="1"/>
  <c r="R348" i="1" s="1"/>
  <c r="Q347" i="1"/>
  <c r="P347" i="1"/>
  <c r="R347" i="1" s="1"/>
  <c r="Q346" i="1"/>
  <c r="P346" i="1"/>
  <c r="R346" i="1" s="1"/>
  <c r="Q345" i="1"/>
  <c r="P345" i="1"/>
  <c r="R345" i="1" s="1"/>
  <c r="Q344" i="1"/>
  <c r="P344" i="1"/>
  <c r="R344" i="1" s="1"/>
  <c r="Q343" i="1"/>
  <c r="P343" i="1"/>
  <c r="R343" i="1" s="1"/>
  <c r="Q342" i="1"/>
  <c r="P342" i="1"/>
  <c r="R342" i="1" s="1"/>
  <c r="Q341" i="1"/>
  <c r="P341" i="1"/>
  <c r="R341" i="1" s="1"/>
  <c r="Q340" i="1"/>
  <c r="P340" i="1"/>
  <c r="R340" i="1" s="1"/>
  <c r="Q339" i="1"/>
  <c r="P339" i="1"/>
  <c r="R339" i="1" s="1"/>
  <c r="Q338" i="1"/>
  <c r="P338" i="1"/>
  <c r="R338" i="1" s="1"/>
  <c r="Q337" i="1"/>
  <c r="P337" i="1"/>
  <c r="R337" i="1" s="1"/>
  <c r="Q336" i="1"/>
  <c r="P336" i="1"/>
  <c r="R336" i="1" s="1"/>
  <c r="Q335" i="1"/>
  <c r="P335" i="1"/>
  <c r="R335" i="1" s="1"/>
  <c r="Q334" i="1"/>
  <c r="P334" i="1"/>
  <c r="R334" i="1" s="1"/>
  <c r="Q333" i="1"/>
  <c r="P333" i="1"/>
  <c r="R333" i="1" s="1"/>
  <c r="Q332" i="1"/>
  <c r="P332" i="1"/>
  <c r="R332" i="1" s="1"/>
  <c r="Q331" i="1"/>
  <c r="P331" i="1"/>
  <c r="R331" i="1" s="1"/>
  <c r="Q330" i="1"/>
  <c r="P330" i="1"/>
  <c r="R330" i="1" s="1"/>
  <c r="Q329" i="1"/>
  <c r="P329" i="1"/>
  <c r="R329" i="1" s="1"/>
  <c r="Q328" i="1"/>
  <c r="P328" i="1"/>
  <c r="R328" i="1" s="1"/>
  <c r="Q327" i="1"/>
  <c r="P327" i="1"/>
  <c r="R327" i="1" s="1"/>
  <c r="Q326" i="1"/>
  <c r="P326" i="1"/>
  <c r="R326" i="1" s="1"/>
  <c r="Q325" i="1"/>
  <c r="P325" i="1"/>
  <c r="R325" i="1" s="1"/>
  <c r="Q324" i="1"/>
  <c r="P324" i="1"/>
  <c r="R324" i="1" s="1"/>
  <c r="Q323" i="1"/>
  <c r="P323" i="1"/>
  <c r="R323" i="1" s="1"/>
  <c r="Q322" i="1"/>
  <c r="P322" i="1"/>
  <c r="R322" i="1" s="1"/>
  <c r="Q321" i="1"/>
  <c r="P321" i="1"/>
  <c r="R321" i="1" s="1"/>
  <c r="Q320" i="1"/>
  <c r="P320" i="1"/>
  <c r="R320" i="1" s="1"/>
  <c r="Q319" i="1"/>
  <c r="P319" i="1"/>
  <c r="R319" i="1" s="1"/>
  <c r="Q318" i="1"/>
  <c r="P318" i="1"/>
  <c r="R318" i="1" s="1"/>
  <c r="Q317" i="1"/>
  <c r="P317" i="1"/>
  <c r="R317" i="1" s="1"/>
  <c r="Q316" i="1"/>
  <c r="P316" i="1"/>
  <c r="R316" i="1" s="1"/>
  <c r="Q315" i="1"/>
  <c r="P315" i="1"/>
  <c r="R315" i="1" s="1"/>
  <c r="Q314" i="1"/>
  <c r="P314" i="1"/>
  <c r="R314" i="1" s="1"/>
  <c r="Q313" i="1"/>
  <c r="P313" i="1"/>
  <c r="R313" i="1" s="1"/>
  <c r="Q312" i="1"/>
  <c r="P312" i="1"/>
  <c r="R312" i="1" s="1"/>
  <c r="Q311" i="1"/>
  <c r="P311" i="1"/>
  <c r="R311" i="1" s="1"/>
  <c r="Q310" i="1"/>
  <c r="P310" i="1"/>
  <c r="R310" i="1" s="1"/>
  <c r="Q309" i="1"/>
  <c r="P309" i="1"/>
  <c r="R309" i="1" s="1"/>
  <c r="Q308" i="1"/>
  <c r="P308" i="1"/>
  <c r="R308" i="1" s="1"/>
  <c r="Q307" i="1"/>
  <c r="P307" i="1"/>
  <c r="R307" i="1" s="1"/>
  <c r="Q306" i="1"/>
  <c r="P306" i="1"/>
  <c r="R306" i="1" s="1"/>
  <c r="Q305" i="1"/>
  <c r="P305" i="1"/>
  <c r="R305" i="1" s="1"/>
  <c r="Q304" i="1"/>
  <c r="P304" i="1"/>
  <c r="R304" i="1" s="1"/>
  <c r="Q303" i="1"/>
  <c r="P303" i="1"/>
  <c r="R303" i="1" s="1"/>
  <c r="Q302" i="1"/>
  <c r="P302" i="1"/>
  <c r="R302" i="1" s="1"/>
  <c r="Q301" i="1"/>
  <c r="P301" i="1"/>
  <c r="R301" i="1" s="1"/>
  <c r="Q300" i="1"/>
  <c r="P300" i="1"/>
  <c r="R300" i="1" s="1"/>
  <c r="Q299" i="1"/>
  <c r="P299" i="1"/>
  <c r="R299" i="1" s="1"/>
  <c r="Q298" i="1"/>
  <c r="P298" i="1"/>
  <c r="R298" i="1" s="1"/>
  <c r="Q297" i="1"/>
  <c r="P297" i="1"/>
  <c r="R297" i="1" s="1"/>
  <c r="Q296" i="1"/>
  <c r="P296" i="1"/>
  <c r="R296" i="1" s="1"/>
  <c r="Q295" i="1"/>
  <c r="P295" i="1"/>
  <c r="R295" i="1" s="1"/>
  <c r="Q294" i="1"/>
  <c r="P294" i="1"/>
  <c r="R294" i="1" s="1"/>
  <c r="Q293" i="1"/>
  <c r="P293" i="1"/>
  <c r="R293" i="1" s="1"/>
  <c r="Q292" i="1"/>
  <c r="P292" i="1"/>
  <c r="R292" i="1" s="1"/>
  <c r="Q291" i="1"/>
  <c r="P291" i="1"/>
  <c r="R291" i="1" s="1"/>
  <c r="Q290" i="1"/>
  <c r="P290" i="1"/>
  <c r="R290" i="1" s="1"/>
  <c r="Q289" i="1"/>
  <c r="P289" i="1"/>
  <c r="R289" i="1" s="1"/>
  <c r="Q288" i="1"/>
  <c r="P288" i="1"/>
  <c r="R288" i="1" s="1"/>
  <c r="Q287" i="1"/>
  <c r="P287" i="1"/>
  <c r="R287" i="1" s="1"/>
  <c r="Q286" i="1"/>
  <c r="P286" i="1"/>
  <c r="R286" i="1" s="1"/>
  <c r="Q285" i="1"/>
  <c r="P285" i="1"/>
  <c r="R285" i="1" s="1"/>
  <c r="Q284" i="1"/>
  <c r="P284" i="1"/>
  <c r="R284" i="1" s="1"/>
  <c r="Q283" i="1"/>
  <c r="P283" i="1"/>
  <c r="R283" i="1" s="1"/>
  <c r="Q282" i="1"/>
  <c r="P282" i="1"/>
  <c r="R282" i="1" s="1"/>
  <c r="Q281" i="1"/>
  <c r="P281" i="1"/>
  <c r="R281" i="1" s="1"/>
  <c r="Q280" i="1"/>
  <c r="P280" i="1"/>
  <c r="R280" i="1" s="1"/>
  <c r="Q279" i="1"/>
  <c r="P279" i="1"/>
  <c r="R279" i="1" s="1"/>
  <c r="Q278" i="1"/>
  <c r="P278" i="1"/>
  <c r="R278" i="1" s="1"/>
  <c r="Q277" i="1"/>
  <c r="P277" i="1"/>
  <c r="R277" i="1" s="1"/>
  <c r="Q276" i="1"/>
  <c r="P276" i="1"/>
  <c r="R276" i="1" s="1"/>
  <c r="Q275" i="1"/>
  <c r="P275" i="1"/>
  <c r="R275" i="1" s="1"/>
  <c r="Q274" i="1"/>
  <c r="P274" i="1"/>
  <c r="R274" i="1" s="1"/>
  <c r="Q273" i="1"/>
  <c r="P273" i="1"/>
  <c r="R273" i="1" s="1"/>
  <c r="Q272" i="1"/>
  <c r="P272" i="1"/>
  <c r="R272" i="1" s="1"/>
  <c r="Q271" i="1"/>
  <c r="P271" i="1"/>
  <c r="R271" i="1" s="1"/>
  <c r="Q270" i="1"/>
  <c r="P270" i="1"/>
  <c r="R270" i="1" s="1"/>
  <c r="Q269" i="1"/>
  <c r="P269" i="1"/>
  <c r="R269" i="1" s="1"/>
  <c r="Q268" i="1"/>
  <c r="P268" i="1"/>
  <c r="R268" i="1" s="1"/>
  <c r="Q267" i="1"/>
  <c r="P267" i="1"/>
  <c r="R267" i="1" s="1"/>
  <c r="Q266" i="1"/>
  <c r="P266" i="1"/>
  <c r="R266" i="1" s="1"/>
  <c r="Q265" i="1"/>
  <c r="P265" i="1"/>
  <c r="R265" i="1" s="1"/>
  <c r="Q264" i="1"/>
  <c r="P264" i="1"/>
  <c r="R264" i="1" s="1"/>
  <c r="Q263" i="1"/>
  <c r="P263" i="1"/>
  <c r="R263" i="1" s="1"/>
  <c r="Q262" i="1"/>
  <c r="P262" i="1"/>
  <c r="R262" i="1" s="1"/>
  <c r="Q261" i="1"/>
  <c r="P261" i="1"/>
  <c r="R261" i="1" s="1"/>
  <c r="Q260" i="1"/>
  <c r="P260" i="1"/>
  <c r="R260" i="1" s="1"/>
  <c r="Q259" i="1"/>
  <c r="P259" i="1"/>
  <c r="R259" i="1" s="1"/>
  <c r="Q258" i="1"/>
  <c r="P258" i="1"/>
  <c r="R258" i="1" s="1"/>
  <c r="Q257" i="1"/>
  <c r="P257" i="1"/>
  <c r="R257" i="1" s="1"/>
  <c r="Q256" i="1"/>
  <c r="P256" i="1"/>
  <c r="R256" i="1" s="1"/>
  <c r="Q255" i="1"/>
  <c r="P255" i="1"/>
  <c r="R255" i="1" s="1"/>
  <c r="Q254" i="1"/>
  <c r="P254" i="1"/>
  <c r="R254" i="1" s="1"/>
  <c r="Q253" i="1"/>
  <c r="P253" i="1"/>
  <c r="R253" i="1" s="1"/>
  <c r="Q252" i="1"/>
  <c r="P252" i="1"/>
  <c r="R252" i="1" s="1"/>
  <c r="Q251" i="1"/>
  <c r="P251" i="1"/>
  <c r="R251" i="1" s="1"/>
  <c r="Q250" i="1"/>
  <c r="P250" i="1"/>
  <c r="R250" i="1" s="1"/>
  <c r="Q249" i="1"/>
  <c r="P249" i="1"/>
  <c r="R249" i="1" s="1"/>
  <c r="Q248" i="1"/>
  <c r="P248" i="1"/>
  <c r="R248" i="1" s="1"/>
  <c r="Q247" i="1"/>
  <c r="P247" i="1"/>
  <c r="R247" i="1" s="1"/>
  <c r="Q246" i="1"/>
  <c r="P246" i="1"/>
  <c r="R246" i="1" s="1"/>
  <c r="Q245" i="1"/>
  <c r="P245" i="1"/>
  <c r="R245" i="1" s="1"/>
  <c r="Q244" i="1"/>
  <c r="P244" i="1"/>
  <c r="R244" i="1" s="1"/>
  <c r="Q243" i="1"/>
  <c r="P243" i="1"/>
  <c r="R243" i="1" s="1"/>
  <c r="Q242" i="1"/>
  <c r="P242" i="1"/>
  <c r="R242" i="1" s="1"/>
  <c r="Q241" i="1"/>
  <c r="P241" i="1"/>
  <c r="R241" i="1" s="1"/>
  <c r="Q240" i="1"/>
  <c r="P240" i="1"/>
  <c r="R240" i="1" s="1"/>
  <c r="Q239" i="1"/>
  <c r="P239" i="1"/>
  <c r="R239" i="1" s="1"/>
  <c r="Q238" i="1"/>
  <c r="P238" i="1"/>
  <c r="R238" i="1" s="1"/>
  <c r="Q237" i="1"/>
  <c r="P237" i="1"/>
  <c r="R237" i="1" s="1"/>
  <c r="Q236" i="1"/>
  <c r="P236" i="1"/>
  <c r="R236" i="1" s="1"/>
  <c r="Q235" i="1"/>
  <c r="P235" i="1"/>
  <c r="R235" i="1" s="1"/>
  <c r="Q234" i="1"/>
  <c r="P234" i="1"/>
  <c r="R234" i="1" s="1"/>
  <c r="Q233" i="1"/>
  <c r="P233" i="1"/>
  <c r="R233" i="1" s="1"/>
  <c r="Q232" i="1"/>
  <c r="P232" i="1"/>
  <c r="R232" i="1" s="1"/>
  <c r="Q231" i="1"/>
  <c r="P231" i="1"/>
  <c r="R231" i="1" s="1"/>
  <c r="Q230" i="1"/>
  <c r="P230" i="1"/>
  <c r="R230" i="1" s="1"/>
  <c r="Q229" i="1"/>
  <c r="P229" i="1"/>
  <c r="R229" i="1" s="1"/>
  <c r="Q228" i="1"/>
  <c r="P228" i="1"/>
  <c r="R228" i="1" s="1"/>
  <c r="Q227" i="1"/>
  <c r="P227" i="1"/>
  <c r="R227" i="1" s="1"/>
  <c r="Q226" i="1"/>
  <c r="P226" i="1"/>
  <c r="R226" i="1" s="1"/>
  <c r="Q225" i="1"/>
  <c r="P225" i="1"/>
  <c r="R225" i="1" s="1"/>
  <c r="Q224" i="1"/>
  <c r="P224" i="1"/>
  <c r="R224" i="1" s="1"/>
  <c r="Q223" i="1"/>
  <c r="P223" i="1"/>
  <c r="R223" i="1" s="1"/>
  <c r="Q222" i="1"/>
  <c r="P222" i="1"/>
  <c r="R222" i="1" s="1"/>
  <c r="Q221" i="1"/>
  <c r="P221" i="1"/>
  <c r="R221" i="1" s="1"/>
  <c r="Q220" i="1"/>
  <c r="P220" i="1"/>
  <c r="R220" i="1" s="1"/>
  <c r="Q219" i="1"/>
  <c r="P219" i="1"/>
  <c r="R219" i="1" s="1"/>
  <c r="Q218" i="1"/>
  <c r="P218" i="1"/>
  <c r="R218" i="1" s="1"/>
  <c r="Q217" i="1"/>
  <c r="P217" i="1"/>
  <c r="R217" i="1" s="1"/>
  <c r="Q216" i="1"/>
  <c r="P216" i="1"/>
  <c r="R216" i="1" s="1"/>
  <c r="Q215" i="1"/>
  <c r="P215" i="1"/>
  <c r="R215" i="1" s="1"/>
  <c r="Q214" i="1"/>
  <c r="P214" i="1"/>
  <c r="R214" i="1" s="1"/>
  <c r="Q213" i="1"/>
  <c r="P213" i="1"/>
  <c r="R213" i="1" s="1"/>
  <c r="Q212" i="1"/>
  <c r="P212" i="1"/>
  <c r="R212" i="1" s="1"/>
  <c r="Q211" i="1"/>
  <c r="P211" i="1"/>
  <c r="R211" i="1" s="1"/>
  <c r="Q210" i="1"/>
  <c r="P210" i="1"/>
  <c r="R210" i="1" s="1"/>
  <c r="Q209" i="1"/>
  <c r="P209" i="1"/>
  <c r="R209" i="1" s="1"/>
  <c r="Q208" i="1"/>
  <c r="P208" i="1"/>
  <c r="R208" i="1" s="1"/>
  <c r="Q207" i="1"/>
  <c r="P207" i="1"/>
  <c r="R207" i="1" s="1"/>
  <c r="Q206" i="1"/>
  <c r="P206" i="1"/>
  <c r="R206" i="1" s="1"/>
  <c r="Q205" i="1"/>
  <c r="P205" i="1"/>
  <c r="R205" i="1" s="1"/>
  <c r="Q204" i="1"/>
  <c r="P204" i="1"/>
  <c r="R204" i="1" s="1"/>
  <c r="Q203" i="1"/>
  <c r="P203" i="1"/>
  <c r="R203" i="1" s="1"/>
  <c r="Q202" i="1"/>
  <c r="P202" i="1"/>
  <c r="R202" i="1" s="1"/>
  <c r="Q201" i="1"/>
  <c r="P201" i="1"/>
  <c r="R201" i="1" s="1"/>
  <c r="Q200" i="1"/>
  <c r="P200" i="1"/>
  <c r="R200" i="1" s="1"/>
  <c r="Q199" i="1"/>
  <c r="P199" i="1"/>
  <c r="R199" i="1" s="1"/>
  <c r="Q198" i="1"/>
  <c r="P198" i="1"/>
  <c r="R198" i="1" s="1"/>
  <c r="Q197" i="1"/>
  <c r="P197" i="1"/>
  <c r="R197" i="1" s="1"/>
  <c r="Q196" i="1"/>
  <c r="P196" i="1"/>
  <c r="R196" i="1" s="1"/>
  <c r="Q195" i="1"/>
  <c r="P195" i="1"/>
  <c r="R195" i="1" s="1"/>
  <c r="Q194" i="1"/>
  <c r="P194" i="1"/>
  <c r="R194" i="1" s="1"/>
  <c r="Q193" i="1"/>
  <c r="P193" i="1"/>
  <c r="R193" i="1" s="1"/>
  <c r="Q192" i="1"/>
  <c r="P192" i="1"/>
  <c r="R192" i="1" s="1"/>
  <c r="Q191" i="1"/>
  <c r="P191" i="1"/>
  <c r="R191" i="1" s="1"/>
  <c r="Q190" i="1"/>
  <c r="P190" i="1"/>
  <c r="R190" i="1" s="1"/>
  <c r="Q189" i="1"/>
  <c r="P189" i="1"/>
  <c r="R189" i="1" s="1"/>
  <c r="Q188" i="1"/>
  <c r="P188" i="1"/>
  <c r="R188" i="1" s="1"/>
  <c r="Q187" i="1"/>
  <c r="P187" i="1"/>
  <c r="R187" i="1" s="1"/>
  <c r="Q186" i="1"/>
  <c r="P186" i="1"/>
  <c r="R186" i="1" s="1"/>
  <c r="Q185" i="1"/>
  <c r="P185" i="1"/>
  <c r="R185" i="1" s="1"/>
  <c r="Q184" i="1"/>
  <c r="P184" i="1"/>
  <c r="R184" i="1" s="1"/>
  <c r="Q183" i="1"/>
  <c r="P183" i="1"/>
  <c r="R183" i="1" s="1"/>
  <c r="Q182" i="1"/>
  <c r="P182" i="1"/>
  <c r="R182" i="1" s="1"/>
  <c r="Q181" i="1"/>
  <c r="P181" i="1"/>
  <c r="R181" i="1" s="1"/>
  <c r="Q180" i="1"/>
  <c r="P180" i="1"/>
  <c r="R180" i="1" s="1"/>
  <c r="Q179" i="1"/>
  <c r="P179" i="1"/>
  <c r="R179" i="1" s="1"/>
  <c r="Q178" i="1"/>
  <c r="P178" i="1"/>
  <c r="R178" i="1" s="1"/>
  <c r="Q177" i="1"/>
  <c r="P177" i="1"/>
  <c r="R177" i="1" s="1"/>
  <c r="Q176" i="1"/>
  <c r="P176" i="1"/>
  <c r="R176" i="1" s="1"/>
  <c r="Q175" i="1"/>
  <c r="P175" i="1"/>
  <c r="R175" i="1" s="1"/>
  <c r="Q174" i="1"/>
  <c r="P174" i="1"/>
  <c r="R174" i="1" s="1"/>
  <c r="Q173" i="1"/>
  <c r="P173" i="1"/>
  <c r="R173" i="1" s="1"/>
  <c r="Q172" i="1"/>
  <c r="P172" i="1"/>
  <c r="R172" i="1" s="1"/>
  <c r="Q171" i="1"/>
  <c r="P171" i="1"/>
  <c r="R171" i="1" s="1"/>
  <c r="Q170" i="1"/>
  <c r="P170" i="1"/>
  <c r="R170" i="1" s="1"/>
  <c r="Q169" i="1"/>
  <c r="P169" i="1"/>
  <c r="R169" i="1" s="1"/>
  <c r="Q168" i="1"/>
  <c r="P168" i="1"/>
  <c r="R168" i="1" s="1"/>
  <c r="Q167" i="1"/>
  <c r="P167" i="1"/>
  <c r="R167" i="1" s="1"/>
  <c r="Q166" i="1"/>
  <c r="P166" i="1"/>
  <c r="R166" i="1" s="1"/>
  <c r="Q165" i="1"/>
  <c r="P165" i="1"/>
  <c r="R165" i="1" s="1"/>
  <c r="Q164" i="1"/>
  <c r="P164" i="1"/>
  <c r="R164" i="1" s="1"/>
  <c r="Q163" i="1"/>
  <c r="P163" i="1"/>
  <c r="R163" i="1" s="1"/>
  <c r="Q162" i="1"/>
  <c r="P162" i="1"/>
  <c r="R162" i="1" s="1"/>
  <c r="Q161" i="1"/>
  <c r="P161" i="1"/>
  <c r="R161" i="1" s="1"/>
  <c r="Q160" i="1"/>
  <c r="P160" i="1"/>
  <c r="R160" i="1" s="1"/>
  <c r="Q159" i="1"/>
  <c r="P159" i="1"/>
  <c r="R159" i="1" s="1"/>
  <c r="Q158" i="1"/>
  <c r="P158" i="1"/>
  <c r="R158" i="1" s="1"/>
  <c r="Q157" i="1"/>
  <c r="P157" i="1"/>
  <c r="R157" i="1" s="1"/>
  <c r="Q156" i="1"/>
  <c r="P156" i="1"/>
  <c r="R156" i="1" s="1"/>
  <c r="Q155" i="1"/>
  <c r="P155" i="1"/>
  <c r="R155" i="1" s="1"/>
  <c r="Q154" i="1"/>
  <c r="P154" i="1"/>
  <c r="R154" i="1" s="1"/>
  <c r="Q153" i="1"/>
  <c r="P153" i="1"/>
  <c r="R153" i="1" s="1"/>
  <c r="Q152" i="1"/>
  <c r="P152" i="1"/>
  <c r="R152" i="1" s="1"/>
  <c r="Q151" i="1"/>
  <c r="P151" i="1"/>
  <c r="R151" i="1" s="1"/>
  <c r="Q150" i="1"/>
  <c r="P150" i="1"/>
  <c r="R150" i="1" s="1"/>
  <c r="Q149" i="1"/>
  <c r="P149" i="1"/>
  <c r="R149" i="1" s="1"/>
  <c r="Q148" i="1"/>
  <c r="P148" i="1"/>
  <c r="R148" i="1" s="1"/>
  <c r="Q147" i="1"/>
  <c r="P147" i="1"/>
  <c r="R147" i="1" s="1"/>
  <c r="Q146" i="1"/>
  <c r="P146" i="1"/>
  <c r="R146" i="1" s="1"/>
  <c r="Q145" i="1"/>
  <c r="P145" i="1"/>
  <c r="R145" i="1" s="1"/>
  <c r="Q144" i="1"/>
  <c r="P144" i="1"/>
  <c r="R144" i="1" s="1"/>
  <c r="Q143" i="1"/>
  <c r="P143" i="1"/>
  <c r="R143" i="1" s="1"/>
  <c r="Q142" i="1"/>
  <c r="P142" i="1"/>
  <c r="R142" i="1" s="1"/>
  <c r="Q141" i="1"/>
  <c r="P141" i="1"/>
  <c r="R141" i="1" s="1"/>
  <c r="Q140" i="1"/>
  <c r="P140" i="1"/>
  <c r="R140" i="1" s="1"/>
  <c r="Q139" i="1"/>
  <c r="P139" i="1"/>
  <c r="R139" i="1" s="1"/>
  <c r="Q138" i="1"/>
  <c r="P138" i="1"/>
  <c r="R138" i="1" s="1"/>
  <c r="Q137" i="1"/>
  <c r="P137" i="1"/>
  <c r="R137" i="1" s="1"/>
  <c r="Q136" i="1"/>
  <c r="P136" i="1"/>
  <c r="R136" i="1" s="1"/>
  <c r="Q135" i="1"/>
  <c r="P135" i="1"/>
  <c r="R135" i="1" s="1"/>
  <c r="Q134" i="1"/>
  <c r="P134" i="1"/>
  <c r="R134" i="1" s="1"/>
  <c r="Q133" i="1"/>
  <c r="P133" i="1"/>
  <c r="R133" i="1" s="1"/>
  <c r="Q132" i="1"/>
  <c r="P132" i="1"/>
  <c r="R132" i="1" s="1"/>
  <c r="Q131" i="1"/>
  <c r="P131" i="1"/>
  <c r="R131" i="1" s="1"/>
  <c r="Q130" i="1"/>
  <c r="P130" i="1"/>
  <c r="R130" i="1" s="1"/>
  <c r="Q129" i="1"/>
  <c r="P129" i="1"/>
  <c r="R129" i="1" s="1"/>
  <c r="Q128" i="1"/>
  <c r="P128" i="1"/>
  <c r="R128" i="1" s="1"/>
  <c r="Q127" i="1"/>
  <c r="P127" i="1"/>
  <c r="R127" i="1" s="1"/>
  <c r="Q126" i="1"/>
  <c r="P126" i="1"/>
  <c r="R126" i="1" s="1"/>
  <c r="Q125" i="1"/>
  <c r="P125" i="1"/>
  <c r="R125" i="1" s="1"/>
  <c r="Q124" i="1"/>
  <c r="P124" i="1"/>
  <c r="R124" i="1" s="1"/>
  <c r="Q123" i="1"/>
  <c r="P123" i="1"/>
  <c r="R123" i="1" s="1"/>
  <c r="Q122" i="1"/>
  <c r="P122" i="1"/>
  <c r="R122" i="1" s="1"/>
  <c r="Q121" i="1"/>
  <c r="P121" i="1"/>
  <c r="R121" i="1" s="1"/>
  <c r="Q120" i="1"/>
  <c r="P120" i="1"/>
  <c r="R120" i="1" s="1"/>
  <c r="Q119" i="1"/>
  <c r="P119" i="1"/>
  <c r="R119" i="1" s="1"/>
  <c r="Q118" i="1"/>
  <c r="P118" i="1"/>
  <c r="R118" i="1" s="1"/>
  <c r="Q117" i="1"/>
  <c r="P117" i="1"/>
  <c r="R117" i="1" s="1"/>
  <c r="Q116" i="1"/>
  <c r="P116" i="1"/>
  <c r="R116" i="1" s="1"/>
  <c r="Q115" i="1"/>
  <c r="P115" i="1"/>
  <c r="R115" i="1" s="1"/>
  <c r="Q114" i="1"/>
  <c r="P114" i="1"/>
  <c r="R114" i="1" s="1"/>
  <c r="Q113" i="1"/>
  <c r="P113" i="1"/>
  <c r="R113" i="1" s="1"/>
  <c r="Q112" i="1"/>
  <c r="P112" i="1"/>
  <c r="R112" i="1" s="1"/>
  <c r="Q111" i="1"/>
  <c r="P111" i="1"/>
  <c r="R111" i="1" s="1"/>
  <c r="Q110" i="1"/>
  <c r="P110" i="1"/>
  <c r="R110" i="1" s="1"/>
  <c r="Q109" i="1"/>
  <c r="P109" i="1"/>
  <c r="R109" i="1" s="1"/>
  <c r="Q108" i="1"/>
  <c r="P108" i="1"/>
  <c r="R108" i="1" s="1"/>
  <c r="Q107" i="1"/>
  <c r="P107" i="1"/>
  <c r="R107" i="1" s="1"/>
  <c r="Q106" i="1"/>
  <c r="P106" i="1"/>
  <c r="R106" i="1" s="1"/>
  <c r="Q105" i="1"/>
  <c r="P105" i="1"/>
  <c r="R105" i="1" s="1"/>
  <c r="Q104" i="1"/>
  <c r="P104" i="1"/>
  <c r="R104" i="1" s="1"/>
  <c r="Q103" i="1"/>
  <c r="P103" i="1"/>
  <c r="R103" i="1" s="1"/>
  <c r="Q102" i="1"/>
  <c r="P102" i="1"/>
  <c r="R102" i="1" s="1"/>
  <c r="Q101" i="1"/>
  <c r="P101" i="1"/>
  <c r="R101" i="1" s="1"/>
  <c r="Q100" i="1"/>
  <c r="P100" i="1"/>
  <c r="R100" i="1" s="1"/>
  <c r="Q99" i="1"/>
  <c r="P99" i="1"/>
  <c r="R99" i="1" s="1"/>
  <c r="Q98" i="1"/>
  <c r="P98" i="1"/>
  <c r="R98" i="1" s="1"/>
  <c r="Q97" i="1"/>
  <c r="P97" i="1"/>
  <c r="R97" i="1" s="1"/>
  <c r="Q96" i="1"/>
  <c r="P96" i="1"/>
  <c r="R96" i="1" s="1"/>
  <c r="Q95" i="1"/>
  <c r="P95" i="1"/>
  <c r="R95" i="1" s="1"/>
  <c r="Q94" i="1"/>
  <c r="P94" i="1"/>
  <c r="R94" i="1" s="1"/>
  <c r="Q93" i="1"/>
  <c r="P93" i="1"/>
  <c r="R93" i="1" s="1"/>
  <c r="Q92" i="1"/>
  <c r="P92" i="1"/>
  <c r="R92" i="1" s="1"/>
  <c r="Q91" i="1"/>
  <c r="P91" i="1"/>
  <c r="R91" i="1" s="1"/>
  <c r="Q90" i="1"/>
  <c r="P90" i="1"/>
  <c r="R90" i="1" s="1"/>
  <c r="Q89" i="1"/>
  <c r="P89" i="1"/>
  <c r="R89" i="1" s="1"/>
  <c r="Q88" i="1"/>
  <c r="P88" i="1"/>
  <c r="R88" i="1" s="1"/>
  <c r="Q87" i="1"/>
  <c r="P87" i="1"/>
  <c r="R87" i="1" s="1"/>
  <c r="Q86" i="1"/>
  <c r="P86" i="1"/>
  <c r="R86" i="1" s="1"/>
  <c r="Q85" i="1"/>
  <c r="P85" i="1"/>
  <c r="R85" i="1" s="1"/>
  <c r="Q84" i="1"/>
  <c r="P84" i="1"/>
  <c r="R84" i="1" s="1"/>
  <c r="Q83" i="1"/>
  <c r="P83" i="1"/>
  <c r="R83" i="1" s="1"/>
  <c r="Q82" i="1"/>
  <c r="P82" i="1"/>
  <c r="R82" i="1" s="1"/>
  <c r="Q81" i="1"/>
  <c r="P81" i="1"/>
  <c r="R81" i="1" s="1"/>
  <c r="Q80" i="1"/>
  <c r="P80" i="1"/>
  <c r="R80" i="1" s="1"/>
  <c r="Q79" i="1"/>
  <c r="P79" i="1"/>
  <c r="R79" i="1" s="1"/>
  <c r="Q78" i="1"/>
  <c r="P78" i="1"/>
  <c r="R78" i="1" s="1"/>
  <c r="Q77" i="1"/>
  <c r="P77" i="1"/>
  <c r="R77" i="1" s="1"/>
  <c r="Q76" i="1"/>
  <c r="P76" i="1"/>
  <c r="R76" i="1" s="1"/>
  <c r="Q75" i="1"/>
  <c r="P75" i="1"/>
  <c r="R75" i="1" s="1"/>
  <c r="Q74" i="1"/>
  <c r="P74" i="1"/>
  <c r="R74" i="1" s="1"/>
  <c r="Q73" i="1"/>
  <c r="P73" i="1"/>
  <c r="R73" i="1" s="1"/>
  <c r="Q72" i="1"/>
  <c r="P72" i="1"/>
  <c r="R72" i="1" s="1"/>
  <c r="Q71" i="1"/>
  <c r="P71" i="1"/>
  <c r="R71" i="1" s="1"/>
  <c r="Q70" i="1"/>
  <c r="P70" i="1"/>
  <c r="R70" i="1" s="1"/>
  <c r="Q69" i="1"/>
  <c r="P69" i="1"/>
  <c r="R69" i="1" s="1"/>
  <c r="Q68" i="1"/>
  <c r="P68" i="1"/>
  <c r="R68" i="1" s="1"/>
  <c r="Q67" i="1"/>
  <c r="P67" i="1"/>
  <c r="R67" i="1" s="1"/>
  <c r="Q66" i="1"/>
  <c r="P66" i="1"/>
  <c r="R66" i="1" s="1"/>
  <c r="Q65" i="1"/>
  <c r="P65" i="1"/>
  <c r="R65" i="1" s="1"/>
  <c r="Q64" i="1"/>
  <c r="P64" i="1"/>
  <c r="R64" i="1" s="1"/>
  <c r="Q63" i="1"/>
  <c r="P63" i="1"/>
  <c r="R63" i="1" s="1"/>
  <c r="Q62" i="1"/>
  <c r="P62" i="1"/>
  <c r="R62" i="1" s="1"/>
  <c r="Q61" i="1"/>
  <c r="P61" i="1"/>
  <c r="R61" i="1" s="1"/>
  <c r="Q60" i="1"/>
  <c r="P60" i="1"/>
  <c r="R60" i="1" s="1"/>
  <c r="Q59" i="1"/>
  <c r="P59" i="1"/>
  <c r="R59" i="1" s="1"/>
  <c r="Q58" i="1"/>
  <c r="P58" i="1"/>
  <c r="R58" i="1" s="1"/>
  <c r="Q57" i="1"/>
  <c r="P57" i="1"/>
  <c r="R57" i="1" s="1"/>
  <c r="Q56" i="1"/>
  <c r="P56" i="1"/>
  <c r="R56" i="1" s="1"/>
  <c r="Q55" i="1"/>
  <c r="P55" i="1"/>
  <c r="R55" i="1" s="1"/>
  <c r="Q54" i="1"/>
  <c r="P54" i="1"/>
  <c r="R54" i="1" s="1"/>
  <c r="Q53" i="1"/>
  <c r="P53" i="1"/>
  <c r="R53" i="1" s="1"/>
  <c r="Q52" i="1"/>
  <c r="P52" i="1"/>
  <c r="R52" i="1" s="1"/>
  <c r="Q51" i="1"/>
  <c r="P51" i="1"/>
  <c r="R51" i="1" s="1"/>
  <c r="Q50" i="1"/>
  <c r="P50" i="1"/>
  <c r="R50" i="1" s="1"/>
  <c r="Q49" i="1"/>
  <c r="P49" i="1"/>
  <c r="R49" i="1" s="1"/>
  <c r="Q48" i="1"/>
  <c r="P48" i="1"/>
  <c r="R48" i="1" s="1"/>
  <c r="Q47" i="1"/>
  <c r="P47" i="1"/>
  <c r="R47" i="1" s="1"/>
  <c r="Q46" i="1"/>
  <c r="P46" i="1"/>
  <c r="R46" i="1" s="1"/>
  <c r="Q45" i="1"/>
  <c r="P45" i="1"/>
  <c r="R45" i="1" s="1"/>
  <c r="Q44" i="1"/>
  <c r="P44" i="1"/>
  <c r="R44" i="1" s="1"/>
  <c r="Q43" i="1"/>
  <c r="P43" i="1"/>
  <c r="R43" i="1" s="1"/>
  <c r="Q42" i="1"/>
  <c r="P42" i="1"/>
  <c r="R42" i="1" s="1"/>
  <c r="Q41" i="1"/>
  <c r="P41" i="1"/>
  <c r="R41" i="1" s="1"/>
  <c r="Q40" i="1"/>
  <c r="P40" i="1"/>
  <c r="R40" i="1" s="1"/>
  <c r="Q39" i="1"/>
  <c r="P39" i="1"/>
  <c r="R39" i="1" s="1"/>
  <c r="Q38" i="1"/>
  <c r="P38" i="1"/>
  <c r="R38" i="1" s="1"/>
  <c r="Q37" i="1"/>
  <c r="P37" i="1"/>
  <c r="R37" i="1" s="1"/>
  <c r="Q36" i="1"/>
  <c r="P36" i="1"/>
  <c r="R36" i="1" s="1"/>
  <c r="Q35" i="1"/>
  <c r="P35" i="1"/>
  <c r="R35" i="1" s="1"/>
  <c r="Q34" i="1"/>
  <c r="P34" i="1"/>
  <c r="R34" i="1" s="1"/>
  <c r="Q33" i="1"/>
  <c r="P33" i="1"/>
  <c r="R33" i="1" s="1"/>
  <c r="Q32" i="1"/>
  <c r="P32" i="1"/>
  <c r="R32" i="1" s="1"/>
  <c r="Q31" i="1"/>
  <c r="P31" i="1"/>
  <c r="R31" i="1" s="1"/>
  <c r="Q30" i="1"/>
  <c r="P30" i="1"/>
  <c r="R30" i="1" s="1"/>
  <c r="Q29" i="1"/>
  <c r="P29" i="1"/>
  <c r="R29" i="1" s="1"/>
  <c r="Q28" i="1"/>
  <c r="P28" i="1"/>
  <c r="R28" i="1" s="1"/>
  <c r="Q27" i="1"/>
  <c r="P27" i="1"/>
  <c r="R27" i="1" s="1"/>
  <c r="Q26" i="1"/>
  <c r="P26" i="1"/>
  <c r="R26" i="1" s="1"/>
  <c r="Q25" i="1"/>
  <c r="P25" i="1"/>
  <c r="R25" i="1" s="1"/>
  <c r="Q24" i="1"/>
  <c r="P24" i="1"/>
  <c r="R24" i="1" s="1"/>
  <c r="Q23" i="1"/>
  <c r="P23" i="1"/>
  <c r="R23" i="1" s="1"/>
  <c r="Q22" i="1"/>
  <c r="P22" i="1"/>
  <c r="R22" i="1" s="1"/>
  <c r="Q21" i="1"/>
  <c r="P21" i="1"/>
  <c r="R21" i="1" s="1"/>
  <c r="Q20" i="1"/>
  <c r="P20" i="1"/>
  <c r="R20" i="1" s="1"/>
  <c r="Q19" i="1"/>
  <c r="P19" i="1"/>
  <c r="R19" i="1" s="1"/>
  <c r="Q18" i="1"/>
  <c r="P18" i="1"/>
  <c r="R18" i="1" s="1"/>
  <c r="Q17" i="1"/>
  <c r="P17" i="1"/>
  <c r="R17" i="1" s="1"/>
  <c r="Q16" i="1"/>
  <c r="P16" i="1"/>
  <c r="R16" i="1" s="1"/>
  <c r="Q15" i="1"/>
  <c r="P15" i="1"/>
  <c r="R15" i="1" s="1"/>
  <c r="Q14" i="1"/>
  <c r="P14" i="1"/>
  <c r="R14" i="1" s="1"/>
  <c r="Q13" i="1"/>
  <c r="P13" i="1"/>
  <c r="R13" i="1" s="1"/>
  <c r="Q12" i="1"/>
  <c r="P12" i="1"/>
  <c r="R12" i="1" s="1"/>
  <c r="Q11" i="1"/>
  <c r="P11" i="1"/>
  <c r="R11" i="1" s="1"/>
  <c r="Q10" i="1"/>
  <c r="P10" i="1"/>
  <c r="R10" i="1" s="1"/>
  <c r="Q9" i="1"/>
  <c r="P9" i="1"/>
  <c r="R9" i="1" s="1"/>
  <c r="Q8" i="1"/>
  <c r="P8" i="1"/>
  <c r="R8" i="1" s="1"/>
  <c r="Q7" i="1"/>
  <c r="P7" i="1"/>
  <c r="R7" i="1" s="1"/>
  <c r="Q6" i="1"/>
  <c r="P6" i="1"/>
  <c r="R6" i="1" s="1"/>
  <c r="Q5" i="1"/>
  <c r="P5" i="1"/>
  <c r="R5" i="1" s="1"/>
  <c r="Q4" i="1"/>
  <c r="P4" i="1"/>
  <c r="R4" i="1" s="1"/>
  <c r="Q3" i="1"/>
  <c r="P3" i="1"/>
  <c r="R3" i="1" s="1"/>
  <c r="Q2" i="1"/>
  <c r="P2" i="1"/>
  <c r="R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<sst xmlns="http://schemas.openxmlformats.org/spreadsheetml/2006/main" count="10047" uniqueCount="2949">
  <si>
    <t>Année</t>
  </si>
  <si>
    <t>Catégorie</t>
  </si>
  <si>
    <t>Station</t>
  </si>
  <si>
    <t>SSP n°</t>
  </si>
  <si>
    <t>SSP</t>
  </si>
  <si>
    <t>Plainte</t>
  </si>
  <si>
    <t>Diagnostic générique</t>
  </si>
  <si>
    <t>Diagnstic principal</t>
  </si>
  <si>
    <t>Diagnostics différentiels</t>
  </si>
  <si>
    <t>Description</t>
  </si>
  <si>
    <t>Anamnèse</t>
  </si>
  <si>
    <t>Status</t>
  </si>
  <si>
    <t>Management</t>
  </si>
  <si>
    <t>Diagnstic principal (original)</t>
  </si>
  <si>
    <t>SSP attendu (par n°)</t>
  </si>
  <si>
    <t>Concordance n° ↔ libellé</t>
  </si>
  <si>
    <t>Écart vs backup (Feuil1!E)</t>
  </si>
  <si>
    <t>À vérifier</t>
  </si>
  <si>
    <t>Cohérence diag. générique ↔ principal</t>
  </si>
  <si>
    <t>Détails cohérence</t>
  </si>
  <si>
    <t>Key (2013-2017 match)</t>
  </si>
  <si>
    <t>Desc (C13-17)</t>
  </si>
  <si>
    <t>Anamnèse (C13-17)</t>
  </si>
  <si>
    <t>Status (C13-17)</t>
  </si>
  <si>
    <t>DD (C13-17)</t>
  </si>
  <si>
    <t>PEC (C13-17)</t>
  </si>
  <si>
    <t>Examens compl. (C13-17)</t>
  </si>
  <si>
    <t>Key (norm)</t>
  </si>
  <si>
    <t>Diag norm (1)</t>
  </si>
  <si>
    <t>Diag norm (2)</t>
  </si>
  <si>
    <t>Diag norm (3)</t>
  </si>
  <si>
    <t>Diag norm (4)</t>
  </si>
  <si>
    <t>❤️ Cardiologie / Vasculaire</t>
  </si>
  <si>
    <t> </t>
  </si>
  <si>
    <t>Artériopathie des membres inférieurs</t>
  </si>
  <si>
    <t>AOMI</t>
  </si>
  <si>
    <t xml:space="preserve">Homme d'âge moyen avec douleur soudaine et intense à la jambe droite depuis 2 heures pendant le jardinage. Allongé sur le lit et incapable de marcher. </t>
  </si>
  <si>
    <t>Anamnèse, examen, procédures supplémentaires. Héparine administrée, transfert au laboratoire de cathétérisme. Disparition des pulsations à la jambe droite, héparine administrée.</t>
  </si>
  <si>
    <t>Péricardite</t>
  </si>
  <si>
    <t>Homme au service des urgences avec douleur thoracique, respiratoire, améliorée par la flexion en avant.</t>
  </si>
  <si>
    <t xml:space="preserve">À l'ECG, élévation du segment ST de V1 à V6, ne peut être examiné en position allongée. Antécédents d'infection. </t>
  </si>
  <si>
    <t>Autre – ️ Cardiologie / Vasculaire</t>
  </si>
  <si>
    <t>Tachycardie psychogène</t>
  </si>
  <si>
    <t>Hyperthyroïdie</t>
  </si>
  <si>
    <t>Jeune femme présentant des palpitations et des tachycardies</t>
  </si>
  <si>
    <t>ECG normal</t>
  </si>
  <si>
    <t>Hypertension artérielle</t>
  </si>
  <si>
    <t>Hypertension artérielle (HTA)</t>
  </si>
  <si>
    <t>Patient d'environ 57 ans vient en consultation pour un contrôle de la tension artérielle.</t>
  </si>
  <si>
    <t>Hypertension artérielle depuis 5 ans. Examiner d'autres signes d'insuffisance cardiaque (état pulmonaire et cardiaque complet). Tension artérielle actuellement élevée (environ 159/112), antécédents d'insuffisance cardiaque. Suivi IC et HTA + réadaptation médicamenteuse</t>
  </si>
  <si>
    <t>HTA</t>
  </si>
  <si>
    <t>🧴 Dermatologie</t>
  </si>
  <si>
    <t>Psoriasis</t>
  </si>
  <si>
    <t>Patient avec psoriasis</t>
  </si>
  <si>
    <t>Diagnostic avec les images nécessaires.</t>
  </si>
  <si>
    <t>Entretien motivationnel</t>
  </si>
  <si>
    <t>Trouble lié aux substances</t>
  </si>
  <si>
    <t>Addiction</t>
  </si>
  <si>
    <t>Abus d'alcool</t>
  </si>
  <si>
    <t>Faire revenir le patient, il voyait pas le problème puisqu'il "ne buvait pas au travail", que 0.51 de vin le soir et ça plus des bières le wee.</t>
  </si>
  <si>
    <t>🧪 Endocrinologie / Métabolisme</t>
  </si>
  <si>
    <t>Hypothyroïdie</t>
  </si>
  <si>
    <t>Jeune femme avec histoire classique : Fatigue, froid, chute de cheveux, sécheresse, bradycardie, prise de poids</t>
  </si>
  <si>
    <t>Hypothyroidie</t>
  </si>
  <si>
    <t>🧬 Oncologie / Hématologie</t>
  </si>
  <si>
    <t>Cancer</t>
  </si>
  <si>
    <t>Carcinome hépatocellulaire</t>
  </si>
  <si>
    <t>Homme avec ictère, consommation d'alcool et perte de poids.</t>
  </si>
  <si>
    <t>🍴 Gastro-entérologie / Hépatologie</t>
  </si>
  <si>
    <t>Gastro-entérite</t>
  </si>
  <si>
    <t>Diarrhée du voyageur</t>
  </si>
  <si>
    <t>Jeune femme avec antécédents de voyage, désire un médicament.</t>
  </si>
  <si>
    <t>Trouble du métabolisme du fer</t>
  </si>
  <si>
    <t>Hémochromatose</t>
  </si>
  <si>
    <t>Hépatite virale / Maladie de Wilson</t>
  </si>
  <si>
    <t>Homme de 50 ans, visite de contrôle à cause d'un infarctus du myocarde chez son frère.</t>
  </si>
  <si>
    <t>Transaminases augmentées de 3 fois. Confusion sur la cause, aucun antécédent hépatique familial, consommation d'alcool modérée. Investigation nécessaire de toutes les causes possibles.</t>
  </si>
  <si>
    <t>Hépatite</t>
  </si>
  <si>
    <t>Hépatite alcoolique</t>
  </si>
  <si>
    <t>Homme âgé avec douleur pressante dans l'hypocondre droit, antécédents de consommation d'alcool.</t>
  </si>
  <si>
    <t>Examen important et complet nécessaire.</t>
  </si>
  <si>
    <t>Hépatite alcoolique.</t>
  </si>
  <si>
    <t>Autres diagnostics / non classés</t>
  </si>
  <si>
    <t>Autre – Autre</t>
  </si>
  <si>
    <t>Syndrome du côlon irritable</t>
  </si>
  <si>
    <t>Femme de 23 ans avec douleur abdominale, signes vitaux normaux.</t>
  </si>
  <si>
    <t>Douleur abdominale associée à du stress, constipation, hydratation insuffisante. Douleur améliorée après les mouvements intestinaux, aucun signe d'appendicite, examen rectal OK.</t>
  </si>
  <si>
    <t>👩‍🦰 Gynéco / Obstétrique / Urologie</t>
  </si>
  <si>
    <t>Endométriose</t>
  </si>
  <si>
    <t>Jeune femme avec dyspareunie (douleur pendant les rapports sexuels).</t>
  </si>
  <si>
    <t>Anamnèse : douleur abdominale, dysménorrhée sévère. Résultats : taches livides-brunâtres sur le col/vagin, sensibilité à la pression dans le cul-de-sac de Douglas.</t>
  </si>
  <si>
    <t>🧬 Maladies infectieuses</t>
  </si>
  <si>
    <t>Infection sexuellement transmissible</t>
  </si>
  <si>
    <t>IST</t>
  </si>
  <si>
    <t>Femme avec douleur abdominale aiguë, suspicion de IST, examen vaginal à mentionner.</t>
  </si>
  <si>
    <t>Assurez-vous de demander un test de grossesse en cas d'abdomen peu clair. Pensez également à une GEU.</t>
  </si>
  <si>
    <t>Fièvre d'origine indéterminée</t>
  </si>
  <si>
    <t>FUO</t>
  </si>
  <si>
    <t>Homme en neutropénie et fièvre</t>
  </si>
  <si>
    <t>Fièvre et neutropénie sans possibilité d'anamnèse.</t>
  </si>
  <si>
    <t>🧠 Neurologie</t>
  </si>
  <si>
    <t>Maladie cérébrovasculaire</t>
  </si>
  <si>
    <t>Accident ischémique transitoire (AIT)</t>
  </si>
  <si>
    <t>Faiblesse et parésie de la jambe droite</t>
  </si>
  <si>
    <t>La femme présentait une faiblesse et une parésie de la jambe droite avant l'Ih, mais elle ne se plaint actuellement d'aucun AIT.</t>
  </si>
  <si>
    <t>AIT</t>
  </si>
  <si>
    <t>Céphalée primaire</t>
  </si>
  <si>
    <t>Céphalées de tension</t>
  </si>
  <si>
    <t>Céphalées</t>
  </si>
  <si>
    <t>Artérite à cellules géantes</t>
  </si>
  <si>
    <t>Horton</t>
  </si>
  <si>
    <t>Symptômes d'artérite temporale</t>
  </si>
  <si>
    <t>Anamnèse et symptômes classiques de l'artérite temporale</t>
  </si>
  <si>
    <t>Migraine</t>
  </si>
  <si>
    <t>Femme 32 ans. Maux de tête, altération des signes vitaux, discussion des antécédents médicaux, du DD et des procédures. Aucun examen n'est requis (cf. fiche d'état neurologique).
Antécédents : unilatérale, intermittente, sensible à la lumière/au bruit, sa mère en souffrait également, pas d'écoulement oculaire/de rougeur, a commencé un nouvel emploi et veut s'absenter le moins possible, associée au stress et à la menstruation. Interrogez-la sur tous les symptômes typiques de la migraine. Éliminez les autres maux de tête.</t>
  </si>
  <si>
    <t>👁️👂 ORL / Ophtalmo</t>
  </si>
  <si>
    <t>Occlusion artérielle rétinienne</t>
  </si>
  <si>
    <t>Occlusion de l'artère centrale de la rétine (OACR)</t>
  </si>
  <si>
    <t>Perte du champ visuel unilatérale</t>
  </si>
  <si>
    <t>Occlusion aiguë de l'artère centrale de la rétine. Risque cardiaque.</t>
  </si>
  <si>
    <t>OACR</t>
  </si>
  <si>
    <t>Angine à streptocoque</t>
  </si>
  <si>
    <t>Angine Streptocoque</t>
  </si>
  <si>
    <t>Autre – Endocrinologie / Métabolisme</t>
  </si>
  <si>
    <t>Acido-cétose sur diabète inaugural</t>
  </si>
  <si>
    <t>Enfant de 10 ans, apathie, perte de poids, respi profonde, polydipsie</t>
  </si>
  <si>
    <t>Anamnèse, discussion des diagnostics, résultats de laboratoire à confirmer.</t>
  </si>
  <si>
    <t>Mucoviscidose</t>
  </si>
  <si>
    <t>Enfant de 3 ans avec constipation, prolapsus anal, toux, polypes nasaux</t>
  </si>
  <si>
    <t>Symptômes classiques avec photo des polypes nasaux.</t>
  </si>
  <si>
    <t>Torsion testiculaire</t>
  </si>
  <si>
    <t>Nouveau-né de 3 mois avec scrotum rouge et sensible</t>
  </si>
  <si>
    <t>Urgence pédiatrique avec évaluation négative de la fluoroscopie.</t>
  </si>
  <si>
    <t>🫁 Pneumologie</t>
  </si>
  <si>
    <t>Pneumothorax</t>
  </si>
  <si>
    <t>Homme de 32 ans avec douleur thoracique supérieure droite soudaine.</t>
  </si>
  <si>
    <t>Signes vitaux : PA légèrement diminuée, pouls légèrement augmenté, fréquence respiratoire 22, température de 36,7 °C. Aucun résultat clinique trouvé lors de l'examen.</t>
  </si>
  <si>
    <t>Autre – Pneumologie</t>
  </si>
  <si>
    <t>Syndrome d'apnées obstructives du sommeil (SAOS)</t>
  </si>
  <si>
    <t>Homme avec fatigue</t>
  </si>
  <si>
    <t>SAOS</t>
  </si>
  <si>
    <t>🧠🧑‍⚕️ Psychiatrie / Psychologie</t>
  </si>
  <si>
    <t>Trouble bipolaire</t>
  </si>
  <si>
    <t>Hypomanie</t>
  </si>
  <si>
    <t>Sous ad pour depression, probable virage hypomaniaque</t>
  </si>
  <si>
    <t>Autre – ‍️ Psychiatrie / Psychologie</t>
  </si>
  <si>
    <t>Phobie sociale</t>
  </si>
  <si>
    <t>Anxieté / PTSD</t>
  </si>
  <si>
    <t>Palpitations</t>
  </si>
  <si>
    <t>Ostéoporose</t>
  </si>
  <si>
    <t>Femme de 56 ans préoccupée par l'ostéoporose après avoir vu un documentaire.</t>
  </si>
  <si>
    <t>Anamnèse orientée, examen physique, discussion sur les risques et les procédures supplémentaires. Aucun signe d'ostéoporose détecté, DEXA non recommandée. Discussion sur la TOS à revoir. (évaluation de la nécessité de DEXA, discussion de la thérapie hormonale (TOS) en raison du cancer de l'utérus chez la mère)</t>
  </si>
  <si>
    <t>Incontinence urinaire</t>
  </si>
  <si>
    <t>Incontinence urinaire d'effort</t>
  </si>
  <si>
    <t>Cystocèle / Rectocèle</t>
  </si>
  <si>
    <t>Femme avec incontinence d'effort.</t>
  </si>
  <si>
    <t>Résultats de l'examen fournis par écrit par l'examinateur.</t>
  </si>
  <si>
    <t>Néphrolithiase</t>
  </si>
  <si>
    <t>Femme avec douleur au dos, calculs rénaux à gauche.</t>
  </si>
  <si>
    <t>Néphrolithiase.</t>
  </si>
  <si>
    <t>Autre – Maladies infectieuses</t>
  </si>
  <si>
    <t>Prostatite</t>
  </si>
  <si>
    <t>Homme de 40 ans avec brûlure pendant la miction (algurie).</t>
  </si>
  <si>
    <t>Souffle iliaque.</t>
  </si>
  <si>
    <t>Endocardite</t>
  </si>
  <si>
    <t>-</t>
  </si>
  <si>
    <t>Syndrome coronarien aigu</t>
  </si>
  <si>
    <t>Infarctus du myocarde</t>
  </si>
  <si>
    <t>Petite vieille amenée aux urgences en ambulance, retrouvée par son mari par terre chez elle, vertige en se levant.</t>
  </si>
  <si>
    <t>Prend amlodipine et ramipril. ECG, mise sous ETT et ETO pour vérifier si cause des médicaments ou autre problème cardiaque. Sous-décalage ST, QRS large et T inversées, FC à 40.</t>
  </si>
  <si>
    <t>Insuffisance cardiaque</t>
  </si>
  <si>
    <t>EP • Insuffisance rénale • Insuffisance hépatique</t>
  </si>
  <si>
    <t>Femme de 60 ans avec fatigue, arythmie, œdème avec godet, dyspnée max.</t>
  </si>
  <si>
    <t>Insuffisance cardiaque, état non complètement évalué.</t>
  </si>
  <si>
    <t>CV (ne pas oublier reflux hépatojugulaire, oedèmes!, auscultation carotides) • Homans • Palpation mollets Pulmonaire</t>
  </si>
  <si>
    <t>Hospitalisation si décompensation→ O2, position assise, Morphine, Nitroglycérinesi oedème poumon et pas d’hypotension, furosémide iv. Si stable chgt habitudes de vie (diète pauvre en sel, réduction poids, restriction hydrique,diminuer OH et nicotine) Médics: IECA, Bbloquant, Diurétique, evt antago aldostérone</t>
  </si>
  <si>
    <t>Infection cutanée bactérienne</t>
  </si>
  <si>
    <t>Dermohypodermite</t>
  </si>
  <si>
    <t>Eczéma de contact allergique aigu • Thrombophlébite • Acrodermatite chronique atrophiante • Fasciite nécrosante</t>
  </si>
  <si>
    <t>Douleur + rougeur à la jambe, fièvre, œdème et ADP fémorales</t>
  </si>
  <si>
    <t>Douleur et rougeur à la jambe avec œdème et fièvre.</t>
  </si>
  <si>
    <t>Inspection, palpation (y.c ganglions !) • Rougeur-chaleur-œdème-douleur • Marquer la lésion pour voir la réponse aux ATB • Regarder entre les orteils pour porte d’entrée</t>
  </si>
  <si>
    <t>Si visage : • Hospitalisation • Risque de thrombose du sinus caverneux • Mise au repos • Surélévation • Pansement frais et humide • Co-Amox 10j</t>
  </si>
  <si>
    <t>Dermatite eczématiforme</t>
  </si>
  <si>
    <t>Eczéma</t>
  </si>
  <si>
    <t>Dermatite séborrhéique • Eczéma de contact allergique • Gale</t>
  </si>
  <si>
    <t xml:space="preserve">Diagnostic d'eczéma </t>
  </si>
  <si>
    <t>Cf autres cas, bien regarder dans plis, derrière genou etc… • Xérose cutanée • Chéilite sèche • Dermographisme blanc • Signe de Hertoghe : Perte tier externe des sourcils (aussi dans hypothyroïdie • Pli de Dennie-Morgan : Doubles plis sous palpébraux augmenté</t>
  </si>
  <si>
    <t>Émollients, • Produits non irritants pour hygiène de la peau • Poussées : • Dermocorticoïdes • Immunomodulateurs topiques • Cas graves : • Photothérapie • Corticoïdes systémique courte durée</t>
  </si>
  <si>
    <t>Urticaire</t>
  </si>
  <si>
    <t>Urticaire allergique</t>
  </si>
  <si>
    <t>Prurit généralisé après un repas de crevettes</t>
  </si>
  <si>
    <t>Réaction après ingestion de crevettes, traitement antihistaminique et corticostéroïde.</t>
  </si>
  <si>
    <t>Compliance DBT2</t>
  </si>
  <si>
    <t>entretien motivationnel pour le diabète chez une migrante espagnol, qui a mal aux deux jambes à cause de sa neuropathie, prends pas ses médicaments, et il fallait aussi investiguer tous les facteurs socio culturels...</t>
  </si>
  <si>
    <t>Sevrage OH</t>
  </si>
  <si>
    <t>Fatigue chez une femme 45 ans</t>
  </si>
  <si>
    <t>pas de changement de vie, mais intolérance au chaud, palpitations, thyroide augmentée en taille, hyper-reflexie, et cie, donc typo-thyroidie, mais en fait je sais pas si c'est pas plutôt hyper, sur le moment j'ai eu un sérieux doute.</t>
  </si>
  <si>
    <t>Hyperthyroidie</t>
  </si>
  <si>
    <t>Diverticulites</t>
  </si>
  <si>
    <t>Vieille dame avec douleurs abdominales en fosse iliaque gauche (FIG), CRP 80 et leucocytes augmentés.</t>
  </si>
  <si>
    <t>Add CT et coloscopie à distance</t>
  </si>
  <si>
    <t>Pancréatite</t>
  </si>
  <si>
    <t>Pancréatite biliaire</t>
  </si>
  <si>
    <t>Dlr épigastrique, distension, ileus → baisse des bruits abdo</t>
  </si>
  <si>
    <t>Ictère et signe de Cullen</t>
  </si>
  <si>
    <t>Dlr épigastrique, distension, ileus→ baisse des bruits abdo • Examen de la peau → ictère, signe de Cullen...</t>
  </si>
  <si>
    <t>Hosp. • Fluides (cristalloïdes), analgésie • Bowel rest • ERCP + cholecystectomie</t>
  </si>
  <si>
    <t>Conseil de grossesse</t>
  </si>
  <si>
    <t>Grossesse (conseils)</t>
  </si>
  <si>
    <t>Femme de 38 ans avec premier test de grossesse positif.</t>
  </si>
  <si>
    <t>Aucun examen à réaliser.</t>
  </si>
  <si>
    <t>Autre – ‍ Gynéco / Obstétrique / Urologie</t>
  </si>
  <si>
    <t>Prééclampsie</t>
  </si>
  <si>
    <t>Céphalées chez femme enceinte, exclusion de la prééclampsie.</t>
  </si>
  <si>
    <t>Tuberculose</t>
  </si>
  <si>
    <t>Jeune femme de 30 ans avec fièvre et toux persistante</t>
  </si>
  <si>
    <t>Symptômes de tuberculose avec confirmations diagnostiques.</t>
  </si>
  <si>
    <t>Anémie</t>
  </si>
  <si>
    <t>Anémie macrocytaire chez une végétalienne, déficience en vitamine B12.</t>
  </si>
  <si>
    <t>Déficience en vit.B12 Anamnèse et status gynécologiques normaux.</t>
  </si>
  <si>
    <t>🦴 Rhumatologie / Orthopédie / Traumatologie</t>
  </si>
  <si>
    <t>Fracture</t>
  </si>
  <si>
    <t>Fracture vertébrale ostéoporotique</t>
  </si>
  <si>
    <t>Femme de 62 ans, ménopausée, douleur aiguë dans le dos après avoir soulevé un paquet.</t>
  </si>
  <si>
    <t>Radiographie thoracique réalisée, TR et IRM. Possibilité de spondylolisthésis</t>
  </si>
  <si>
    <t>Autre – Rhumatologie / Orthopédie / Traumatologie</t>
  </si>
  <si>
    <t>Lésion de la coiffe des rotateurs (mouvement passif de l'épaule conservé)</t>
  </si>
  <si>
    <t>Femme de 60 ans avec douleur à l'épaule et mobilité réduite depuis 2 jours.</t>
  </si>
  <si>
    <t>Douleur vive en soulevant une valise, traitement initial avec AINS et paracétamol, bras en écharpe. Une radiographie aurait peut-être dû être faite.</t>
  </si>
  <si>
    <t>Polytrauma (Fx de côte, rupture de rate, pneumothorax)</t>
  </si>
  <si>
    <t>Femme de 25 ans, chute de vélo il y a 3 jours, douleurs latéro-thoraciques gauches avec dyspnée.</t>
  </si>
  <si>
    <t>Hématome, douleur à la palpation, radiographie thoracique et échographie abdominale demandées, gestion de la douleur.</t>
  </si>
  <si>
    <t>Autre – Neurologie</t>
  </si>
  <si>
    <t>Céphalées sur probable thrombose</t>
  </si>
  <si>
    <t>Céphalées avec perte de connaissance</t>
  </si>
  <si>
    <t>Hématome sous-dural (TCC)</t>
  </si>
  <si>
    <t xml:space="preserve">Instabilité à la marche </t>
  </si>
  <si>
    <t>petit vieux amené par sa fille à cause de trouble de la marche, céphalées nouvelles, examen neuro (cérébelleux) = HSD car sintrom et chute sur la tête et ad CT</t>
  </si>
  <si>
    <t>HSD (TCC)</t>
  </si>
  <si>
    <t>Maculopathie liée à l'âge</t>
  </si>
  <si>
    <t>DMLA</t>
  </si>
  <si>
    <t>Perte soudaine de la vision unilatérale</t>
  </si>
  <si>
    <t xml:space="preserve"> reçoit des images d'une fundoscopie lorsqu'elle la fait (il n'y avait pas assez de temps).
 dégénérescence maculaire liée à l'âge avec métamorphopsie anamnestique dans un œil. Dans l'autre œil, hémorragies autour des bourgeons (probablement rétinopathie diabétique) avec une tache noire autour du fond d'œil (d'après Optha-Basic, je pense qu'il s'agit d'une néovascularisation choroïdienne).</t>
  </si>
  <si>
    <t>Glaucome</t>
  </si>
  <si>
    <t>Glaucome aigu fermé</t>
  </si>
  <si>
    <t>Zona ophtalmique</t>
  </si>
  <si>
    <t>Œil rouge et douloureux (65 ans), irradie sur n. V1 ipsilat, mydriase aréactive</t>
  </si>
  <si>
    <t>vieux de 65 ans vient pour ceil rouge douloureux depuis la veille avec irradiation sur Vl homolateral, mydriase aréactive et opacification cornée d'après photo... glaucome aigu et ad ophtalmo pour examen approfondi et biopsie a temporale pour exclure un horton... mais bon, ça pouvait aussi peut être, être une uvéite ???</t>
  </si>
  <si>
    <t>Glaucome aigu fermé/Zona ophtalmique</t>
  </si>
  <si>
    <t>Rhinoconjonctivite allergique</t>
  </si>
  <si>
    <t>Conjonctivite+rhinite allergique</t>
  </si>
  <si>
    <t>Mal de gorge chez une femme de 32 ans</t>
  </si>
  <si>
    <t>Anamnèse, examen (+ commentaire sur ce qui est fait à la patiente), discussion des DD/procédures.
Anamnèse : fièvre, difficultés à avaler ; depuis environ 3 jours, déjà eu plusieurs fois cette année, enseignante au jardin d'enfants, enfants malades au jardin d'enfants. Pas d'otite, otospongiose opérée avec succès il y a 5 ans.
Examen de la bouche. La langue n'est pas humide, gorge : l'examinateur s'étire avec des amygdales gonflées et des dépôts blancs,
Otoscopie non significative. Fournit des photos avec amygdales rouges et test Strepto rapide positif sur demande. Léger trismus et limitation de la rotation de la colonne cervicale.</t>
  </si>
  <si>
    <t>Surdité de transmission</t>
  </si>
  <si>
    <t>Otosclérose</t>
  </si>
  <si>
    <t>Hypoacousie (baisse de l'audition)</t>
  </si>
  <si>
    <t xml:space="preserve">Otosclérose </t>
  </si>
  <si>
    <t>Infection respiratoire basse virale</t>
  </si>
  <si>
    <t>Bronchiolite</t>
  </si>
  <si>
    <t>Enfant de 3 mois avec dyspnée, tirage, marbrure</t>
  </si>
  <si>
    <t>Hospitalisation avec oxygénothérapie, perfusion, et soins urgents.</t>
  </si>
  <si>
    <t>Convulsions fébriles (sur OMA)</t>
  </si>
  <si>
    <t>Convulsions pendant la montée de fièvre</t>
  </si>
  <si>
    <t>Exclure méningite</t>
  </si>
  <si>
    <t>Ostéomyélite</t>
  </si>
  <si>
    <t>Arthrite septique • Tumeur osseuse</t>
  </si>
  <si>
    <t>Garçon de 6 ans avec douleur et œdème du genou, et fièvre</t>
  </si>
  <si>
    <t>Anamnèse et laboratoire indiquant une infection, prise en charge initiale incomplète.</t>
  </si>
  <si>
    <t>Palpation douloureuse • Tuméfaction • Membre en position antalgique</t>
  </si>
  <si>
    <t>Repos/immob du membre • Hospitaliser et AB iv • Si complications =&gt; OP</t>
  </si>
  <si>
    <t>BPCO</t>
  </si>
  <si>
    <t>BPCO entretien RAD</t>
  </si>
  <si>
    <t>Femme de 65 ans, RAD après exacerbation de BPCO.</t>
  </si>
  <si>
    <t>Vérification de l'utilisation du Serevent et suivi par le MPR.</t>
  </si>
  <si>
    <t>Thromboembolie veineuse</t>
  </si>
  <si>
    <t>Embolie pulmonaire (EP)</t>
  </si>
  <si>
    <t>Pneumothorax • Infarctus du myocarde • Pneumonie atypique • TVP/EP</t>
  </si>
  <si>
    <t>Patiente de 28 ans avec dyspnée aiguë nouvelle.</t>
  </si>
  <si>
    <t>Dyspnée depuis quand? Condition de survenue? Progression? Respiration superficielle ? augmentation de la FR ? Facteur aggravant/soulageant? premier épisode ? Douleur associée (poitrine/jambe)? Palpitation ? Syncope? toux ? Expectoration? Asthme? sifflement? • FRCV, FR TVP douleur de jambe? œdème? antécédents familiaux? OP récente ? Voyage ? Néoplasie ? Coagulopathie ? Grossesse ? œstrogène ? Varices ? • symptômes généraux? Antécédents maladie chirurgie médicament allergie? habitude de vie OH tabac drogue home?</t>
  </si>
  <si>
    <t>Status cardiovasculaire (aussi œdème des MI, signe de Homans) • Status pulmonaire</t>
  </si>
  <si>
    <t>Hospitalisation • stabiliser le patient si instable (remplissage si hypotension) O2 selon sat02 • Héparine IV</t>
  </si>
  <si>
    <t>EP</t>
  </si>
  <si>
    <t>Toux chez patient avec ventilation à domicile</t>
  </si>
  <si>
    <t>Episodes psychotique chez un schizophrène</t>
  </si>
  <si>
    <t>Blessure à la main</t>
  </si>
  <si>
    <t>patient de 19 ans, menuisier, s'est coupé la main, et entend des voix (2" épisodes psychotique chez un patient déjà connu pour ça (donc schizophrenie).</t>
  </si>
  <si>
    <t xml:space="preserve">Episodes psychotique chez un schizophrène </t>
  </si>
  <si>
    <t>Psychosomatique</t>
  </si>
  <si>
    <t>Douleur thoracique</t>
  </si>
  <si>
    <t>Douleur thoracique et dyspnée persístante multi-investiguée (psychosomatique</t>
  </si>
  <si>
    <t>Trouble dépressif</t>
  </si>
  <si>
    <t>Dépression du post-partum</t>
  </si>
  <si>
    <t>Humeur triste (&lt; 4 sem après accouchement et dure 2-6 mois)</t>
  </si>
  <si>
    <t>A différencier du Baby Blues</t>
  </si>
  <si>
    <t>Trouble cognitif</t>
  </si>
  <si>
    <t>Démence (Alzheimer probable)</t>
  </si>
  <si>
    <t>Homme 75 ans, ne reconnaît plus sa femme de 80 ans, perte de mémoire progressive, complètement dépendant dans AVQ</t>
  </si>
  <si>
    <t>Perte de mémoire+psychosocial</t>
  </si>
  <si>
    <t>Hyperplasie bénigne de la prostate</t>
  </si>
  <si>
    <t>Hypertrophie bénigne de la prostate (HPPB)</t>
  </si>
  <si>
    <t>Homme de 70 ans avec des difficultés à uriner, aucune autre plainte.</t>
  </si>
  <si>
    <t>Gêne sus-pubienne au status, toucher rectal à faire sur un mannequin, dosage PSA et échographie prostatique recommandés.</t>
  </si>
  <si>
    <t>Trouble du rythme cardiaque</t>
  </si>
  <si>
    <t>Fibrillation auriculaire (FA)</t>
  </si>
  <si>
    <t>Flutter • Hyperthyroïdie • Électrolytes • Hypokaliémie</t>
  </si>
  <si>
    <t>Palpitations chez une femme de 60 ans.</t>
  </si>
  <si>
    <t>-caractériser si c’est cœur qui bat vite ou impression que c’est irrégulier • -depuis quand? motif de survenue ? fréquence? Symptômes associés? • -FA : Palpitation, syncope, vertige, agitation, transpiration • -Anamnèse CV et Pulm (dyspnée, orthopnée, dys</t>
  </si>
  <si>
    <t>CV • Pulm • Thyroïde</t>
  </si>
  <si>
    <t>PEC : CHA2DS2VASC • 1.Anticoag • 2. Antiarythmique • 3. Contrôle fréquence B-bloquant • Cardioversion • Ablation par cat.</t>
  </si>
  <si>
    <t>FA</t>
  </si>
  <si>
    <t>Dyspnée.</t>
  </si>
  <si>
    <t>Valvulopathie aortique</t>
  </si>
  <si>
    <t>Sténose aortique</t>
  </si>
  <si>
    <t>Syncope chez un patient âgé.</t>
  </si>
  <si>
    <t>Compliance chez un coronarien</t>
  </si>
  <si>
    <t>Suivi chez malade coronarien. -Suivi chez Insuffisant Cardiaque</t>
  </si>
  <si>
    <t>Cholécystite</t>
  </si>
  <si>
    <t>Douleurs abdominales.</t>
  </si>
  <si>
    <t>Gastroentérite virale (intoxication alimentaire)</t>
  </si>
  <si>
    <t>Femme de 30 ans avec nausées et vomissements.</t>
  </si>
  <si>
    <t>Pathologie œsogastroduodénale</t>
  </si>
  <si>
    <t>Ulcère gastrique</t>
  </si>
  <si>
    <t>Grossesse extra-utérine</t>
  </si>
  <si>
    <t>GEU (Grossesse extra-utérine)</t>
  </si>
  <si>
    <t>Douleurs abdominales chez une jeune femme (Urgence)</t>
  </si>
  <si>
    <t>Infertilité féminine</t>
  </si>
  <si>
    <t>Infertilité femme</t>
  </si>
  <si>
    <t>Difficulté de procréation</t>
  </si>
  <si>
    <t>Scarlatine</t>
  </si>
  <si>
    <t>Éruption cutanée chez un patient de 30 ans</t>
  </si>
  <si>
    <t>Éruption cutanée associée à la scarlatine.</t>
  </si>
  <si>
    <t>Syphilis secondaire</t>
  </si>
  <si>
    <t>Éruption cutanée chez un homme de 40 ans</t>
  </si>
  <si>
    <t>Éruption cutanée typique de la syphilis secondaire.</t>
  </si>
  <si>
    <t>Fracture du col du fémur</t>
  </si>
  <si>
    <t>Jambe raccourcie et rotation externe</t>
  </si>
  <si>
    <t>Métastases osseuses • Plasmocytome</t>
  </si>
  <si>
    <t>Douleurs diffuses du dos, cyphose et diminution de taille</t>
  </si>
  <si>
    <t>FR : tabac, abus d’alcool, ménopause précoce, prise de médoc • Douleurs diffuses du dos • Cyphose et diminution de la taille • Fx col du fémur, radius distal, vertébrale</t>
  </si>
  <si>
    <t>Phénomène du sapin • Mesure régulière de la taille</t>
  </si>
  <si>
    <t>Activité physique • Stop alcool et tabac • Calcium + D3 • Evtl aide à la marche • Post ménopause : Bisphosphonates, Raloxifene, etc..</t>
  </si>
  <si>
    <t>Syndrome du canal carpien</t>
  </si>
  <si>
    <t>Tunnel carpien</t>
  </si>
  <si>
    <t>Douleur avant-bras</t>
  </si>
  <si>
    <t>Accident vasculaire cérébral (AVC)</t>
  </si>
  <si>
    <t>AIT, HSA, hématome sous dural, masse</t>
  </si>
  <si>
    <t>Hemiplegie MSD</t>
  </si>
  <si>
    <t>Depuis quand? Evolution, comment se sentait avant faiblesse, tr sensi, PC, convulsions, fièvre, N/V, DRS, palpitations, pb pour parler/avaler, tr visuels, incontinence urine/selles, chute? trauma</t>
  </si>
  <si>
    <t>Neuro complet • Cardio-pulm: ausculter les carotides!</t>
  </si>
  <si>
    <t>Ischémique: • Thrombolyse • Thrombectomie • Hémorragique: • Réverser coag • Craniotomie, évacuation du caillot</t>
  </si>
  <si>
    <t>AVC</t>
  </si>
  <si>
    <t>ABCDE+Inf</t>
  </si>
  <si>
    <t>Infection du système nerveux central</t>
  </si>
  <si>
    <t>Méningite</t>
  </si>
  <si>
    <t>Céphalées et fièvre chez jeune patiente</t>
  </si>
  <si>
    <t>Cataracte</t>
  </si>
  <si>
    <t xml:space="preserve">Trouble vision </t>
  </si>
  <si>
    <t>Trouble vision femme 70 ans.</t>
  </si>
  <si>
    <t>Glaucome aigu</t>
  </si>
  <si>
    <t>Uvéite</t>
  </si>
  <si>
    <t>douleurs oculaires</t>
  </si>
  <si>
    <t>Glaucome aigu/Uvéite</t>
  </si>
  <si>
    <t>Sclérose en plaques (SEP)</t>
  </si>
  <si>
    <t>SEP</t>
  </si>
  <si>
    <t>Otite</t>
  </si>
  <si>
    <t>Dans 1 oreille ou les 2 • Otalgie, écoulement, prurit, • Fièvre, frissons • Ouïe diminue, acouphène, vertiges • Nez congestionné? Rhinorrhée, odynodysphagie, céphalées • si externe: otorrhée + notion de baignade en piscine (Attention diabétique!!) •</t>
  </si>
  <si>
    <t>Moyenne: tympan érythémateux, épaissi, fin ou bombé • Externe: CAE érythémateux, rétréci • Pas oublier de regarder et palper mastoïde • Examen ORL complet: avec ggl aussi, Rinné, Weber, audition</t>
  </si>
  <si>
    <t>Moyenne: initialement décongestionnants nasaux et AINS (surtout pour OMA débutante) si inefficace au bout de 2j =&gt; AB amox • Externe: ciproxine HC en goutte • si diabétique =&gt; ciproxine p.os!!</t>
  </si>
  <si>
    <t>Fièvre enfant</t>
  </si>
  <si>
    <t>Consultation téléphonique</t>
  </si>
  <si>
    <t>Consultation à distance pour évaluer la fièvre chez l’enfant.</t>
  </si>
  <si>
    <t>Ictère néonatal</t>
  </si>
  <si>
    <t>Ictère du nouveau-né</t>
  </si>
  <si>
    <t>Consultation à distance, évaluation de l'ictère.</t>
  </si>
  <si>
    <t>Asthme</t>
  </si>
  <si>
    <t>Pneumonie typique/atypique • Bronchite • GERD • BPCO</t>
  </si>
  <si>
    <t>Toux chez un jeune homme.</t>
  </si>
  <si>
    <t>Toux, quand (+ le matin, nuit?) expectos, sang? dyspnée, douleur, reflux, contage, animaux, Tb, bruits pendant respiration? Infection récente, fièvre, symptômes B. • Rhinite allergique, eczéma, • Allergie, toux saisonnière? Profession? Voyages? • Exposition à animaux, poussière/moisissure</t>
  </si>
  <si>
    <t>Pulmonaire (pas oublier ongles, ganglions) • Evtl Cardio</t>
  </si>
  <si>
    <t>O2 • SABA (Ventolin) • Cortico iv • Adrénaline inhalation • Si échec : • B2 en IV attention répercussion hémodynamique • Chronique : • Éviter trigger • Ventolin au besoin • Budésonide • LABA (Salbutamol)</t>
  </si>
  <si>
    <t>Infection respiratoire basse</t>
  </si>
  <si>
    <t>Bronchite ou Pneumonie</t>
  </si>
  <si>
    <t>Toux chez un jeune patient.</t>
  </si>
  <si>
    <t>Dépression</t>
  </si>
  <si>
    <t>Baisse de la thymie</t>
  </si>
  <si>
    <t>Chez la personne âgée</t>
  </si>
  <si>
    <t>Trouble anxieux</t>
  </si>
  <si>
    <t>Tr anxieux généralisé • Attaque panique • Phobies • PTSD • Angor • FA • Hyperthyroïdisme • Sevrage OH •</t>
  </si>
  <si>
    <t>Depuis quand? • Progression • Trigger? • Bouche sèche, sudation, tremblement, palpitation? Dyspnée, drs, N/V, hot flushes • Conséquence sur sa vie personnelle, familiale, professionnelle • Attaque de panique? • Phobie • Tout le temps stressé pour tout, personne soucieuse? • TOC: pensées intrusives, routines/rites qu’il se sent obligé de suivre? • Humeur? • Hallucinations? • Hyperthyroïdie: tremor, perte poids, augm appétit, oligo/aménorrhée/dysfonction érectile/gynécomastie, intol</t>
  </si>
  <si>
    <t>Cardio • Pulm • Thyroïde • Psy: orientation, mémoire, décrire son humeur</t>
  </si>
  <si>
    <t>Psychothérapie TCC • Relaxation • Bb bloqueur • SSRI</t>
  </si>
  <si>
    <t>Trouble du sommeil</t>
  </si>
  <si>
    <t>Mauvaise hygiène de sommeil</t>
  </si>
  <si>
    <t>Maladie auto-immune cutanée</t>
  </si>
  <si>
    <t>Lupus</t>
  </si>
  <si>
    <t>Fatigue chez une jeune femme</t>
  </si>
  <si>
    <t>Fatigue comme symptôme principal chez une jeune femme</t>
  </si>
  <si>
    <t>Sarcoïdose</t>
  </si>
  <si>
    <t>TB • Lymphome • (Lupus, IBD)</t>
  </si>
  <si>
    <t>Érythème noueux, fièvre et arthralgies chez un jeune</t>
  </si>
  <si>
    <t>Érythème noueux et symptômes systémiques chez un jeune</t>
  </si>
  <si>
    <t>CV PULM • Cutané • Osté-articulaire</t>
  </si>
  <si>
    <t>PEC en ambulatoire ? • Glucocorticoïde immunosuppresseur • AINS pour les sympt.</t>
  </si>
  <si>
    <t>Spondylarthrite Ankylosante</t>
  </si>
  <si>
    <t>Ostéoporose • Hernie discale • Spondylite • Arthrite réactive • Arthrite psoriasique</t>
  </si>
  <si>
    <t>Douleurs lombaires chez un patient de 40 ans</t>
  </si>
  <si>
    <t>Douleurs lombaires chroniques chez un patient de 40 ans</t>
  </si>
  <si>
    <t>Inspection / Palpation (y.c sacro-iliaques) / Percussion • Flexion/Ext / Inclinaison lat / Rotation de la colonne • Distance doigts-sol et Schober (aussi colonne cervicale) • Marche • Examen mvts hanche • Signe de Lasègue + force/sensibilité MI • TR : sphincters • Signe de Mennell (amboss) • FABER • Test de Gaenslen • Test de Yeoman • Régurgitation valve aortique</t>
  </si>
  <si>
    <t>Physique est le plus important : Physio et sport • AINS selon besoins • Cortico si crise sévère • Anti-TNF alpha dans cas réservé</t>
  </si>
  <si>
    <t>Fracture du bassin</t>
  </si>
  <si>
    <t>AVP chez jeune --&gt; Fx du bassin</t>
  </si>
  <si>
    <t>Fracture du bassin.</t>
  </si>
  <si>
    <t>Trouble de l'érection</t>
  </si>
  <si>
    <t>Dysfonction érectile</t>
  </si>
  <si>
    <t>Etiologies: • -vasculaire: HTA, DM, maladie CV, hyperlipid., tabac, AVC • - Endocrino: Hypogonadisme, hyperprolactinémie • hypo/hyperthyroïdie • - Medic: BB,SSRi, antipsychotique • - Trauma uro • - Psy</t>
  </si>
  <si>
    <t>Minimum depuis 6 mois, depuis quand, continu/intermittent, progression. • Désir? Ejaculation? • Difficulté à initier, à maintenir • Erection matinale • Anamnèse sexuelle • Avec tous ses partenaires ou certaines? MST? Médicaments!! (betabloquant!) Anamnèse psychosocial • Dépression, anxiété • Céphalées, tr visuel, gynécomastie (tumeur pituitaire) Neuro-vasculaire. • Claudication MI • Endocrino (diminution force, barbe pousse + lentement, perte cheveux), thyroïde Trauma? • Intervention uro?</t>
  </si>
  <si>
    <t>CV • → palper les pouls • Abdo: souffle? • Examen génital</t>
  </si>
  <si>
    <t>Traiter en fonction de la cause: • Stop tabac • Psychothérapie • inhibiteur phosphodiesterase 5 (sidénafil=viagra) • injection intracaverneuse • Testostérone • Pompe • Prothèse</t>
  </si>
  <si>
    <t>Pyélonéphrite</t>
  </si>
  <si>
    <t>Pyélonéphrite.</t>
  </si>
  <si>
    <t>Bilan pré-anesth</t>
  </si>
  <si>
    <t>patient qui doit faire une cure d'hernie inguinale sous AG + avec douleur poitrine+vertige</t>
  </si>
  <si>
    <t xml:space="preserve"> anamnèse, status, examen complémentaire, diagnostic. (Angor stable, dyspnée, souffle de sténose aortique).</t>
  </si>
  <si>
    <t xml:space="preserve">Bilan pré-anesth </t>
  </si>
  <si>
    <t>Premier diagnostic d'hypertension.</t>
  </si>
  <si>
    <t>Suivi de l'HTA avec discussion FRCV</t>
  </si>
  <si>
    <t>HTA nouvelle</t>
  </si>
  <si>
    <t>Trouble du rythme supraventriculaire</t>
  </si>
  <si>
    <t>Tachycardie supraventriculaire WPW (TSV)</t>
  </si>
  <si>
    <t>Femme jeune avec dyspnée et palpitations, scoopée.</t>
  </si>
  <si>
    <t>Autre – Dermatologie</t>
  </si>
  <si>
    <t>Acné</t>
  </si>
  <si>
    <t>Folliculite</t>
  </si>
  <si>
    <t>Diagnostic d'acné  + prise en charge</t>
  </si>
  <si>
    <t>Status dermato</t>
  </si>
  <si>
    <t>Dépend du stade ! • Antiseptique (peroxyde de benzoyle), rétinoïdes topiques, acide azélaique • Si papulopustuleux : ATB topique ou systémique et COC • Si sévère : Isotrétinoïn po, COC</t>
  </si>
  <si>
    <t>Dermatite atopique</t>
  </si>
  <si>
    <t>Dermatite séborrhéique • Dermatite de contact allergique • Gale</t>
  </si>
  <si>
    <t>Diagnostic avec photo à décrire au dermatologue.</t>
  </si>
  <si>
    <t>Dermato inspection des plis cou et visage • xérose cutanée • dermographisme blanc • chéilite sèche • double pli sous-palpébraux • perte de la partie latérale des sourcils</t>
  </si>
  <si>
    <t>Éviction des facteurs déclenchants, • Émollients, • Utiliser des produits non- irritants • Poussée : • Corticostéroïdes topiques • Immunosuppresseurs topiques • Si sévère : Photothérapie</t>
  </si>
  <si>
    <t>Mycose superficielle</t>
  </si>
  <si>
    <t>Pityriasis versicolor</t>
  </si>
  <si>
    <t>Homme, 25 ans, été à la piscine</t>
  </si>
  <si>
    <t>Diagnostic de pityriasis versicolor, description de la photo.</t>
  </si>
  <si>
    <t>Péritonite</t>
  </si>
  <si>
    <t>Perforation sur ulcère.</t>
  </si>
  <si>
    <t>Péritonite.</t>
  </si>
  <si>
    <t>Reflux gastro-œsophagien (RGO)</t>
  </si>
  <si>
    <t>Toux sur reflux.</t>
  </si>
  <si>
    <t>Double</t>
  </si>
  <si>
    <t>Occlusion intestinale</t>
  </si>
  <si>
    <t>Iléus</t>
  </si>
  <si>
    <t>Iléus chez une patiente avec carcinose péritonéale.</t>
  </si>
  <si>
    <t>Évaluation palliative chez la même patiente.</t>
  </si>
  <si>
    <t>Cancer du sein</t>
  </si>
  <si>
    <t>Adénome • Kyste • Lipome • Abcès • Mastite</t>
  </si>
  <si>
    <t>Nodule au sein</t>
  </si>
  <si>
    <t>Examen sur mannequin.</t>
  </si>
  <si>
    <t>Examen des seins • Pas oublier ggl</t>
  </si>
  <si>
    <t>imagerie biopsie PEC selon résultat</t>
  </si>
  <si>
    <t>Contraception</t>
  </si>
  <si>
    <t>Jeune femme souhaitant commencer la pilule contraceptive.</t>
  </si>
  <si>
    <t>Discussion sur contraception</t>
  </si>
  <si>
    <t>Infection pelvienne inflammatoire</t>
  </si>
  <si>
    <t>Infection Pelvienne Inflammatoire (PID)</t>
  </si>
  <si>
    <t>Douleurs abdominales, infection sur stérilet.</t>
  </si>
  <si>
    <t>Fracture de la fibula</t>
  </si>
  <si>
    <t>Femme s'étant blessée en faisant du jogging.</t>
  </si>
  <si>
    <t>Lombalgie / Pathologie discale</t>
  </si>
  <si>
    <t>Hernie discale cervicale</t>
  </si>
  <si>
    <t>Douleur à l'épaule gauche avec perte de sensibilité/force dans le bras.</t>
  </si>
  <si>
    <t>Hémorragie méningée</t>
  </si>
  <si>
    <t>Hémorragie sous-arachnoïdienne (HSA)</t>
  </si>
  <si>
    <t>HSA sur trauma • HSA sur anévrisme • HSD • Hémorragie intracrânienne • AVC</t>
  </si>
  <si>
    <t>fort meningisme.</t>
  </si>
  <si>
    <t>Céphalée sentinelle avec diplopie transitoire • Céphalée en coup de tonnerre holo céphalique, irradie dans le cou et le dos • Méningisme: N/V, photophobie, raideur nuque • Fièvre Parésie, aphasie, convulsion • Trauma? •</t>
  </si>
  <si>
    <t>Neuro complet: avec FO</t>
  </si>
  <si>
    <t>Lit stricte • Analgésie • Hydrat • Réverser anticoag • Contrôle TA &lt;160 • Bloqueur canaux calciques • Contrôle PIC: tête 30°, mannitol…. • Clipping ou coiling</t>
  </si>
  <si>
    <t>HSA</t>
  </si>
  <si>
    <t>Paralysie faciale périphérique</t>
  </si>
  <si>
    <t>Paralysie de Bell</t>
  </si>
  <si>
    <t>Lyme</t>
  </si>
  <si>
    <t>Paralysie faciale périphérique chez un jardinier de 50 ans</t>
  </si>
  <si>
    <t>homme, la cinquantaine, jardinie</t>
  </si>
  <si>
    <t>Paralysie de Bell vs Lyme</t>
  </si>
  <si>
    <t>Kératite</t>
  </si>
  <si>
    <t>Kératite photoélectrique</t>
  </si>
  <si>
    <t>mal a l’œil, baisse de la vision</t>
  </si>
  <si>
    <t>, sculpteur de métal (référer à l’ophtalmo, faire examen à la fluoréscine)</t>
  </si>
  <si>
    <t>Abcès retro-amygdalien</t>
  </si>
  <si>
    <t>Trismus</t>
  </si>
  <si>
    <t>Vertige périphérique</t>
  </si>
  <si>
    <t>Névrite vestibulaire</t>
  </si>
  <si>
    <t>Vertiges</t>
  </si>
  <si>
    <t>vertiges, anamnese status DD et prise en charge.</t>
  </si>
  <si>
    <t xml:space="preserve">Neuronite Vestibulaire </t>
  </si>
  <si>
    <t>Autre – Autres diagnostics / non classés</t>
  </si>
  <si>
    <t>Syndrome de Widal</t>
  </si>
  <si>
    <t>Problème respiratoire et nez bouché chez un homme 45 ans</t>
  </si>
  <si>
    <t>Épilepsie</t>
  </si>
  <si>
    <t>Epilepsie :Crises d’absence</t>
  </si>
  <si>
    <t>Fils de 7 ans avec absences</t>
  </si>
  <si>
    <t>Analyse vidéo des absences pour le diagnostic.</t>
  </si>
  <si>
    <t>Faux-croup</t>
  </si>
  <si>
    <t>Faux-croup en vidéo d'un enfant puis PEC à discuter avec le père</t>
  </si>
  <si>
    <t>Prise en charge basée sur l’anamnèse et la vidéo.</t>
  </si>
  <si>
    <t>SIDS (Sudden infant death syndrome)</t>
  </si>
  <si>
    <t>Bébé trouvé "mort" dans le berceau</t>
  </si>
  <si>
    <t>Anamnèse et évaluation des signes vitaux après l'événement.</t>
  </si>
  <si>
    <t>Bronchopneumopathie chronique obstructive (BPCO)</t>
  </si>
  <si>
    <t>Dyspnée depuis 6 mois chez une patiente.</t>
  </si>
  <si>
    <t>Demande d'examens complémentaires, description de la spirométrie et RX du thorax.</t>
  </si>
  <si>
    <t>Grippe</t>
  </si>
  <si>
    <t>Homme de 25 ans</t>
  </si>
  <si>
    <t>Pas oublier anamnèse sexuelle: Exclure primo-infection VIH</t>
  </si>
  <si>
    <t>Troubles du comportement alimentaire</t>
  </si>
  <si>
    <t>TCA : Boulimie</t>
  </si>
  <si>
    <t>Jeune femme 24 ans, ne veut pas voir le médecin, vient sur ordre de sa mère, déni total de son problème</t>
  </si>
  <si>
    <t>Hypoglycémie</t>
  </si>
  <si>
    <t>Trouble état de conscience chez jeune homme</t>
  </si>
  <si>
    <t>Infection sexuellement transmissible (IST)</t>
  </si>
  <si>
    <t>Homme avec dysurie et écoulement blanchâtre.</t>
  </si>
  <si>
    <t>Infection sexuellement transmissible (IST).</t>
  </si>
  <si>
    <t>Décompensation cardiaque</t>
  </si>
  <si>
    <t>Dyspnée chez un patient âgé en post-opératoire</t>
  </si>
  <si>
    <t>Prise en charge complète.</t>
  </si>
  <si>
    <t>Infarctus du myocarde inférieur</t>
  </si>
  <si>
    <t>Femme de 60 ans qui vient au cabinet pour douleurs abdominales.</t>
  </si>
  <si>
    <t>Douleurs abdominales suspectes.</t>
  </si>
  <si>
    <t>Tachycardie supraventriculaire (TSV)</t>
  </si>
  <si>
    <t>Jeune patiente avec sensation de palpitations résolues à l’arrivée aux urgences.</t>
  </si>
  <si>
    <t>Anamnèse, statut et examens complémentaires (interprétation ECG + prise de sang).</t>
  </si>
  <si>
    <t>Sarcome de Kaposi (VIH+)</t>
  </si>
  <si>
    <t xml:space="preserve">Lésions nodulaires violet-brun sur MI </t>
  </si>
  <si>
    <t>Lésions à décrire en photo pour l'expert. Pas oublier anamnèse sexuelle</t>
  </si>
  <si>
    <t>Sarcome de Kaposi (HIV+)</t>
  </si>
  <si>
    <t>Toxidermie sévère</t>
  </si>
  <si>
    <t>Syndrome de Stevens-Johnson</t>
  </si>
  <si>
    <t>Réaction cutanée sévère après 1 mois d'allopurinol</t>
  </si>
  <si>
    <t>Description d'image, anamnèse et prise en charge sauf traitement.</t>
  </si>
  <si>
    <t>Autre – Gastro-entérologie / Hépatologie</t>
  </si>
  <si>
    <t>Ulcère veineux</t>
  </si>
  <si>
    <t>Plaie tibiale ne guérissant pas</t>
  </si>
  <si>
    <t>Prise en charge complète de l'ulcère veineux.</t>
  </si>
  <si>
    <t>Discussion introduction du CMS</t>
  </si>
  <si>
    <t>Patiente démente avec mal perforant refusant le CMS pour soins à domiciile.</t>
  </si>
  <si>
    <t>Colite infectieuse</t>
  </si>
  <si>
    <t>Colite à Clostridium (probablement)</t>
  </si>
  <si>
    <t>Diarrhées chez une patiente en EMS après prise d'antibiotiques.</t>
  </si>
  <si>
    <t>Prise en charge complète nécessaire.</t>
  </si>
  <si>
    <t>Diarrhées</t>
  </si>
  <si>
    <t>Diarrhées chez un patient de 40 ans qui sort de prison</t>
  </si>
  <si>
    <t>Leucémie</t>
  </si>
  <si>
    <t>Probable leucémie ou autre maladie hématologique</t>
  </si>
  <si>
    <t>Hémorragie gingivale, fatigue et ictère des sclères.</t>
  </si>
  <si>
    <t>Probable leucémie ou autre maladie hématologique.</t>
  </si>
  <si>
    <t>Ulcère gastrique (DD: Iinfarctus inférieur chez une patiente diabétique)</t>
  </si>
  <si>
    <t>Femme de 68 ans avec douleurs épigastriques et méléna.</t>
  </si>
  <si>
    <t>Anamnèse, status, examens complémentaires et prise en charge complète.</t>
  </si>
  <si>
    <t>Infection urinaire</t>
  </si>
  <si>
    <t>Patiente enceinte de 14 semaines avec pollakiurie.</t>
  </si>
  <si>
    <t>Anamnèse, status et prise en charge nécessaires.</t>
  </si>
  <si>
    <t>Ménorragies chroniques</t>
  </si>
  <si>
    <t>Femme de 46 ans.</t>
  </si>
  <si>
    <t>Status à réaliser sur mannequin.</t>
  </si>
  <si>
    <t>Mononucléose infectieuse</t>
  </si>
  <si>
    <t>Mononucléose</t>
  </si>
  <si>
    <t>Angine strepto • Primo- infection VIH</t>
  </si>
  <si>
    <t>Fievre et angine (fille de 20 ans)</t>
  </si>
  <si>
    <t>Où exactement, odyno dysphagie, depuis quand? constant/intermittent, progression, première fois? Facteurs aggravant/atténuant, MA: fièvre, frisson, asthénie, appétit, perte poids, sudations nocturne, N/V, dlr abdo, diarrhées, constipation, ADP? • Sport pratiqués • Contage • Anamnèse sexuelle</t>
  </si>
  <si>
    <t>Cardio-pulm • Abdo • ORL: ADP!! palper sinus</t>
  </si>
  <si>
    <t>Stop sport pour 3-4 semaines • ttt symptomatique</t>
  </si>
  <si>
    <t>Arthrite septique</t>
  </si>
  <si>
    <t>Goutte, Pseudogoutte • Reiter (yeux, urine, arthrite) • Arthrite de Lyme</t>
  </si>
  <si>
    <t>Douleur articulaire genou D depuis 1j (Urgence)</t>
  </si>
  <si>
    <t>Iatrogène ? • Trauma ? • MST ? • Tableau classique d’articulation enflammée : rougeur, chaleur, tuméfaction, fièvre, frissons • Le plus svt genou et hanche • Lyme : EM ? forêt ? • Reiter : sympt uro, yeux, atcd infection</t>
  </si>
  <si>
    <t>Dolor, tumor, rougeur etc… • Status genou : inspection, palpation, signe du glaçon, testing ligaments, ménisques, mouv actifs, passifs, marche</t>
  </si>
  <si>
    <t>Hospitalisation • Mettre au repos le membre + AB iv • +prophylaxie thromboembolique +antalgie</t>
  </si>
  <si>
    <t>Lésion méniscale</t>
  </si>
  <si>
    <t>Déchirure du ménisque interne</t>
  </si>
  <si>
    <t>Déchirure du ménisque interne après une chute.</t>
  </si>
  <si>
    <t>Déchirure du ménisque interne.</t>
  </si>
  <si>
    <t>Tendinopathie du coude</t>
  </si>
  <si>
    <t>Épicondylite latérale (tennis elbow)</t>
  </si>
  <si>
    <t>Douleur au coude chez jeune patient</t>
  </si>
  <si>
    <t>Épicondylite latérale (tennis elbow).</t>
  </si>
  <si>
    <t>Hernie discale (lombaire)</t>
  </si>
  <si>
    <t>Patiente avec lombalgie sans signes déficitaires.</t>
  </si>
  <si>
    <t>Anamnèse, examen physique, prise en charge.</t>
  </si>
  <si>
    <t>Pneumothorax probable</t>
  </si>
  <si>
    <t>Trauma de la clavicule</t>
  </si>
  <si>
    <t>Syndrome des loges</t>
  </si>
  <si>
    <t>Syndrome tibial ant : • Déficit extension hallux • Tb sensitif au niveau du 1er espace interdigital • TVP • AOMI</t>
  </si>
  <si>
    <t>Douleur intense à la jambe après un impact au football chez un jeune patient.</t>
  </si>
  <si>
    <t>Anamnèse, examen physique, prise en charge. Hôpital périphérique un dimanche après-midi.</t>
  </si>
  <si>
    <t>Musculature tendue, très douloureuse • Gonflement tissu mou • Pouls conservés jusqu’à tardivement • Inspection, palpation, mvt actifs/passifs, force/sensi/réflexe, pouls • Homans, palpation</t>
  </si>
  <si>
    <t>Fasciotomie en urgence (dans les 6 premières heures)</t>
  </si>
  <si>
    <t>Polyradiculonévrite aiguë</t>
  </si>
  <si>
    <t>Syndrome de Guillain-Barré</t>
  </si>
  <si>
    <t>Perte de forces des MI</t>
  </si>
  <si>
    <t>Jeune avec fourmillement et perte de force MI symétrique</t>
  </si>
  <si>
    <t>Neuro : • Hyporéflexie, • Trouble sensibilité • Cardio aussi?</t>
  </si>
  <si>
    <t>Hosp avec monitoring • (⅓ vont nécessiter ventilation) • IVIg haute dose • Evtl Plasmaphérèse • Prophylaxie thrombotique (HBPM) • (PAS glucocorticoide, marche pas, même si maladie AI)</t>
  </si>
  <si>
    <t>Guillain Barré</t>
  </si>
  <si>
    <t>Hydrocéphalie à pression normale</t>
  </si>
  <si>
    <t>Trouble de la marche chez personne âgée</t>
  </si>
  <si>
    <t xml:space="preserve">Hydrocephalie à pression normale </t>
  </si>
  <si>
    <t>Trouble de la régulation orthostatique</t>
  </si>
  <si>
    <t>Hypotension orthostatique</t>
  </si>
  <si>
    <t>Vertige</t>
  </si>
  <si>
    <t>Un homme de 77 ans est tombé. Tension artérielle d'environ 113/85 (je pense qu'elle était légèrement inférieure), autres signes vitaux normaux. Vertiges orthostatiques et chutes nocturnes, état neurologique normal. Antécédents, examen, DD/procédures à discuter avec le patient.
Antécédents de chutes, surtout la nuit, pas de vertiges ( ?), pas de signes de maladie de Parkinson/démence.
Pas de maladie antérieure, le médecin lui a donné un médicament BD supplémentaire (je ne sais pas lequel). Il a également reçu de sa femme de la lévopromazine (NL) parce qu'il avait peur de tomber. Il a également pris de la métoclopramide, a failli tomber en se levant de sa chaise pour l'examen, Schellong : la pression a fortement diminué en se levant (le pouls a été oublié), sinon aucun résultat.</t>
  </si>
  <si>
    <t>HypoTA orthostatique</t>
  </si>
  <si>
    <t>Enfant de 10 ans avec léthargie</t>
  </si>
  <si>
    <t>Évaluation clinique pour méningite sans statut.</t>
  </si>
  <si>
    <t>Métastases cérébrales</t>
  </si>
  <si>
    <t>Céphalées chez patiente âgée avec troubles neurologiques focaux,</t>
  </si>
  <si>
    <t xml:space="preserve"> probable métastase cérébrale de cancer du sein (Anamnèse, status, investigations)</t>
  </si>
  <si>
    <t>Décollement rétine</t>
  </si>
  <si>
    <t>Patiente 50 ans avec trouble visuel unilatéral G depuis 2 jours</t>
  </si>
  <si>
    <t>Anamnèse + status avec manequin pour fond œil (chiffres au fond œil à transmettre à voix haute). Déchirure de la rétine et référer ++ urgences ophtalmologie.</t>
  </si>
  <si>
    <t>Hypoacousie (baisse audition unilaterale)</t>
  </si>
  <si>
    <t>jeune femme 20 ans</t>
  </si>
  <si>
    <t>Enfant de 10 ans, apathie, perte de poids, polyurie</t>
  </si>
  <si>
    <t>Anamnèse et évaluation clinique avec prise en charge nécessaire.</t>
  </si>
  <si>
    <t>Asthme d’effort</t>
  </si>
  <si>
    <t>au froid</t>
  </si>
  <si>
    <t>Jeune homme avec toux.</t>
  </si>
  <si>
    <t>Asthme d’effort/au froid</t>
  </si>
  <si>
    <t>Administratif / Consentement</t>
  </si>
  <si>
    <t>Capacité de discernement</t>
  </si>
  <si>
    <t>Discussion de l'attitude REA</t>
  </si>
  <si>
    <t>chez un nouvellement insulino-dependant (les ADO ne marchent plus) avec demence et oppositif ; discuter FR diabete.</t>
  </si>
  <si>
    <t>Délirium</t>
  </si>
  <si>
    <t>État confusionnel aigu (post-op)</t>
  </si>
  <si>
    <t>Etat confusionnel aigu post-op</t>
  </si>
  <si>
    <t>chez une patiente de 70-80 ans hosp pour op hanche il y a 3j. Fils présent. (Anamnèse, status PAS à faire mais dire à voie haute ce qu’on ferait et l’expert dit les résultats, PEC).</t>
  </si>
  <si>
    <t>ECA (post-op)</t>
  </si>
  <si>
    <t>Psychose</t>
  </si>
  <si>
    <t>Psychose du post-partum 2016</t>
  </si>
  <si>
    <t>Psychose du post-partum</t>
  </si>
  <si>
    <t>chez une patiente ayant accouché il y a 2j (anamnèse, PEC-&gt; on est dans un hôpital périph à 3h du matin).</t>
  </si>
  <si>
    <t>TDAH</t>
  </si>
  <si>
    <t>Difficulté scolaire</t>
  </si>
  <si>
    <t>Discussion avec mère d’un enfant de 8 ans ayant des problèmes d’apprentissage à l’école.</t>
  </si>
  <si>
    <t>Cancer vésical</t>
  </si>
  <si>
    <t>Macrohématurie avec caillots chez patient âgé, probable cancer vésical.</t>
  </si>
  <si>
    <t>Tout sauf traitement.</t>
  </si>
  <si>
    <t>Pathologie aortique aiguë</t>
  </si>
  <si>
    <t>Dissection aortique</t>
  </si>
  <si>
    <t>Pancréatite • EP • SCA • Rupture ulcère</t>
  </si>
  <si>
    <t>Carct. douleur...</t>
  </si>
  <si>
    <t>TA des deux côtés! • Cardio-pulm • Abdo</t>
  </si>
  <si>
    <t>Si Stanford A: chir immédiate • Si Stanford B: conservateur sauf si complications (rupture, occlusion) • Morphine, contrôle HTA</t>
  </si>
  <si>
    <t>Symptômes atypiques.</t>
  </si>
  <si>
    <t>myocardite • angor stable angor instable • STEMI NSTEMI</t>
  </si>
  <si>
    <t>-Angor ? Localisation ? Irradiation? Caractère ? Mode de survenue ? Depuis quand? Evolution ? Facteur aggravant/soulageant? • -CV: Dyspnée, orthopnée, DPN, palpitations, syncope, oedèmes, nycturies, FRCV, infection récente • -anamnèse personnelle et famil</t>
  </si>
  <si>
    <t>CV • PULM</t>
  </si>
  <si>
    <t>-monitoring • -hospitalisation si patient instable → tamponade • -AINS • -repos • -contrôle à 24 et 48 h et 4s</t>
  </si>
  <si>
    <t>Eczéma de contact</t>
  </si>
  <si>
    <t>Diagnostic différentiel entre psoriasis et eczéma de contact.</t>
  </si>
  <si>
    <t>Psoriasis + Eczéma de contact</t>
  </si>
  <si>
    <t>Physiothérapie pour suivie d'hospitalisation</t>
  </si>
  <si>
    <t>ttt, physiotherapie.</t>
  </si>
  <si>
    <t>Gastrite</t>
  </si>
  <si>
    <t>œsophagite</t>
  </si>
  <si>
    <t>Épigastralgies.</t>
  </si>
  <si>
    <t>Initier un traitement d’épreuve par IPP.</t>
  </si>
  <si>
    <t>Gastrite, œsophagite.</t>
  </si>
  <si>
    <t>MICI</t>
  </si>
  <si>
    <t>MICI (RCUH)</t>
  </si>
  <si>
    <t>Femme avec diarrhées sanglantes 3 mois/an.</t>
  </si>
  <si>
    <t>dissection de l’aorte • perforation gastrique • gastrite</t>
  </si>
  <si>
    <t>Douleur ? Caractérisation. Reflux, N/V, trouble du transit diarrhée, sang, ictère, dysphagie, brûlures gastriques,</t>
  </si>
  <si>
    <t>ABDO • CV • POULS, TENSION DDC</t>
  </si>
  <si>
    <t>Hospitalisation, antalgie, hydratation, nihil per os, alimentation progressive quand plus de douleur • ERCP si calcul</t>
  </si>
  <si>
    <t>céphalées (URG)</t>
  </si>
  <si>
    <t>Patiente avec céphalées, exclusion de la prééclampsie.</t>
  </si>
  <si>
    <t>Cas particulier avec une lettre du gynécologue à lire avant de voir la patiente.</t>
  </si>
  <si>
    <t>Prééclampsie / céphalées (URG)</t>
  </si>
  <si>
    <t>Choc septique</t>
  </si>
  <si>
    <t xml:space="preserve">Choc septique sur pneumonie </t>
  </si>
  <si>
    <t>Choc septique associé à une pneumonie et à une dépendance aux opioïdes.</t>
  </si>
  <si>
    <t>ABCDE • ou • Cardio-pulm</t>
  </si>
  <si>
    <t>2 voies • Remplissage • O2 • NA ou A • AB iv Tazobac</t>
  </si>
  <si>
    <t>Tuberculose (TBC)</t>
  </si>
  <si>
    <t>Nouveau cas de tuberculose sans détails supplémentaires.</t>
  </si>
  <si>
    <t>Déchirure du ménisque ou du ligament du genou</t>
  </si>
  <si>
    <t>Déchirure du ménisque ou du ligament du genou.</t>
  </si>
  <si>
    <t>Lésion de la coiffe des rotateurs sans rupture</t>
  </si>
  <si>
    <t>Morsure de chien avec atteinte du nerf ulnaire</t>
  </si>
  <si>
    <t>Morsure de chien avec atteinte du nerf ulnaire.</t>
  </si>
  <si>
    <t>AVC • Migraine avec aura • Epilepsie • Néoplasie •</t>
  </si>
  <si>
    <t xml:space="preserve">Perte de force subite transitoire dans la jambe, </t>
  </si>
  <si>
    <t>avec HTA chez homme et souffle carotidien. AIT probable</t>
  </si>
  <si>
    <t>Cardio: ausculter carotides!! • Neuro complet</t>
  </si>
  <si>
    <t>Aspirine • Hosp selon critères (&gt; 60 ans, durée de l’épisode, HTA, diabète, épisode neuro récent…)</t>
  </si>
  <si>
    <t>Canal lombaire étroit</t>
  </si>
  <si>
    <t>cf cas 3 USMLE</t>
  </si>
  <si>
    <t>Démence</t>
  </si>
  <si>
    <t>Perte de mémoires débutants chez vieille dame</t>
  </si>
  <si>
    <t>personne agée sous sintrom qui a fait une chute.</t>
  </si>
  <si>
    <t>Dx clinique! • En cas d’anomalie au status neuro, examen en fonction (IRM, CT, EEG)</t>
  </si>
  <si>
    <t>cas 26 amboss</t>
  </si>
  <si>
    <t>Caractériser la douleur : quand la douleur apparaît, où elle se trouve (holocrânien, sur les tempes, occipital), unilatéral/bilatéral, facteurs aggravants/soulageants, durée (dd de la céphalée de tension!), progression • Symptômes associés : prodrome avec aura, larmoiement, paresthésies faciales, photo/phonophobie, N/V, … • Drapeaux rouges : pire douleur, déclenché soudainement,fièvre, méningisme, convulsions</t>
  </si>
  <si>
    <t>Status neuro pour exclure toute cause urgente : nerfs crâniens, sensi, moteur , penser à palper l’émergence du trijumeau, fond d’oeil ?</t>
  </si>
  <si>
    <t>Limiter stimuli (lumière…) • AINS • Triptan • Anti-émétique</t>
  </si>
  <si>
    <t>récidive de Cataracte</t>
  </si>
  <si>
    <t>chez patiente s/p opération de cataracte binoculaire</t>
  </si>
  <si>
    <t>DMLA vs récidive de Cataracte</t>
  </si>
  <si>
    <t>Adénome hypophysaire</t>
  </si>
  <si>
    <t>Prolactinome</t>
  </si>
  <si>
    <t>Méningiome • Autre tumeur</t>
  </si>
  <si>
    <t>Réduction des champs visuels depuis 6 mois</t>
  </si>
  <si>
    <t>Décrire quels champs visuels, vision trouble, double, flash, photophobie, mouches volantes, céphalées, gynécomastie, galactorrhée, aménorrhée, infertilité, atrophie vaginale/sécheresse, dysfonction érectile, baisse libido, N/V, convulsions • Fièvre, frisson, asthénie, perte poids, appétit, sudations nocturnes</t>
  </si>
  <si>
    <t>Examen ophtalmo • Examen neuro</t>
  </si>
  <si>
    <t>Bromocriptine • Chir.</t>
  </si>
  <si>
    <t>prolactinome</t>
  </si>
  <si>
    <t>Maladie de Ménière</t>
  </si>
  <si>
    <t>Neuronite vestibulaire/Meniere 2017</t>
  </si>
  <si>
    <t>Enurésie primaire</t>
  </si>
  <si>
    <t>Enfant de 7 ans, avait été sec pendant 2 mois</t>
  </si>
  <si>
    <t>Diagnostic d’enurésie avec antécédents de sécheresse.</t>
  </si>
  <si>
    <t>Diagnostic d'ictère néonatal avec évaluation clinique nécessaire.</t>
  </si>
  <si>
    <t>Vaccinations</t>
  </si>
  <si>
    <t>Explication des vaccins du 2ème mois</t>
  </si>
  <si>
    <t>Discussion avec les parents sur les vaccins nécessaires.</t>
  </si>
  <si>
    <t>Bien montrer comment utiliser les sprays</t>
  </si>
  <si>
    <t>Choc anaphylactique</t>
  </si>
  <si>
    <t>Crise d’asthme • Décompensation BPCO • Choc septique</t>
  </si>
  <si>
    <t>Hétéro-anamnèse avec l’infirmier si présent</t>
  </si>
  <si>
    <t>ABCDE</t>
  </si>
  <si>
    <t>Stade 1 + “: corticoïdes + antiH1 et adrénaline im en réserve si péjoration • Stade 2 + 3 :adrénaline, corticoïdes et antH1 • O2, remplissage • Surveillance 4-6h voire plus si grave • RAD avec anti-H1, prednisolone 3j et Epipen • RDV chez l'allergologue •</t>
  </si>
  <si>
    <t>Pneumothorax vs Embolie pulmonaire (EP)</t>
  </si>
  <si>
    <t>Episodes psychotique</t>
  </si>
  <si>
    <t>Hallucincation auditive</t>
  </si>
  <si>
    <t xml:space="preserve">Palpitations </t>
  </si>
  <si>
    <t>Polymyalgie rhumatismale</t>
  </si>
  <si>
    <t>Diagnostic de polymyalgie rhumatismale</t>
  </si>
  <si>
    <t>Érythème noueux, problèmes pulmonaires</t>
  </si>
  <si>
    <t>Érythème noueux associé à des problèmes pulmonaires</t>
  </si>
  <si>
    <t>Brûlure</t>
  </si>
  <si>
    <t>Brûlure (2ème degré)</t>
  </si>
  <si>
    <t>Médic à demander: diurétique, alphabloquant, anticholinergique, antidépresseurs, sédatif, antipsychotique, opiacé, anticalcique, antihistaminique, anti-parkinsonien • Différencier incontinence de stress, urgence ou mixte • Depuis quand? Constant/intermittent, progression? Dans quelles situations? (si toux, éternuements, sport) • Dysurie, pollakiurie, urgence, hématurie, difficultés à initier miction, jet faible... • Chercher hydrocéphalie à P normale: marche, démence • Constipation? • Voir impact sur le quotidien...</t>
  </si>
  <si>
    <t>Neuro, abdo</t>
  </si>
  <si>
    <t>Selon cause • Protection • Pessaires • Physio pelvienne • Anticholinergique • ttt infection</t>
  </si>
  <si>
    <t>Infection urinaire basse chez un homme d'âge moyen.</t>
  </si>
  <si>
    <t>Douleur périnéale, pire à la défécation</t>
  </si>
  <si>
    <t>Abdo: TR!! • loges rénales</t>
  </si>
  <si>
    <t>Ciprofloxacine si risque IST faible • Sinon ceftriaxone, doxy</t>
  </si>
  <si>
    <t>Anémie et souffle</t>
  </si>
  <si>
    <t xml:space="preserve">Fatigue chez un homme </t>
  </si>
  <si>
    <t>Trouble de conduction cardiaque</t>
  </si>
  <si>
    <t>BAV (3e degré)</t>
  </si>
  <si>
    <t>Perte de connaissance à répétition chez une femme âgée.</t>
  </si>
  <si>
    <t>BAV (3ème degré)</t>
  </si>
  <si>
    <t>Syncope</t>
  </si>
  <si>
    <t>Femme de 35 ans, probable vasovagal.</t>
  </si>
  <si>
    <t>Dermatose bulleuse</t>
  </si>
  <si>
    <t>Lésions bulleuses</t>
  </si>
  <si>
    <t>Visage et poignets</t>
  </si>
  <si>
    <t>Description des lésions sur le visage et les poignets.</t>
  </si>
  <si>
    <t>Réaction après un repas de crevettes</t>
  </si>
  <si>
    <t>Réaction similaire à celle de 2013 après ingestion de crevettes.</t>
  </si>
  <si>
    <t>Infection par le VIH</t>
  </si>
  <si>
    <t>Zona chez patient VIH+</t>
  </si>
  <si>
    <t>Éruption cutanée chez patient VIH</t>
  </si>
  <si>
    <t>Diagnostic de zona chez un patient HIV+.</t>
  </si>
  <si>
    <t>Zona chez patient HIV+</t>
  </si>
  <si>
    <t>Compliance chez un coronarien: Introduction d'une statine VS style de vie</t>
  </si>
  <si>
    <t>entretien motivationnel et check-up chez un patient âgé avec maladie coronarienne tritronculaire connue et chez qui un angor stable est réapparu, on apprend qu’il ne prend plus ses médicaments à part l’aspirine</t>
  </si>
  <si>
    <t>Hyperthyroïdie (Thyroidite de De quervain)</t>
  </si>
  <si>
    <t>(tremblement, irritabilité, mal en avalant)</t>
  </si>
  <si>
    <t>Hyperthyroidie (Thyroidite de De quervain)</t>
  </si>
  <si>
    <t>Cholangite</t>
  </si>
  <si>
    <t>Hépatite virale</t>
  </si>
  <si>
    <t>Ictère chez un homme qui a voyagé.</t>
  </si>
  <si>
    <t>Hépatite virale.</t>
  </si>
  <si>
    <t>Femme prenant souvent des AINS, avec épigastralgies.</t>
  </si>
  <si>
    <t>Pathologie endométriale</t>
  </si>
  <si>
    <t>Dysplasie de l'endomètre</t>
  </si>
  <si>
    <t>56 ans avec saignements vagianux</t>
  </si>
  <si>
    <t>Vaginose</t>
  </si>
  <si>
    <t>Symptômes d'infection gynécologique</t>
  </si>
  <si>
    <t>Cervicalgies</t>
  </si>
  <si>
    <t>Hernie discale</t>
  </si>
  <si>
    <t>Dorsalgies.</t>
  </si>
  <si>
    <t>Métastases lombaire</t>
  </si>
  <si>
    <t>Fatigue et dorsalgie chez une femme avec cancer du sein.</t>
  </si>
  <si>
    <t>Métastases lombaire.</t>
  </si>
  <si>
    <t>Algoneurodystrophie</t>
  </si>
  <si>
    <t>Cluster headache</t>
  </si>
  <si>
    <t>Rétinopathie diabétique</t>
  </si>
  <si>
    <t>contrôle chez un diabétique hypertendu-mi plainte de perte de vue récente</t>
  </si>
  <si>
    <t>tout faire avec fond d'œil sur mannequin où on ne voyait rien</t>
  </si>
  <si>
    <t>Retinopathie diabete vs HTA</t>
  </si>
  <si>
    <t>Traumatisme oculaire</t>
  </si>
  <si>
    <t>Traumatisme de l'œil</t>
  </si>
  <si>
    <t xml:space="preserve">Traumatisme de l'œil </t>
  </si>
  <si>
    <t>Sinusite maxillaire</t>
  </si>
  <si>
    <t>jeune homme vient pour rhume.</t>
  </si>
  <si>
    <t>Anamnèse nutritionnelle</t>
  </si>
  <si>
    <t>Petite fille de 6 semaines n'ayant pas pris de poids depuis 2 semaines</t>
  </si>
  <si>
    <t>Hétéro-anamnèse avec la mère pour évaluer les besoins nutritionnels.</t>
  </si>
  <si>
    <t>Diagnostic de bronchiolite avec anamnèse et prise en charge.</t>
  </si>
  <si>
    <t>Diabète de type 1</t>
  </si>
  <si>
    <t>Diabète de type 1 - BBN</t>
  </si>
  <si>
    <t>BBN : Annonce à la mère que son enfant a DM1</t>
  </si>
  <si>
    <t>Explication des implications du diabète et suivi nécessaire.</t>
  </si>
  <si>
    <t>Asthme (allergique probablement)</t>
  </si>
  <si>
    <t>Dyspnée nouvelle depuis 3j chez femme nouvel animal de compagnie</t>
  </si>
  <si>
    <t>Spirométrie recommandée (peak flow ?).</t>
  </si>
  <si>
    <t>Lymphome</t>
  </si>
  <si>
    <t>Lymphome (probablement)</t>
  </si>
  <si>
    <t>Douleur thoracique mal systématisée chez une jeune patiente avec adénopathiea sus-claviculaire.</t>
  </si>
  <si>
    <t>Anamnèse et statut, puis noter les trois étiologies les plus probables.</t>
  </si>
  <si>
    <t>Patient fatigué</t>
  </si>
  <si>
    <t>Dépression avec risque suicidaire</t>
  </si>
  <si>
    <t>Fatigue, dépression et envie de mourir</t>
  </si>
  <si>
    <t>fatigue, après investigation il veut se jeter sous le train.</t>
  </si>
  <si>
    <t>État confusionnel aigu sur Délirium tremens</t>
  </si>
  <si>
    <t>Confus</t>
  </si>
  <si>
    <t>Hétéro-anamnèse avec voisine d’un homme confus anamnèse et expliquer suite de prise en charge sans status ou examen complémentaire</t>
  </si>
  <si>
    <t xml:space="preserve">ECA sur Delirium Tremens </t>
  </si>
  <si>
    <t>Vomissements à répétition chez adolescente</t>
  </si>
  <si>
    <t>Juste anamnèse et proposer suite de PEC</t>
  </si>
  <si>
    <t>Tout faire sauf status. Facteurs de risque cardiovasculaire (FRCV) présents.</t>
  </si>
  <si>
    <t>Dysfonction érectile.</t>
  </si>
  <si>
    <t>Traitement de l'HTA.</t>
  </si>
  <si>
    <t>Syndrome coronarien aigu (STEMI)</t>
  </si>
  <si>
    <t>Diagnostic de pityriasis versicolor sans détails supplémentaires.</t>
  </si>
  <si>
    <t>Constipation compliquée</t>
  </si>
  <si>
    <t>Fécalome</t>
  </si>
  <si>
    <t>Constipation</t>
  </si>
  <si>
    <t>Maladies inflammatoires chroniques de l’intestin (MICI)</t>
  </si>
  <si>
    <t>Hémorragie digestive haute</t>
  </si>
  <si>
    <t>Rupture de varices œsophagiennes</t>
  </si>
  <si>
    <t>Hématémèse</t>
  </si>
  <si>
    <t>Rupture de varices œsophagiennes.</t>
  </si>
  <si>
    <t>Trouble psychiatrique du post-partum</t>
  </si>
  <si>
    <t>Anémie (post-partum)</t>
  </si>
  <si>
    <t>Femme venant d’accoucher, anémie ferriprive.</t>
  </si>
  <si>
    <t>FUO + Neutropénie</t>
  </si>
  <si>
    <t>Fille traitée pour lymphome avec chimiothérapie</t>
  </si>
  <si>
    <t>Fièvre et neutropénie chez une patiente sous chimiothérapie.</t>
  </si>
  <si>
    <t>Parasitose cutanée</t>
  </si>
  <si>
    <t>Gale</t>
  </si>
  <si>
    <t>Cas diagnostiqué de gale.</t>
  </si>
  <si>
    <t>Paludisme</t>
  </si>
  <si>
    <t>Malaria</t>
  </si>
  <si>
    <t>Fièvre de retour de voyage</t>
  </si>
  <si>
    <t>Fièvre après voyage avec diagnostic de malaria.</t>
  </si>
  <si>
    <t>Mononucleose</t>
  </si>
  <si>
    <t>Infection par le VIH (VIH)</t>
  </si>
  <si>
    <t>Angines+aphtes</t>
  </si>
  <si>
    <t>chez un garçon sur la vingtaine</t>
  </si>
  <si>
    <t>VIH</t>
  </si>
  <si>
    <t>Arthrose</t>
  </si>
  <si>
    <t>Coxarthrose</t>
  </si>
  <si>
    <t>Canal lombaire etroit</t>
  </si>
  <si>
    <t>Canal lombaire etroit vs AOMI</t>
  </si>
  <si>
    <t>Vertige vestibulaire</t>
  </si>
  <si>
    <t>Consentement pour PL</t>
  </si>
  <si>
    <t>Obtention du consentement pour une PL chez l’enfant</t>
  </si>
  <si>
    <t>Obtention du consentement parental pour procédure invasive.</t>
  </si>
  <si>
    <t>Discussions sur les vaccins avec la mère</t>
  </si>
  <si>
    <t>Explication des vaccinations nécessaires pour l’enfant.</t>
  </si>
  <si>
    <t>Pneumothorax (PTX)</t>
  </si>
  <si>
    <t>trouble anxieux</t>
  </si>
  <si>
    <t>Dépression vs trouble anxieux</t>
  </si>
  <si>
    <t>Nouveau cas de polymyalgie rhumatismale</t>
  </si>
  <si>
    <t>Thrombopénie immunologique</t>
  </si>
  <si>
    <t>Purpura idiopathique</t>
  </si>
  <si>
    <t>vasculite</t>
  </si>
  <si>
    <t>Cas de purpura idiopathique ou vasculite</t>
  </si>
  <si>
    <t>Purpura idiopathique / vasculite</t>
  </si>
  <si>
    <t>Métastases lombaires</t>
  </si>
  <si>
    <t>Gestion de la douleur (soins palliatifs) chez un homme avec cancer de la prostate et métastases osseuses.</t>
  </si>
  <si>
    <t>Adaptation de l'antalgie dans un contexte de soins palliatifs.</t>
  </si>
  <si>
    <t>Métastases lombaires.</t>
  </si>
  <si>
    <t>Incontinence urinaire d'urgence</t>
  </si>
  <si>
    <t>Status gynécologique à effectuer sur un mannequin.</t>
  </si>
  <si>
    <t>Discussion sur la prise en charge.</t>
  </si>
  <si>
    <t>Dermatite allergique</t>
  </si>
  <si>
    <t>Réaction allergique cutanée</t>
  </si>
  <si>
    <t>Diagnostic de réaction allergique cutanée sans détails supplémentaires.</t>
  </si>
  <si>
    <t>Ischémie mésentérique</t>
  </si>
  <si>
    <t>Épicondylite</t>
  </si>
  <si>
    <t>Hemianopsie</t>
  </si>
  <si>
    <t>Fille avec ataxie, paresie MSD, céphalées</t>
  </si>
  <si>
    <t>Apnée du nourrisson</t>
  </si>
  <si>
    <t>Diagnostic et prise en charge de l'apnée du nourrisson.</t>
  </si>
  <si>
    <t>Évaluation psychosociale</t>
  </si>
  <si>
    <t>HEADSSS</t>
  </si>
  <si>
    <t>Consultation pédopsy</t>
  </si>
  <si>
    <t>Évaluation psychosociale basée sur le modèle HEADSSS.</t>
  </si>
  <si>
    <t>Insuffisance cardiaque aiguë</t>
  </si>
  <si>
    <t>Œdème aigu pulmonaire (OAP)</t>
  </si>
  <si>
    <t>Dyspnée 3J post-op pour PTH</t>
  </si>
  <si>
    <t>hospitalisée pour une pth, avec dyspnée 3j post-op (connue pour FA, IC FEVG diminuée et 2 stemi)</t>
  </si>
  <si>
    <t>OAP</t>
  </si>
  <si>
    <t>Infarctus du myocarde avec sus-décalage du ST (STEMI)</t>
  </si>
  <si>
    <t>STEMI</t>
  </si>
  <si>
    <t>Tachycardie résolue spontanément</t>
  </si>
  <si>
    <t>Palpitations et dyspnée chez une jeune femme</t>
  </si>
  <si>
    <t>Lâchage d'anastomose</t>
  </si>
  <si>
    <t>Douleur abdominale chez un patient hospitalisé après sigmoidectomie élective</t>
  </si>
  <si>
    <t>Morsure de chien</t>
  </si>
  <si>
    <t>Acné (Décision partagée sur le traitement)</t>
  </si>
  <si>
    <t>Discussion sur le traitement de l'acné</t>
  </si>
  <si>
    <t>Syphilis</t>
  </si>
  <si>
    <t>Rash sur les paumes, plantes, thorax, dos chez un homme de 50 ans</t>
  </si>
  <si>
    <t>Neuropathie diabétique</t>
  </si>
  <si>
    <t>Douleurs neuropathiques, engourdissements</t>
  </si>
  <si>
    <t>Diverticulite</t>
  </si>
  <si>
    <t>Douleurs abdominales, fièvre</t>
  </si>
  <si>
    <t>Perforation colique sur constipation due à un excès de morphiniques sans laxatifs.</t>
  </si>
  <si>
    <t>Le spécialiste montre un scanner avec signes de péritonite et selles partout. Mise sous piperacilline/tazobactam et ouverture au bloc recommandée.</t>
  </si>
  <si>
    <t>Gastro-entérite virale</t>
  </si>
  <si>
    <t>Symptômes gastro-intestinaux</t>
  </si>
  <si>
    <t>Test de grossesse et examen au spéculum</t>
  </si>
  <si>
    <t>Douleurs cervicales post-traumatique</t>
  </si>
  <si>
    <t>Entorse</t>
  </si>
  <si>
    <t>fracture de la cheville</t>
  </si>
  <si>
    <t xml:space="preserve">Douleur à la cheville suite à chute à vélo chez jeune fille </t>
  </si>
  <si>
    <t>Anamnèse, examen physique, gestion de la douleur, demande de radiographie et interprétation des résultats, explication de la prise en charge.</t>
  </si>
  <si>
    <t>Entorse/fracture de la cheville.</t>
  </si>
  <si>
    <t>Hernie cervicale suspectée</t>
  </si>
  <si>
    <t>Suivi 2 semaines après une consultation pour brachiocervicalgie</t>
  </si>
  <si>
    <t>Symptômes neurologiques transitoires</t>
  </si>
  <si>
    <t>Fracture vertébrale lombaire</t>
  </si>
  <si>
    <t>Douleur lombaire intense</t>
  </si>
  <si>
    <t>Douleur neuropathique</t>
  </si>
  <si>
    <t>Névralgie du trijumeau</t>
  </si>
  <si>
    <t>Névralgie faciale</t>
  </si>
  <si>
    <t>Douleur faciale sans fièvre</t>
  </si>
  <si>
    <t>femme cinquantaine qui se plaint de mal à la tête, anamnese ciblée et satus, puis explication therapie.</t>
  </si>
  <si>
    <t>Névralgie du trijumeau / Névralgie faciale</t>
  </si>
  <si>
    <t>Abcès péri-amygdalien</t>
  </si>
  <si>
    <t>Douleur et gonflement au niveau de la gorge</t>
  </si>
  <si>
    <t>Pharyngite streptococcique</t>
  </si>
  <si>
    <t>Maux de gorge, fièvre chez un homme de 30 ans</t>
  </si>
  <si>
    <t>BBN : Annonce à la mère que sa fille de 13 ans a le diabète de type 1</t>
  </si>
  <si>
    <t>Explication des implications du diabète, suivi et éducation thérapeutique.</t>
  </si>
  <si>
    <t>Toux</t>
  </si>
  <si>
    <t>Psychose induite par substances</t>
  </si>
  <si>
    <t>Symptômes psychotiques après consommation de drogue</t>
  </si>
  <si>
    <t>Trouble de l'adaptation</t>
  </si>
  <si>
    <t>Trouble du sommeil chez un patient avec problèmes au travail</t>
  </si>
  <si>
    <t>Trouble du sommeil, Stress/somatique</t>
  </si>
  <si>
    <t>Patient en burn out pour le travail, investiguer situation privée et professionnelle, debut symptôme et type d’insomnie (endormissement, reveils precoces, de maintien). Important de dire de faire des test complementaires biologique (genre pour hypothiroidie..)</t>
  </si>
  <si>
    <t>Trouble de la mémoire</t>
  </si>
  <si>
    <t>Troubles mnésiques</t>
  </si>
  <si>
    <t>MMS à faire</t>
  </si>
  <si>
    <t>Suspicion de TDAH chez un enfant</t>
  </si>
  <si>
    <t>Anamnèse avec la mère</t>
  </si>
  <si>
    <t>Spondylarthrite ankylosante</t>
  </si>
  <si>
    <t>Éruption cutanée sur la poitrine après un repas au restaurant</t>
  </si>
  <si>
    <t>Choc hémorragique</t>
  </si>
  <si>
    <t>AVP</t>
  </si>
  <si>
    <t>Cancer de la prostate</t>
  </si>
  <si>
    <t>Symptômes urinaires</t>
  </si>
  <si>
    <t xml:space="preserve">L'infirmier perturbait l'ABCDE en proposant l'ECG ou le remplissage au mauvais moment </t>
  </si>
  <si>
    <t>Infection cutanée</t>
  </si>
  <si>
    <t>infection cutanée</t>
  </si>
  <si>
    <t>Épilepsie absence</t>
  </si>
  <si>
    <t>épilepsie absence</t>
  </si>
  <si>
    <t>Cancer des cordes vocales</t>
  </si>
  <si>
    <t>Dysphonie</t>
  </si>
  <si>
    <t>CA cordes vocales</t>
  </si>
  <si>
    <t>allergie / collagénoses (dermatomyosite)</t>
  </si>
  <si>
    <t>Dermato avec éruption seche depuis 10 mois au niveau du pourtour des deux yeux (aucun autre symptome/plaintes)</t>
  </si>
  <si>
    <t>Eczema vs allergie vs collagenoses (dermatomyosite)</t>
  </si>
  <si>
    <t>Polype</t>
  </si>
  <si>
    <t>myome</t>
  </si>
  <si>
    <t>saignement actif</t>
  </si>
  <si>
    <t>polype vs myome</t>
  </si>
  <si>
    <t>Le patient hurlait tant qu'on ne donnait pas de l'oxygène.</t>
  </si>
  <si>
    <t>cluster headache</t>
  </si>
  <si>
    <t>Teigne? Eczéma? Parasitose?</t>
  </si>
  <si>
    <t>Tache rouge autour des joues</t>
  </si>
  <si>
    <t xml:space="preserve">Teigne? Eczema? Parasitose? </t>
  </si>
  <si>
    <t>Baisse de l'acuité visuelle</t>
  </si>
  <si>
    <t>Ophtalmo sur manequin avec Drusen. Amsler, FO sur mannequin, acuité, hishiara. FO sans chiffres dedans, il fallait juste montrer qu'on savait le faire et reconnaitre l'image</t>
  </si>
  <si>
    <t>Mallory-Weiss</t>
  </si>
  <si>
    <t>Ulcère perforé</t>
  </si>
  <si>
    <t>Hématèmèse</t>
  </si>
  <si>
    <t>Gazo veineuse, labo Hb et commande culots, OGD, mettre hydrate, anti-émétique et IPP</t>
  </si>
  <si>
    <t>rdv pour renouveler ordonnance antidépresseur après hospit pour dépression il y a 1 an -&gt; crise maniaque-hypomaniaque chez bipolaire</t>
  </si>
  <si>
    <t>9+4</t>
  </si>
  <si>
    <t>Cancer de la vessie</t>
  </si>
  <si>
    <t>Glomerulonéphrite</t>
  </si>
  <si>
    <t>hematurie</t>
  </si>
  <si>
    <t>Myasthénie grave</t>
  </si>
  <si>
    <t>incapacité à marcher</t>
  </si>
  <si>
    <t>Guillain-Barré</t>
  </si>
  <si>
    <t>Syndrome de sevrage alcoolique</t>
  </si>
  <si>
    <t>confusion et tremblement de membre (ABCDE)</t>
  </si>
  <si>
    <t>IVRS</t>
  </si>
  <si>
    <t>consul téléphonique avec mère inquiète car enfant a de la fièvre. il est 23h</t>
  </si>
  <si>
    <t>Lumbago</t>
  </si>
  <si>
    <t>dorsalgie chez jeune femme</t>
  </si>
  <si>
    <t>Coronaropathie</t>
  </si>
  <si>
    <t>dyspnée en péjoration</t>
  </si>
  <si>
    <t>Insuffisance cardiaque sur sténose aortique DD sur coronaropathie</t>
  </si>
  <si>
    <t>Ulcère perforé DD pancréatite aiguë alcoolique</t>
  </si>
  <si>
    <t>douleur abdominale aiguë</t>
  </si>
  <si>
    <t>ulcère perforé DD pancréatite aiguë alcoolique</t>
  </si>
  <si>
    <t>Ménière DD labyrinthtite DD névrite vestibulaire</t>
  </si>
  <si>
    <t>vertiges</t>
  </si>
  <si>
    <t>Gale DD dermatite atopique DD lichen plan</t>
  </si>
  <si>
    <t>éruption cutanée</t>
  </si>
  <si>
    <t>gale DD dermatite atopique DD lichen plan</t>
  </si>
  <si>
    <t xml:space="preserve">Plaie malléole interne </t>
  </si>
  <si>
    <t>Chercher insuff veineuse. Inspection jambes complètes. Compression, soins de plaie, rdv angiologue.</t>
  </si>
  <si>
    <t xml:space="preserve">Ulcère veineux </t>
  </si>
  <si>
    <t>Mycose?</t>
  </si>
  <si>
    <t>Teigne?</t>
  </si>
  <si>
    <t xml:space="preserve">Plaques visage </t>
  </si>
  <si>
    <t>Profession: fermier avec vaches qui était malade récemment. Description d'une image puis discussion avec l'examinateur (DD et examens complémentaires). Psoriasis, dermatophytose, lupus. Frottis lésions.</t>
  </si>
  <si>
    <t>Mycose?/Teigne?</t>
  </si>
  <si>
    <t>Épisode dépressif</t>
  </si>
  <si>
    <t>Visite à domicile pour apathie (demande d'IMAD)</t>
  </si>
  <si>
    <t>Status psy. Pas d'examen clinique à effectuer. Hypothyroïdie. TSH, antidépresseurs. Le patient était paradoxalement logohrrique et parlait lentement.</t>
  </si>
  <si>
    <t>Décompensation BPCO</t>
  </si>
  <si>
    <t>cancer pulmonaire / bronchite / Tuberculose (EP / pneumonie / cardiaque)</t>
  </si>
  <si>
    <t>Majoration toux chronique + 1 épisode  d'hémoptysie chez patient 58 ans 30 UPA connu pour une BPCO nouvellement diagnostiqué il y a 1 un mais qui selon patient durait depuis 20 ans</t>
  </si>
  <si>
    <t>Pneumo, cardio-vasc. Symptômes B.</t>
  </si>
  <si>
    <t>Décompensation BPCO, cancer pulmonaire, bronchite, Tuberculose (EP, pneumonie, cardiaque)</t>
  </si>
  <si>
    <t>STEMI (SCA, dissection aortique, pancréatite aiguë, ulcère gastrique)</t>
  </si>
  <si>
    <t>Epigastralgies oppressives avec vomissements depuis 2h</t>
  </si>
  <si>
    <t>Digestive, cardiaque. L'examinateur nous demande les DD puis l'examen compl le plus urgent à faire —&gt; ECG —&gt; STEMI inf puis demande la PEC urgente (paramètre vitaux, ASA, héparine, coro).</t>
  </si>
  <si>
    <t>Arthropathie microcristalline</t>
  </si>
  <si>
    <t>Chondrocalcinose</t>
  </si>
  <si>
    <t>Douleur épaule depuis 36h</t>
  </si>
  <si>
    <t>Épaule rouge, chaude, gonflée mais patiente trop douloureuse pour effectuer n'importe quel mouvement!! Ponction articulaire: gram nég et présence de cristaux de pyrophosphate de calcium.</t>
  </si>
  <si>
    <t xml:space="preserve">Chondrocalcinose </t>
  </si>
  <si>
    <t>SD</t>
  </si>
  <si>
    <t xml:space="preserve">Informations sur pilule contraceptive femme 18 ans sexuellement active </t>
  </si>
  <si>
    <t>Gynéco, obstétrique, MOMA, TASA, risque thrombo-embolique. Pas de status à effectuer. Raison du souhait de pilule, expliquer les différents moyens de contraception avec EI, proposer à patiente de consulter un gynéco.</t>
  </si>
  <si>
    <t>Syncope vaso-vaGale (Syncope cardiaque, épilepsie)</t>
  </si>
  <si>
    <t xml:space="preserve">Syncope chez femme 32 ans au supermaché </t>
  </si>
  <si>
    <t>Prodromes, convulsions, récupération, cardio et neuro, hypoTA ortho connue. Cardio-vasc, neuro, prise tension. ECG (normal), Schellong (négatif).</t>
  </si>
  <si>
    <t>Syncope vaso-vagale (Syncope cardiaque, épilepsie)</t>
  </si>
  <si>
    <t>Maladie de Parkinson</t>
  </si>
  <si>
    <t>Parkinson</t>
  </si>
  <si>
    <t xml:space="preserve">Ralentissement moteur femme 60 ans </t>
  </si>
  <si>
    <t>Neuro complet (l'examinateur t'interrompt en cours pour faire gagner du temps). Imagerie, anti-parkinsonien.</t>
  </si>
  <si>
    <t>MICI (Crohn)</t>
  </si>
  <si>
    <t>Patient avec douleur abdominale</t>
  </si>
  <si>
    <t>Demander labo (syndrome inflammatoire), CT (écrit "iléite terminale"), demander coloscopie avec biopsie, TR sanglant</t>
  </si>
  <si>
    <t>TR sanglant</t>
  </si>
  <si>
    <t>demander labo (s. Inflammatoire), CT (écrit “iléite terminale"), demander colo avec biopsie</t>
  </si>
  <si>
    <t>Tâches blanches sur la peau</t>
  </si>
  <si>
    <t>Description image à l'expert avec terminologie dermatologique</t>
  </si>
  <si>
    <t>Migraine avec aura</t>
  </si>
  <si>
    <t>Anévrysme / thrombose cérébrale</t>
  </si>
  <si>
    <t>Paresthésies inhabituelles avec début type coup de tonnerre</t>
  </si>
  <si>
    <t>Imagerie pour exclure un anévrysme ou thrombose cérébrale, migraine avec aura si imagerie négative</t>
  </si>
  <si>
    <t>Status post AVC</t>
  </si>
  <si>
    <t>Suivi post-AVC</t>
  </si>
  <si>
    <t>Status neurologique complet pour évolution</t>
  </si>
  <si>
    <t>Purpura thrombocytopénique idiopathique</t>
  </si>
  <si>
    <t>Thrombopénie auto-immune post-infectieuse</t>
  </si>
  <si>
    <t>Taches rouges sur les mains</t>
  </si>
  <si>
    <t>Labo coagulation (normal), FSC (thrombocytopénie)</t>
  </si>
  <si>
    <t>Dyspnée avec FC 180</t>
  </si>
  <si>
    <t>ECG (fibrillation auriculaire), FC 180, eau dans les poumons + œdème MI ± ETT, FSC</t>
  </si>
  <si>
    <t>Insuffisance cardiaque/Décompensation cardiaque</t>
  </si>
  <si>
    <t>Autre – ️ ORL / Ophtalmo</t>
  </si>
  <si>
    <t>Problème audition avec retard de langage</t>
  </si>
  <si>
    <t>Suivi post-méningite avec hospitalisation et soins intensifs</t>
  </si>
  <si>
    <t>Faire audiométrie, vidéo avec enfant ayant atteint tous les stades locomoteur et motricité grossière (sauf parole à l'anamnèse), test du hochet négatif</t>
  </si>
  <si>
    <t>Entretien motivationnel pour réduction de consommation d'alcool</t>
  </si>
  <si>
    <t>Douleur urination, état fébrile</t>
  </si>
  <si>
    <t>Culture urine (Nitrite et Ery++), TR douloureux et prostate agrandie, FSS (syndrome inflammatoire)</t>
  </si>
  <si>
    <t>Anémie ferriprive post-partum</t>
  </si>
  <si>
    <t>Fatigue post-partum</t>
  </si>
  <si>
    <t>TSH dans la norme, pas d'état dépressif, accouchement sans particularité</t>
  </si>
  <si>
    <t>Tendinite de De Quervain</t>
  </si>
  <si>
    <t>Œdème périauriculaire + plaie par égratignure (agression)</t>
  </si>
  <si>
    <t>Photo, drainage, constat de coups</t>
  </si>
  <si>
    <t>Maladie de Horton à exclure</t>
  </si>
  <si>
    <t>Troubles visuels, céphalées, écoulement mammaire</t>
  </si>
  <si>
    <t>État confusionnel aigu sur sevrage alcoolique</t>
  </si>
  <si>
    <t>Encéphalopathie hépatique / encéphalopathie de Wernicke</t>
  </si>
  <si>
    <t>État confusionnel aigu</t>
  </si>
  <si>
    <t>Hétéro-anamnèse avec voisine qui ne connaît pas le patient</t>
  </si>
  <si>
    <t>ECA sur sevrage alcoolique</t>
  </si>
  <si>
    <t>Appel d'une maman d'une fille de 2 ans avec douleurs abdo et vomissements, stable sans red flags</t>
  </si>
  <si>
    <t>Décision partagée</t>
  </si>
  <si>
    <t>Pneumonie massive bilatérale</t>
  </si>
  <si>
    <t>Discussion sur la réanimation suite à pneumonie massive bilatérale</t>
  </si>
  <si>
    <t>Presbyacousie</t>
  </si>
  <si>
    <t>Troubles de l'audition liés à l'âge</t>
  </si>
  <si>
    <t>Embolie pulmonaire</t>
  </si>
  <si>
    <t>Investiguer lupus et syndrome des anticorps antiphospholipides</t>
  </si>
  <si>
    <t>EP post-accouchement avec antécédents de 2 fausses couches</t>
  </si>
  <si>
    <t>Syndrome des loges suite à traumatisme du tibia</t>
  </si>
  <si>
    <t>Bronchite aiguë</t>
  </si>
  <si>
    <t>Pneumonie / asthme</t>
  </si>
  <si>
    <t>Symptômes respiratoires</t>
  </si>
  <si>
    <t>Douleur dorsale chez femme ménopausée</t>
  </si>
  <si>
    <t>HTA avec augmentation créatinine et urée</t>
  </si>
  <si>
    <t>Consultation de suivi HTA chez nouveau patient avec changement récent de traitement</t>
  </si>
  <si>
    <t>Expliquer les résultats de laboratoire (augmentation créatinine et urée), pas d'examen clinique à faire</t>
  </si>
  <si>
    <t>Nécrolyse épidermique toxique</t>
  </si>
  <si>
    <t>Éruption cutanée sévère</t>
  </si>
  <si>
    <t>Syndrome de Stevens-Johnson/Nécrolyse épidermique toxique</t>
  </si>
  <si>
    <t>Rectocolite ulcéro-hémorragique</t>
  </si>
  <si>
    <t>Maladie de Crohn / origine infectieuse</t>
  </si>
  <si>
    <t>Symptômes digestifs</t>
  </si>
  <si>
    <t>Tumeur cérébrale</t>
  </si>
  <si>
    <t>Paresthésies, faiblesse main droite, symptômes B</t>
  </si>
  <si>
    <t>Périmyocardite</t>
  </si>
  <si>
    <t>Douleurs thoraciques</t>
  </si>
  <si>
    <t>Otite moyenne aiguë</t>
  </si>
  <si>
    <t>Discussion traitement otite moyenne aiguë en pédiatrie avec papa</t>
  </si>
  <si>
    <t>Vomissements répétés chez jeune femme de 19 ans</t>
  </si>
  <si>
    <t>Boulimie anosognosique</t>
  </si>
  <si>
    <t>Dossier</t>
  </si>
  <si>
    <t>BPCO exacerbée avec aggravation dyspnée</t>
  </si>
  <si>
    <t>Suivi BPCO post-hospitalisation pour exacerbation J7, BPCO résolue + aggravation dyspnée</t>
  </si>
  <si>
    <t>Apprentissage de la prise du traitement, pause active</t>
  </si>
  <si>
    <t>Diarrhées du voyageur</t>
  </si>
  <si>
    <t>Diarrhées chez voyageur</t>
  </si>
  <si>
    <t>Hépatite chronique</t>
  </si>
  <si>
    <t>Saignements gingivaux et ictère</t>
  </si>
  <si>
    <t>Fibroadénome</t>
  </si>
  <si>
    <t>Fracture humérus</t>
  </si>
  <si>
    <t>Hématome médial au niveau du bras dans contexte de violences conjugales</t>
  </si>
  <si>
    <t>Conjonctivite bactérienne</t>
  </si>
  <si>
    <t>Yeux rouges et prurit</t>
  </si>
  <si>
    <t>Psoriasis en plaques</t>
  </si>
  <si>
    <t>3 types de lésions différentes: doigt + dos/bas ventre + coude (8+5 min)</t>
  </si>
  <si>
    <t>Métastase osseuse du cancer de la prostate</t>
  </si>
  <si>
    <t>Douleurs lombaires aiguës, contexte de métastase osseuse du cancer de la prostate +/- palliatif (récidive métastase osseuse)</t>
  </si>
  <si>
    <t>Spécialité</t>
  </si>
  <si>
    <t>SSP:Diagnostic</t>
  </si>
  <si>
    <t>DD</t>
  </si>
  <si>
    <t>Examen compl</t>
  </si>
  <si>
    <t>PEC</t>
  </si>
  <si>
    <t>Key</t>
  </si>
  <si>
    <t>Title norm (1)</t>
  </si>
  <si>
    <t>Title norm (2)</t>
  </si>
  <si>
    <t>Title norm (3)</t>
  </si>
  <si>
    <t>Title norm (4)</t>
  </si>
  <si>
    <t>Chirurgie plastique &amp; Main</t>
  </si>
  <si>
    <t>Brulure 2ème degré • Moitié du visage, tout l’avant-bras circonférenciel, thorax et abdomen = 25% • Cf répét. de chir plastique 2018</t>
  </si>
  <si>
    <t>Patient qui se présente aux urgences pour brûlures par retour de flamme • A très mal • Lui et ses accompagnants sont paniqués • Quoi faire?</t>
  </si>
  <si>
    <t>Avant AA: Donner un anti-douleur, rassurer le patient et sa famille !! • → Dafalgan + AINS • → Tramal • → morphine, fenta • Quand? Où (extérieur, intérieur)? Localisation ? Circonférentielle? • Surface? Douleur ? Type de douleur ? Irradiation ? perte de sensibilité ? Mobilité ? Mécanisme de la brûlure (liquide chaud, objet chaud, électricité, produits chimiques)? • Facteur soulageant/aggravant? • Dyspnée? Dysphagie, tr oculaire? • Qu’est-ce qui a déjà été fait ou mis sur les brûlures? • Antécédent personnel ? ttt? • Vaccin tétanos???</t>
  </si>
  <si>
    <t>Inspection palpation Présence de bulle de vésicule ? taille de la lésion? temps de recoloration ? Tirer sur les poils ? (si s’arrache: 2e degré prof) • Sensibilité • ORL • Ophtalmo! • Pulm • Estimation de la surface (25% ici) et de la profondeur de la brûlure (2e degré)</t>
  </si>
  <si>
    <t>Pemphigoïde • Steven Johnson • Brûlure 1er degré ou 3ème degré • Photodermatose •</t>
  </si>
  <si>
    <t>PEC pour ce cas clinique: hospitaliser en centre spécialisé, attention à la brûlure circulaire, évaluation ophtalmologique (atteinte face) et ORL pour savoir si besoin d’intubation (brûlure sphère ORL qui pourrait se rétracter) • Suite: ttt chir, douche, escarotomie, débridement, greffe</t>
  </si>
  <si>
    <t>Référer centre brûlure si 2ème degré &gt;10% 3ème degré &gt;5%, atteinte circulaire, atteinte articulations face des mains des pieds et parties génitales • inhalation intoxication • Irriguer (eau froide) • Antalgie • compresse crème antiseptique sulfadiazine d’argent • Tétanos</t>
  </si>
  <si>
    <t>Morsure au poignet avec atteinte ulnaire</t>
  </si>
  <si>
    <t>Quand? Où, évaluer risque de rage… • Animal connu, vacciné? • Situation dans laquelle il a été mordu: provocation ou comportement inhabituel du chien • Douleur, paresthésie, main froide, rougeur, chaleur, oedème, hématome, fièvre • Quand est-ce qu’il a mangé? (Si op à prévoir) • Vaccins?</t>
  </si>
  <si>
    <t>Inspection • Palpation (pouls…) • Mouv passif/actif • Force, sensi</t>
  </si>
  <si>
    <t>Labo • Frottis plaie si signes d’infection</t>
  </si>
  <si>
    <t>Urgence médico-chir! • Exploration chir sous AG avec drainage, rinçage etc. selon la morsure • Tétanos (si rappel &gt; 5 ans) si plaie sale sinon 10 • AB iv co amox puis po • Vaccin rage + Ig • Si animal inconnu, ayant fugué → PEP • Si animal provient d’une zone terrestre probable: PEP + observer animal → stop si bonne santé à 10j • Si animal zone terrestre improbable, surveiller animal et PEP si animal dev. sympt • Annonce de la morsure au service cantonal compétent</t>
  </si>
  <si>
    <t>Chirurgie viscérale &amp; Gastroentérologie</t>
  </si>
  <si>
    <t>Diverticulite aiguë</t>
  </si>
  <si>
    <t>Douleurs en FIG chez vieille dame. CRP et Leuco augmentés + TR dans la norme. =&gt; Diverticulite. Donc CT dans l’immédiat et colonoscopie (une fois la crise passée ? - 6 semaines). •</t>
  </si>
  <si>
    <t>Douleur quadrant inférieur G • Constip/diarrhée, changement • Petit EF • Nausées/vomi • Sang dans selles • Diète • Obésité • Tabac</t>
  </si>
  <si>
    <t>MICI • Cancer colorectal</t>
  </si>
  <si>
    <t>Baisse de Hb si saignement • CT avec contraste iv et oral (inflammation graisse péricolique) • Colono à faire lorsque la crise sera passée (risque de perforation en aigu)</t>
  </si>
  <si>
    <t>A jeun • AB oral (iv si complications ou N/V/tr transit) • Chirurgie si complications</t>
  </si>
  <si>
    <t>lithiase biliaire • Alcool • Chirurgie récente • Douleur en ceinture typique, irradiant au dos, pire après les repas et couché, amélioré si se penche en avant. • N/V • Ictère</t>
  </si>
  <si>
    <t>Labo: FSS, urée, CRP, créat, ALAT, ASAT, PA, bili, Ca, TG, amylase, lipase • Lipases augmentée 3x! • US (CT rarement utilisé) • ERCP</t>
  </si>
  <si>
    <t>Soit cholédocholithiase soit cholécystite • cf cas 1 Amboss</t>
  </si>
  <si>
    <t>Douleur abdo</t>
  </si>
  <si>
    <t>Female, fat, fertile, fair, family history, forty • Douleur post-prandiale • EF, N/V • Voyage • Ictère, prurit • Urines foncées, selles claires</t>
  </si>
  <si>
    <t>Murphy (cholecystite)</t>
  </si>
  <si>
    <t>Cholélithiase: US • Cholécystite: US, leuco, CRP, phosphatase alcaline, GGT, ASAT ALAT, bili, amylase, lipase</t>
  </si>
  <si>
    <t>Cholélithiase: Conservateur: analgésie, diète pauvre en graisse, spasmolytique ou ERCP ou cholécystectomie élective • Cholécystite: Cholécystectomie</t>
  </si>
  <si>
    <t>Ileus/cancer du côlon</t>
  </si>
  <si>
    <t>Faire la totale</t>
  </si>
  <si>
    <t>RGO</t>
  </si>
  <si>
    <t>toux quand couché, brûlures</t>
  </si>
  <si>
    <t>exclure cause cardiaque • dysphagie? odynophagie? N/V, hématémèse, méléna • poids,... • stress? • tabac? • sinon questions AS: fièvre, appétit, toux grasse? drs, palpitation….</t>
  </si>
  <si>
    <t>cardiaque • ulcère • néoplasie</t>
  </si>
  <si>
    <t>OGD si sympt alarme (perte poids, &gt;50 ans, dysphagie, sang, anémie…) • ECG</t>
  </si>
  <si>
    <t>IPP • contrôle à 2 semaines</t>
  </si>
  <si>
    <t>Ileus chez patiente polycancereuse</t>
  </si>
  <si>
    <t>Dire qu’elle va en soins pall, qu’elle va mourir =&gt; annonce de mauvaise nouvelle.</t>
  </si>
  <si>
    <t>Perforation ulcère gastrique</t>
  </si>
  <si>
    <t>Bilan pré-anesthésie cure de hernie inguinale</t>
  </si>
  <si>
    <t>Anamnèse, status et examen complet: • angor stable, dyspnée, souffle de sténose aortique) • SAD: syncope, angor, dyspnée •</t>
  </si>
  <si>
    <t>Soit par laparoscopie (sous AG masque laryngé), soit par voie antérieure (Anesth régionale ou locorégionale) • Compl post-op: récidive, infection, douleur • Anamnèse par système: drs, syncope, vertiges, angor, dyspnée, palpitation, Fièvre, orthopnée, OMI, nycturie, DPN, toux, ... • FRCV • Demander s’il a un pb dentaire, dents qui bougent, appareil, piercing, choses métalliques. • Eval. Risque saignement : saignement important après op ? Hématurie inexpliquée, saignements gingivaux ? • Hématome/pétéchies inexpliqués • Activités physiques possibles : faible, modérée, intense • Médics à arrêter: AVK 3-4j avant avec relai HBPM, metformine 2j avant</t>
  </si>
  <si>
    <t>Cardio complet: ausculter les carotides! Les pouls (poul faible, retardé) • Pulm complet • Abdo • ORL? •</t>
  </si>
  <si>
    <t>ECG • Labo : FSC, crase, glucose, créat • US cardiaque • Rx thorax?</t>
  </si>
  <si>
    <t>Si asympt: ttt conservateur • Si sympt ou sténose sévère: chir ou TAVI</t>
  </si>
  <si>
    <t>Épigastralgies</t>
  </si>
  <si>
    <t>femme de 68 ans</t>
  </si>
  <si>
    <t>Douleurs épigastrique + méléna • Cf cas 35 amboss</t>
  </si>
  <si>
    <t>Attention ne pas oublier le DD de infarctus inf. • Patiente diabétique</t>
  </si>
  <si>
    <t>Caractériser dlr • Première fois ? • Constant/intermittent, progression, durée, DRS, palpitation, OMI, sudation, vertiges, syncope, dyspnée... reflux, dysphagie, odynophagie, N/V, sang dans les selles...</t>
  </si>
  <si>
    <t>Cardio-pulm • Abdo</t>
  </si>
  <si>
    <t>Ulcère • Infarctus inf</t>
  </si>
  <si>
    <t>ECG • Labo: FSS, électrolytes, Trop • OGD car méléna</t>
  </si>
  <si>
    <t>IPP</t>
  </si>
  <si>
    <t>Colite à C. Difficile</t>
  </si>
  <si>
    <t>Diarrhée chez patiente en EMS, post prise d’ATB</t>
  </si>
  <si>
    <t>Depuis quand? Consistance (comme de l’eau), fréquence, quantité, sang/mucus dans les selles, fièvre, N/V, dlr abdo, appétit • Signes de déshydratation • Voyage (on sait jms ahah) • Contage • Alimentation? • TTT AB? lequel, quand</t>
  </si>
  <si>
    <t>Abdo: TR</t>
  </si>
  <si>
    <t>Gastro-entérite virale/bactérienne •</t>
  </si>
  <si>
    <t>Toxine C difficile dans les selles • Labo: FSS, électrolytes, créat, lactate • (Rx abdo)</t>
  </si>
  <si>
    <t>Stop l’AB • Hydrat • AB (vanco ou métronidazole) • Mesures d’hygiène et isolation!!!</t>
  </si>
  <si>
    <t>RCUH ? • cf cas 8 Amboss</t>
  </si>
  <si>
    <t>Femme jeune, diarrhées sanglantes 3 mois/an</t>
  </si>
  <si>
    <t>FSS, électrolytes, syndrome inflammatoire, tests hépatiques, amylase,</t>
  </si>
  <si>
    <t>Gastrite/Œsophagite</t>
  </si>
  <si>
    <t>Épigastralgies • TTT d’épreuve aux IPP</t>
  </si>
  <si>
    <t>Perte de poids ?</t>
  </si>
  <si>
    <t>Dermato</t>
  </si>
  <si>
    <t>Femme 65 ans qui vient pour douleur et rougeur de la jambe depuis 2J avec EF, œdème et ADP fémorale</t>
  </si>
  <si>
    <t>Anamnèse : • Localisation ? • Étendue ? • Évolution ? • Douleur ? Chaleur ? Rougeur ? • Œdème ? • FIEVRE ? Frissons ? • Blessures (porte d’entrée) • Immunosuppression ? Diabète ? Hygiène ?</t>
  </si>
  <si>
    <t>Labo : VS, CRP leuco • US si suspicion de thrombose • Frottis bactério au niveau de la porte d’entrée probable • Hémocultures si fièvre</t>
  </si>
  <si>
    <t>Prurit généralisé</t>
  </si>
  <si>
    <t>Homme de 30 ans vient pour prurit généralisé depuis la veille après avoir mangé des crevettes. (Ici le gars propose antihistaminique per os, prednisone per os, crème corticoïdes + pricktest)</t>
  </si>
  <si>
    <t>Anamnèse : • Localisation ? • Évolution ? • Caractère migratoire et éphémère ? • Facteur déclenchant/aggravant/soulageant ? • Épisode précédent ? • Symptôme associé ? Douleur ? Voyage ? • Anamnèse de l’entourage • Fièvre ? • Palpitation dyspnée’ • Dysphonie ? Angioœdème ? • Trouble du transit ? N/V ? Diarrhées ? • Perte de connaissance ? • Allergies ? • Nouveaux médicaments • Antécédents ?</t>
  </si>
  <si>
    <t>Inspection peau muqueuse cheveux ongle • Ganglions • Palpations avec des gants • Examen Cardio-Pulm • Abdo</t>
  </si>
  <si>
    <t>Urticaire (réaction d’hypersensibilité type 1) • Maladie de Lyme • Vasculite urticarienne</t>
  </si>
  <si>
    <t>FSS • Tryptase • Sérologie de Lyme • Prick test +/- tests épicutanés • IgE totaux après prick test • Journal des allergies</t>
  </si>
  <si>
    <t>Antihistaminique p.os (ex : Zyrtec Loratadine) • Prednisone p.os • Corticoïdes topiques (crème)</t>
  </si>
  <si>
    <t>Enfant de 10 ans avec lésions dans les plis des coudes</t>
  </si>
  <si>
    <t>Anamnèse : • Localisation ? • Évolution ? • Caractère migratoire et éphémère ? • Facteur déclenchant/aggravant/soulageant ? • Épisode précédent ? • Symptôme associé ? Douleur ? Prurit ? • Anamnèse familiale (atopie) • Allergie ? • Asthme, Rhinoconjonctivite ou autres ?</t>
  </si>
  <si>
    <t>IgE totaux • Prick tests • Tests épicutanés avec allergènes respiratoires</t>
  </si>
  <si>
    <t>Syphilis 2°</t>
  </si>
  <si>
    <t>Éruption cutanée chez homme de 40 ans</t>
  </si>
  <si>
    <t>1° • Chancre indolore ? • Lésion génitale, condylome lata (verrues) ? • 2° • Rash maculopapulaire ? Plantaire, palmaire ? • Alopécie en clairière ? • Fièvre ? • Myalgie ? • Fatigue ? • Angine non spécifique ? • Lymphadénopathie généralisée non douloureuse ? • Granulomes mous ? • 3° • Atteinte vasculaire (anévrisme aortique, vx cérébraux) • Atteint neurologique (douleur déficit neurologique) ? • Pour un rash toujours investiguer MST : HIV syphilis</t>
  </si>
  <si>
    <t>Inspection peau muqueuse cheveux ongle • Ganglions • Palpations avec des gants • Inspection génitale IMPORTANT</t>
  </si>
  <si>
    <t>HIV • Mononucléose infectieuse gonorrhée • Rash maculopapulaire plantaire et paumes des mains typique syphilis</t>
  </si>
  <si>
    <t>Sérologie VDRL TPHA • Test autres MST</t>
  </si>
  <si>
    <t>Pénicilline IM • Conseil de prévention : Utiliser des préservatifs</t>
  </si>
  <si>
    <t>Scarlatine ?</t>
  </si>
  <si>
    <t>Éruption cutanée chez patient de 30 ans</t>
  </si>
  <si>
    <t>Anamnèse : • Localisation ? • Évolution ? • Prurit ? • Premier épisode ? • Symptômes associés ? • Infection récente ? • Contage ? • Maux de gorge ? • Langue framboisée ? Squames de mains ? • Lymphadénopathie ? • Fièvre ? Frisson ? • Voyage ? • FR IST ? • N/V ? • Ictère ? • Trouble du transit ? • Vaccins ?</t>
  </si>
  <si>
    <t>Inspection • Palpation lymphadénopathie • muqueuse • ORL</t>
  </si>
  <si>
    <t>Mononucléose, HIV, CMV, Syphilis, Varicelle, Rougeole, Rubéole, 5ème maladie (HHV6), Parvovirus B19 • Malaria, Dengue • Fièvre jaune • Réaction cutanée à médic</t>
  </si>
  <si>
    <t>FSS • Frottis de gorge si érythème • Sérologie MST</t>
  </si>
  <si>
    <t>Pénicilline 7 j (si scarlatine) • + ttt symptomatique boire AINS</t>
  </si>
  <si>
    <t>Anamnèse puis photo à décrire au dermato puis PEC</t>
  </si>
  <si>
    <t>Symptômes cardinaux : Prurit ? • Xérose cutanée ? • Localisation (typique dans les plis) • Anamnèse dermato • Atopie : allergie, asthme souvent association avec rhinoconjonctivite allergique asthme allergique et allergies alimentaires • Anamnèse familiale</t>
  </si>
  <si>
    <t>IgE totaux éosinophile • Prick test</t>
  </si>
  <si>
    <t>Pityriasis versicolor, homme 25 ans, est allé à la piscine</t>
  </si>
  <si>
    <t>Photo à décrire ex : multiples macules hypo/hyperpigmentées bien délimitées, rondes sur le thorax/dos</t>
  </si>
  <si>
    <t>Apparition de la lésion ? Localisation ? évolution de la lésion ? Épisode précédent ? Trigger ? Facteur aggravant/soulageant ? douleur associée ? Prurit ? • Fièvre ? Contage ? Voyage ? • Est-ce qu’il a mis qqch sur lésions ? • Antécédents • Allergie • 2 formes : hypo ou hyperpigmentée, macule, thorax et dos souvent plus visible après exposition au soleil car ne bronze pas</t>
  </si>
  <si>
    <t>Dermato • Inspection • Observation • Palpation</t>
  </si>
  <si>
    <t>Vitiligo • Dermatite séborrhéique</t>
  </si>
  <si>
    <t>Examen direct au microscope</t>
  </si>
  <si>
    <t>Shampoing sulfure de sélénium ou • Antifongique topique 3j</t>
  </si>
  <si>
    <t>Anamnèse, décrire les images et discuter la prise en charge → comédons, papules, pustules, nodules</t>
  </si>
  <si>
    <t>Anamnèse dermato de base : depuis quand, évolution des lésions, localisation, prurit, suintement, douleurs • Qu’est-ce qu’elle a déjà essayé ou mis dessus ? • Anamnèse gynéco (pour PCOS éventuellement)</t>
  </si>
  <si>
    <t>Diagnostic clinique • Si rebelle au ttt : exclure une hyperandrogénie !</t>
  </si>
  <si>
    <t>Stevens-Johnson</t>
  </si>
  <si>
    <t>Patient prenant allopurinol depuis 1 mois. Status = description d’image. =&gt; URGENCE dermato !!</t>
  </si>
  <si>
    <t>1-3 sem après expo médic : fièvre, flu-like sympt (mal gorge, myalgie, arthralgie) • Puis 1-3 sem après : macules érythémateuses pruritiques, douloureuses souvent visage et tronc. Bulles, vésicules • Localisation • Évolution • Description • Douleurs, prurit ? • Atteinte muqueuse : ulcères oraux/génitaux, conjonctivite, ulcère cornée (photophobie, douleur) • Attention atteinte ophtalmique ! (conjonctivite ulcérante, kératite, iritis, uvéite, parfois cécité !) Infections récentes ? Médicaments pris</t>
  </si>
  <si>
    <t>Status dermato : exanthème maculeux sur tronc. Peut devenir vésiculo-bulleux, avec décollement secondaire de l’épiderme. Érosion des muqueuses</t>
  </si>
  <si>
    <t>Herpès simplex • Toxidermie médicamenteuse • Pemphigus • Si &gt;30% corps atteint : TEN</t>
  </si>
  <si>
    <t>Clinique • (biopsie peau)</t>
  </si>
  <si>
    <t>Stop médic causal • Hydrat, soin peau, AB si sepsis • (amboss anglais) • cortico systémique ! Ttt topique symptomatique • (amboss allemand) • Avis dermato, ophtalmo</t>
  </si>
  <si>
    <t>Sarcome de Kaposi ?</t>
  </si>
  <si>
    <t>Homme 50 ans, • Lésion sur MI =&gt; probable sarcome de Kaposi. Décrire la lésion à l’expert + PEC</t>
  </si>
  <si>
    <t>Localisation, depuis quand ? évolution, caract. migratoire ? Première fois? • Fièvre, prurit, dlr, dysesthésie, asthénie, perte poids, appétit, sudations • Dyspnée, toux etc. • Anamnèse sexuelle • Voyage • Chercher autres manifs de SIDA</t>
  </si>
  <si>
    <t>Décrire les lésions à l’expert : → souvent lésion nodulaire violet- brun ou alors macule pigmentée des fois ou plaques</t>
  </si>
  <si>
    <t>Test HIV et autres MST • Virémie • Taux de CD4 • Biopsie peau • Rx thorax • Us abdo → exclure atteinte diffuse</t>
  </si>
  <si>
    <t>TTT anti rétroviral si HIV + • Excision chir, cryothérapie, laser</t>
  </si>
  <si>
    <t>Psoriasis + eczéma de contact vs médicamenteux</t>
  </si>
  <si>
    <t>Anamnèse (comme pour l'eczéma) : • Localisation • Facteurs déclenchants/aggravants/améliorants • Prurit • Desquamation, suintement • Douleurs associées (articulation !! lombalgies !) • Médicaments, utilisations de lotions ou allergènes • Allergies, atcd... • Köbner : apparition lésion après traumatisme • Signe de la bougie : grattage de la lésion fait tomber des squames et en fait sortir d’autres (comme de la cire de bougie, ça n’arrête jamais) • Auspitz : saignement de la lésion lors du grattage de la dernière couche de l’épiderme</t>
  </si>
  <si>
    <t>Psoriasis : plaques érythémateuses bien délimitées avec desquamation blanchâtre , surtout sur faces d’extension des articulations, cuir chevelu, paumes et plantes , ongles en dés à coudre et taches d’huile , • Plusieurs formes : en plaque, en goutte, érythrodermie psoriasique (rare et grave)</t>
  </si>
  <si>
    <t>TTT : • Thérapie topique : Vit D, cortico • UVB/PUVA • Thérapie systémique (agents biologiques, cyclosporine A, MTX, rétinoïdes)</t>
  </si>
  <si>
    <t>EM-Bilan-Suivi</t>
  </si>
  <si>
    <t>Motivationnel OH</t>
  </si>
  <si>
    <t>Le patient ne voit pas le pb</t>
  </si>
  <si>
    <t>Combien, quel type d’OH, quand, depuis combien de temps, question CAGE, anamnèse sociale, travail, home, tabac, OH, conduite, dépression, risques!!!</t>
  </si>
  <si>
    <t>-Entrer dans le monde du patient: créer un lien, explorer son vécu. -Focaliser autour du sujet de discussion: aborder le sujet, situer le contexte, demander la permission, explorer la situation -Évoquer le changement: pk changer, projeter le patient dans </t>
  </si>
  <si>
    <t>Motivationnel médicamenteux • Retour a domicile post BPCO</t>
  </si>
  <si>
    <t>migrante espagnole souffrant de diabète et qui a mal aux 2 jambes à cause sa PNP car ne prend pas ses médocs + évaluer tous les facteurs socio-culturels</t>
  </si>
  <si>
    <t>Trouble compliance</t>
  </si>
  <si>
    <t>suivi de la maladie coronarienne</t>
  </si>
  <si>
    <t>Caractériser la maladie • Quels ttt, si compliance ok, effets secondaires supportés • Etat actuel, anamnèse cardiaque • FRCV, vasculopathie, troubles érectiles, AOMI, perte d’audition (aspirine), saignements •</t>
  </si>
  <si>
    <t>Vérifier les médicaments • TTT habituel : • - Antiagrégation plaquettaire (si stent double) : aspirine ou clopidogrel • - FRCV : statine, bêtabloquants, IEC, nitroglycérine, anticoagulation orale</t>
  </si>
  <si>
    <t>suivi insuffisance cardiaque</t>
  </si>
  <si>
    <t>Refus CMS</t>
  </si>
  <si>
    <t>Patiente démente avec mal perforant refusant le CMS pour soin à domicile</t>
  </si>
  <si>
    <t>Est-ce qu’elle serait d’accord qu’on discute un moment de son pied? • Qu’est-ce qu’elle a compris? Pourquoi elle ne veut pas le CMS, avantage qu’elle voit du CMS? • Si pas sa CD, demander si qqun est désigné comme représentant thérapeutique</t>
  </si>
  <si>
    <t>Attitude réa en pré-OP</t>
  </si>
  <si>
    <t>Ne souhaite pas être réanimé (anamnèse uniquement)</t>
  </si>
  <si>
    <t>Capacité de discernement?</t>
  </si>
  <si>
    <t>1. Quels sont les choix possibles ? 2. Quels sont les éléments essentiels que le patient doit avoir compris ? 3. Le patient a-t-il compris ces éléments essentiels ? Sinon, puis-je y remédier ? 4. Est-il capable de raisonner avec ces éléments ? Sinon, puis-je y remédier ? 5. Les applique-t-il à sa propre situation ? Sinon, puis- je l’aider ? 6. Exprime-t-il un choix ? Sinon, ne veut-il pas ou ne peut-il pas ? 7. Une pathologie métabolique, neurologique ou psychiatrique est-elle présente et susceptible d’affecter sa capacité de discernement ? 8. Si oui, traiter les causes réversibles et envisager une évaluation psychiatrique</t>
  </si>
  <si>
    <t>Annonce de changement ttt (mauvaise nouvelle?) + capacité de discernement</t>
  </si>
  <si>
    <t>Annoncer à un patient diabétique que les ADO ne fonctionne plus et qu’il faut passer à l’insuline + discuter des FR du diabète +</t>
  </si>
  <si>
    <t>sortie d’hospitalisation</t>
  </si>
  <si>
    <t>revoir médocs, suite de Physio</t>
  </si>
  <si>
    <t>entretien de sortie de BPCO •</t>
  </si>
  <si>
    <t>Endocrino</t>
  </si>
  <si>
    <t>Hyperthyroïdisme</t>
  </si>
  <si>
    <t>Femme 45 ans : fatigue, intolérance au chaud, thyroïde augmentée en taille, pas de changement au niveau du mode de vie. Status : thyroïde augmentée en taille. Hyperréflexie</t>
  </si>
  <si>
    <t>Depuis quand fatiguée? Progression • Ev. précipitant • Fièvre, frissons • Poids • Appétit • Sudations nocturnes • Questions thyroïde: cf à gauche, plus diarrhées, tremor, anxiété, palpitations, tr cycle • Sympt associés si sévère: dyspnée, stridor, dysphagie, voix rauque • Questions humeur •</t>
  </si>
  <si>
    <t>Palpation thyroïde, auscultation souffles • Cardio-pulm • ROT • Force</t>
  </si>
  <si>
    <t>Dépression • Anxiété • Hyperthyroïdisme factice</t>
  </si>
  <si>
    <t>FSS, TSH, T3, T4 • US thyroïde • Scinti</t>
  </si>
  <si>
    <t>B-bloqueurs • Anti-thyroide: méthimazole • Ablation iode radioactif • Chir</t>
  </si>
  <si>
    <t>Thyroïdite</t>
  </si>
  <si>
    <t>déguisée en pharyngite</t>
  </si>
  <si>
    <t>Caractériser douleur • Depuis quand? Première fois? • Constant/intermittent • Progression • Aux solides, liquides • Rhinorrhée, toux, fièvre… • Contage • Infection récente? • Sympt hyperthyroïdie: intol chaud, diarrhées, tremor, anxiété, perte poids, appétit, fatigue, oligo/aménorrhée • Douleur en avalant, irradie dans machoirs/oreilles, exacerbée par mouv nuque, toux, avaler • Puis sympt l'hypothyroïdisme</t>
  </si>
  <si>
    <t>Palpation thyroïde • Cardio-pulm • ORL</t>
  </si>
  <si>
    <t>De de Quervain • Thyroïdite subaiguë lymphocytaire • Pharyngite • Néoplasie?</t>
  </si>
  <si>
    <t>Labo: TSH, T3/T4, VS, CRP • US thyroïde • +/- FNA • scinti</t>
  </si>
  <si>
    <t>Phase thyrotoxique: Bbloqueur, AINS • (cortico) • Phase hypothy: • Levothyroxine faible doses</t>
  </si>
  <si>
    <t>réduction du champs visuel depuis 6 mois sur prolactinome (commencer initialement par dopaminergique puis voir si chir nécessaire)</t>
  </si>
  <si>
    <t>IRM (CT) • Prolactine</t>
  </si>
  <si>
    <t>Gynécologie</t>
  </si>
  <si>
    <t>Grossesse +</t>
  </si>
  <si>
    <t>femme de 38 ans : premier test de grossesse de sa vie positif. Donner les conseils de mode de vie et les dgts prénatales. Pas d’examen clinique.</t>
  </si>
  <si>
    <t>DDR • Ménarche • Menstruations: régulières, douleurs, quantité, longueur • Contraception • RS • ATCD FC, avortement, grossesses • ATCD de MST • Sympt grossesses: N/V, seins, poids, fatigue • Sympt urinaires</t>
  </si>
  <si>
    <t>Grossesse normale • Grossesse ectopique • Grossesse molaire</t>
  </si>
  <si>
    <t>Répéter bHCG • US pelvien • examen gyn • Groupe • Labo: FSS, ferritine, TSH, Groupe sanguin RPR, rubéole, HIV, Hbs Ag • PAP • Frottis gono, chlamydia • Stix urinaire, culture</t>
  </si>
  <si>
    <t>Prévoir prochain rdv • Info sur diag prénatal • Conseils: laver, éplucher fruits/légumes, pas de viande crue, sushis, charcuterie, fromage frais • Limiter cafés • Eviter jardin, caisse chats • Stop OH, tabac, drogues • Acide folique</t>
  </si>
  <si>
    <t>Prééclampsie • (HTA + protéinurie)</t>
  </si>
  <si>
    <t>femme 30 ans à 28 SA adressée par son gynécologue pour HTA et protéinurie (invention)</t>
  </si>
  <si>
    <t>Œdème? Poids? Dyspnée ? Céphalée? N/V ? Prob visuels? Acouphène? Douleur abdominale en barre? Convulsions (crises d’épilepsie) ? Oligurie (diminution de la diurèse)? sensibilité à la lumière et au bruit? • Mvts fœtaux • Contractions ? perte des eaux? sang? • FR: obésité, diabète, 1ère grossesse, jumeaux • Anamnèse gyn: G.. P… Terme prévu, DDR,</t>
  </si>
  <si>
    <t>Neuro sensibilité grossière, réflexe (hyperréflexie ) • Vision • Pulmonaire(risque d’œdème pulmonaire) • Abdo</t>
  </si>
  <si>
    <t>Éclampsie • HELLP</t>
  </si>
  <si>
    <t>TA • urine : prot • sang: créat urée électrolytes FSS ASAT ALAT GGT PA bili crase groupe • hémolyse :bili indirecte LDH haptoglobine GR • pour le bébé: US, US doppler, CTG (= test réactivité foetale)</t>
  </si>
  <si>
    <t>hospitalisation monitorer la mère et le foetus • diminution de la tension (methyldopa) • sulfate de magnésium (prévention des convulsions) • éventuellement cortico pour maturation pulmonaire diurétique si oedème pulmonaire accouchement si HELLP ou éclampsie</t>
  </si>
  <si>
    <t>Infertilité chez femme</t>
  </si>
  <si>
    <t>Anamnèse des 2 partenaires (enfants d’autres avec autre partenaire…) • Anamnèse gynéco: DDR, régulier, quantité, durée, ménarche, pertes?, prurit, sécheresse, G..P.., FC, avortement, atcd de MST, RS depuis quand? quelle fréquence, nbr de partenaire la dernière année, dyspareunie? • Intol froid, cheveux sec, oedème, chgm voix, constipation... • Tr visuel (diplopie, hémianopsie...), céphalées, galactorrhée • Hirsutisme, acnée, acanthosis nigricans • Règles abondantes, dyspareunie, dlr à la défécation</t>
  </si>
  <si>
    <t>Abdo • Peau: hirsutisme, acnée • Thyroïde • Gynéco</t>
  </si>
  <si>
    <t>Insuff ovarienne • Séquelles post PID • Dysfonction sexuelle: dyspareunie • Anomalie utérine: bicorne, léiomyome • Anomalie cervicale • Ac contre sperme • Hypogonadisme hypogondo • PCOS • Adénome pituitaire (prolactine) • Tr thyroïde • Infection chlamydia • Endométriose •</t>
  </si>
  <si>
    <t>Prolactine • TSH • FSH</t>
  </si>
  <si>
    <t>Dépend de la cause… • Bromocriptine • Levothyroxine • Induction ovulation • Don ovocyte • FIV • Chir si adhésions utérines</t>
  </si>
  <si>
    <t>GEU</t>
  </si>
  <si>
    <t>douleurs abdo + aménorrhée • Cf cas 3 Amboss</t>
  </si>
  <si>
    <t>Retard de règle (date des dernières règles, histoire, ménarche, abondance, etc) spotting, douleurs abdo? Nausées, vomissements, seins sensibles, élargis? • Pertes?, prurit, Anamnèse gynéco, sexuelle</t>
  </si>
  <si>
    <t>Status abdo Status gynéco (spec, toucher vaginal, TR) •</t>
  </si>
  <si>
    <t>Grossesse • Kyste ovarien, rupture de kyste • PID • Appendicite Endométriose</t>
  </si>
  <si>
    <t>FSS, Na, K, créat... • Beta HCG sérum et urine US • transvaginal (utérus vide, liquide dans cul de</t>
  </si>
  <si>
    <t>Méthotrexate contrôle (diminution Beta HCG), refaire US endovaginal • Anti D si Rh- Laparoscopie si patiente hémodynamiquement instable /échec de ttt conservatif / FR rupture</t>
  </si>
  <si>
    <t>anamnèse status et PEC</t>
  </si>
  <si>
    <t>Si nodule depuis quand ? douleur ? Rougeur, chaleur, fièvre, évolution ? écoulement du mamelon ? variation du nodule avec les règles. Anamnèse gyneco : Ménarche/ménopause, DDR, cycle, hx obstétrique, contraception, contrôle mammo • FR: ménarche tôt, ménopause tard, adiposité, contraception, ttt hormonal pdt la ménopause , DM type 2 irradiation du thorax, anamnèse familiale</t>
  </si>
  <si>
    <t>Mammographie • US si &lt;30 ans • IRM • selon lésion biopsie • +/- testing BRCA1 BRCA2 •</t>
  </si>
  <si>
    <t>Femme 19 ans veut la pilule</t>
  </si>
  <si>
    <t>- Les souhaits de la patiente, en a-t-elle réfléchi, qu’est-ce qu’elle en sait, ses aprioris, culturel • - Anamnèse gyn: DDR, ménarche, règles régulières/quantité, dyspareunie, pertes (couleur, odeur, quantité), prurit? désir de grossesse, ATCD de grosses</t>
  </si>
  <si>
    <t>PID</t>
  </si>
  <si>
    <t>Dlr FID • s/p appendicectomie • tout faire avec examen complémentaire immédiat</t>
  </si>
  <si>
    <t>Caract. douleur… • Constant/intermittent • Progression • Première fois? • Sympt associé: N/V, fièvre, appétit, diarrhée, constipation • Symp urinaires • Voyage • Contage • Anamnèse gyn: DDR, ménarche, règles (régulières, quantité, fréquence, durée), pertes (couleur, odeur, quantité, sang?), prurit, sécheresse, G...P…, FC,</t>
  </si>
  <si>
    <t>Abdo: • Gynéco: douleur à la mobilisation du col</t>
  </si>
  <si>
    <t>GEU • Rupture kyste ovarien • Torsion de kyste •</t>
  </si>
  <si>
    <t>Labo: FSS, électrolyte, créati, VS, CRP • US • Frottis • Test VIH • TG!!! • Stix urinaire</t>
  </si>
  <si>
    <t>Ambu: co-amox + doxy po +/- ceftriaxone im • Contrôle à 72h • Hosp si: F&gt;38°, N/V, grossesse, abcès tubo-ovarien • Co-amox + doxy iv +/- ceftriaxone im</t>
  </si>
  <si>
    <t>IU chez femme enceinte 14 SA</t>
  </si>
  <si>
    <t>pollakiurie</t>
  </si>
  <si>
    <t>Dysurie, pollakiurie, dlr loges rénales, sang, fièvre, frissons, pertes (couleur, odeur, quantité), prurit, sécheresse • Première fois? Depuis quand, progression • (Mouv. bébé) • Perte sang, liquide • (Contractions) • Terme prévu, … SA actuel, G...P...</t>
  </si>
  <si>
    <t>Abdo • Uro: loges rénales • Gynéco</t>
  </si>
  <si>
    <t>IU haute vs basse • Urétrite • Vulvo-vaginite • Diabète?</t>
  </si>
  <si>
    <t>Stix, culture • Labo</t>
  </si>
  <si>
    <t>Si basse: co-amox po • Si haute: hosp? Ceftriaxone iv</t>
  </si>
  <si>
    <t>???? • Cf cas 4 Amboss</t>
  </si>
  <si>
    <t>Saignement vaginal +++ chez une femme de 46 ans : anamnèse, status avec vagin en plastique, PEC</t>
  </si>
  <si>
    <t>Début ? Quantité ? Caillots? Type ? Constant/intermittent? Progression? Première fois? Couleur ? Autre écoulement ? Trauma bassin?? Fièvre ? Douleur ? Prurit? Sécheresse ? Pertes: odeur couleur quantité? • Âge menarche? Fréquence ? quantité (nb de tampons/j) ? Dernière règle ? Ménopause ? Symptômes de ménopause? Hx obstétrique ? G...P… FC, avortement, Sexualité ? Rapport H/F ? douleur pdt les rapports ? saignements pdt/après les rapports ? • Contraception ? Dernier contrôle ? Dernier PAP ? Hx de MST ? Infection HPV? • Symptômes B • Symptômes urinaires/ transit •</t>
  </si>
  <si>
    <t>Abdo • SPEC • palpation bi-manuelle •</t>
  </si>
  <si>
    <t>GEU? • PID • Infection vaginale • Polype utérin/cervical • Fibrome utérin • Kyste de l’ovaire • Cancer du col /Endomètre • ttt hormonal</t>
  </si>
  <si>
    <t>FSS, syndrome inflammatoire, crase • Groupe • Test de grossesse • SPEC + frottis • US endovaginal • Biopsie de l’endomètre • IRM • Pap smear •</t>
  </si>
  <si>
    <t>Stabilisation hémodynamique • Si saignement aigu utérin: haute dose d'oestrogène conjugué ou acide tranexamique • revoir la patiente pour colposcopie biopsie de l’endomètre +/- IRM</t>
  </si>
  <si>
    <t>Prééclampsie cf plus haut</t>
  </si>
  <si>
    <t>Lire lettre gynéco avant d’entrer • céphalée + enceintes</t>
  </si>
  <si>
    <t>Gériatrie</t>
  </si>
  <si>
    <t>Démence • Cf cas 17 Amboss</t>
  </si>
  <si>
    <t>Homme 75 ans, ne reconnaît plus sa femme de 80 ans, perte de mémoire progressive, complètement dépendant dans AVQ (envisager EMS ?)</t>
  </si>
  <si>
    <t>Depuis combien de temps • Ev. Précipitant • Progression • Première fois ? • Trauma tête • Céphalées • Fatigue • Incontinence • Sommeil • Appétit • Pb marche • Chute • Se perdre ? • Intolérance froid, cheveux secs, constipé • Hallucinations • Faiblesse, paresthésie • AVQ • Dépression : anhédonie, tristesse, coupable, perte d’énergie, tr concentration, psychomoteur, suicide</t>
  </si>
  <si>
    <t>Palpation thyroïde • Neuro : NC, force, sensi, ROT, marche, doigt-nez, Babinski, Romberg • Orientation, répéter 3 mots, MONDE, répéter phrase, dénommer objets • Répéter les 3 mots</t>
  </si>
  <si>
    <t>Alzheimer • Dépression • Hydrocéphalie à P normale • Démence vasculaire • Hypothyroïdisme • Carence en B12</t>
  </si>
  <si>
    <t>Labo : FSS, TSH, B12, électrolytes</t>
  </si>
  <si>
    <t>Proposer aide (CMS) • TTT causes réversibles de démence</t>
  </si>
  <si>
    <t>Alzheimer débutant</t>
  </si>
  <si>
    <t>Tb mémoire/démence =&gt; Alzheimer débutant</t>
  </si>
  <si>
    <t>Anamnèse détaillée</t>
  </si>
  <si>
    <t>Personne âgée qui chute et qui se plaint un peu de tout (seulement anamnèse et demander status qu’on va lire)</t>
  </si>
  <si>
    <t>ECA</t>
  </si>
  <si>
    <t>Patient 70-80 ans hospitalisé pour OP hanche il y 3J. Fils présent (Anamnèse, Status à dire à haute voix et expert dit les résultats + PEC) •</t>
  </si>
  <si>
    <t>Anamnèse probablement impossible avec la patiente donc hétéro anamnèse avec le fils: • Qu’est-ce qui se passe? Depuis quand? Constant/intermittent? Progression? Trigger? Se plaint de douleurs, de qqch? • Qu’est-ce qu’elle a eu comme op, quand, qu’est- ce qui s’est passé ensuite? • Changement de médics?</t>
  </si>
  <si>
    <t>Cardio-pulm • Abdo • Neuro: • TR</t>
  </si>
  <si>
    <t>Sur globe vésical • Sur sepsis • Sur hyponatrémie • Sur AIT, AVC • Sur fécalome</t>
  </si>
  <si>
    <t>Labo: FSS, Na, K créat, CRP, ASAT, ALAT • US abdo: globe</t>
  </si>
  <si>
    <t>Selon cause • Sondage vésical si globe...</t>
  </si>
  <si>
    <t>Tb mémoire débutante - vieille dame</t>
  </si>
  <si>
    <t>Infectiologie &amp;</t>
  </si>
  <si>
    <t>Tuberculose • cf cas 31 Amboss</t>
  </si>
  <si>
    <t>Jeune femme de 30 ans : fièvre et toux persistante depuis lgt (sudation nocturne aussi ?). Demander voyage, professions et tout le tralala =&gt; contage +</t>
  </si>
  <si>
    <t>Hemocs + TTE/TEE</t>
  </si>
  <si>
    <t>GE ou intox alimentaire</t>
  </si>
  <si>
    <t>Nausées/Vomissement chez femme de 30ans</t>
  </si>
  <si>
    <t>Érythème noueux, fièvre et arthralgies</t>
  </si>
  <si>
    <t>Caractérisation? Evolution? • Arthralgie: localisation, symétrie, migration, oedème, chaleur, rougeur, notion d’infection récente • Fièvre: T°, depuis, quand ondulante, persistante, fatigue perte de poids sudation nocturne • IBD: trouble du transit, diarrhée, sang • Toux ? Dyspnée • Dlr yeux/rougeur/photophobie→ uvéite</t>
  </si>
  <si>
    <t>FSC paramètre inflammatoire • enzyme de conversion IgG calcium CD4/CD8 augmenté • RX pulm • CT • Bronchoscopie + Biopsie</t>
  </si>
  <si>
    <t>Grippe • 25 ans</t>
  </si>
  <si>
    <t>Trucs de base: fièvre, céphalées, dlr muscles/articulations, toux sèche, ggl • contage, vaccin • Anamnèse sexuelle</t>
  </si>
  <si>
    <t>Cardio-pulm • ORL • Hépatosplénomégalie</t>
  </si>
  <si>
    <t>Primo- infection VIH • Angine strepto</t>
  </si>
  <si>
    <t>Test VIH • Frottis strepto</t>
  </si>
  <si>
    <t>Hydratation • Dafalgan</t>
  </si>
  <si>
    <t>MST •</t>
  </si>
  <si>
    <t>rentre de vacs • écoulement blanchâtre et brûlure urétrale</t>
  </si>
  <si>
    <t>Diarrhée, sort de prison</t>
  </si>
  <si>
    <t>homme de 40 ans • cf cas 8 Amboss</t>
  </si>
  <si>
    <t>Fréquence, consistance, quantité, sang/mucus?, depuis quand? Trigger? constant/intermittent? Progression? MA: dlr abdo, fièvre, frisson, N/V, asthénie, perte poids, appétit, sudations nocturnes, alimentation • Rash (aphtes?), arthralgie, tr vision • Contage • Voyage</t>
  </si>
  <si>
    <t>Gastro- entérite • Crohn • RCUH • APP • Colon irritable</t>
  </si>
  <si>
    <t>Labo: FSS, électrolytes, créat, VS, CRP, ASAT, ALAT • Culture selles?</t>
  </si>
  <si>
    <t>Prévoir coloscopie?</t>
  </si>
  <si>
    <t>Fille de 20 ans =&gt; fièvre et maux de gorge</t>
  </si>
  <si>
    <t>Labo: FSC, électrolytes, créat, VS, CRP • LDH/Transmanisage augmen • Frottis strepto • Sérologie EBV • Sérologie HIV</t>
  </si>
  <si>
    <t>Tbc</t>
  </si>
  <si>
    <t>Ca revient!!!</t>
  </si>
  <si>
    <t>Médecine interne</t>
  </si>
  <si>
    <t>femme avec fatigue, arythmie, oedème prenant le godet, dyspnée</t>
  </si>
  <si>
    <t>dyspnée nouvelle ? progression ? facteur aggravant soulageant ? angor ? orthopnée ? dyspnée paroxystique nocturne? Prise de poids? oedème ? quand ? Nycturie ? fatigue ? FRCV tabac-OH • Voyage, néoplasie, op, varices, COC, ATCD de MTE, oedème, douleur, AF...</t>
  </si>
  <si>
    <t>ECG • Gazométrie • Sat02% • FSS, BNP, pro-BNP • US cardio • Rx thorax (cardiomégalie, gros VG, congestion pulmonaire voir œdème pulmo)</t>
  </si>
  <si>
    <t>Patiente de 28 ans vient pour une dyspnée aigue nouvelle</t>
  </si>
  <si>
    <t>ECG • TA ddc • Gazométrie, Sat02, T° • FSS, D-dimère, crase • Créat, électrolytes, CK, Troponines • Angio-CT selon FR • US doppler des MI selon FR</t>
  </si>
  <si>
    <t>Psychosomatique? Le même cas qu’en psy? (cf plus haut)</t>
  </si>
  <si>
    <t>Douleurs thoraciques et dyspnée persistante multi-investiguée =&gt; psychosomatique ?</t>
  </si>
  <si>
    <t>Toux chez patient avec VAD</t>
  </si>
  <si>
    <t>Ventricular assist device?</t>
  </si>
  <si>
    <t>Artériopathie oblitérante des MI (AOMI)</t>
  </si>
  <si>
    <t>Crampes, paresthésie, Douleurs: • Localisation, irradiation, qualité, intensité, depuis quand, constant/intermittent, progression, condition de survenue, première fois?, facteurs aggravant (pire avec exercice)/améliorant (repos), manif associées → claudication intermittente (combien de mètres?), pieds froids?, décoloration peau, changements trophiques (poils, température, ongles cassants, peau atrophique/fine, livedo reticularis, gangrène, ulcère, nécrose), • dysfonction érectile? • TABAC? autres FRCV</t>
  </si>
  <si>
    <t>CV complet : • Cardio • Palpation/auscultation pouls, temps recoloration, température etc… • Sensibilité, Force, ROT • Romberg • Pallesthésie, sens postural etc…</t>
  </si>
  <si>
    <t>Vasculite • Thromboangéite oblitérante (Raynaud, thrombophlébite migratoire) • TVP • Claudication neurogène : • Canal lombaire étroit • Neuropathie diabétique • Polyneuropathie OH</t>
  </si>
  <si>
    <t>ABI &lt; 0.9 • (Us doppler) • (Labo ? B12, acide folique, thiamine, glucose, HbA1c, cholestérol) • Quantifier distance de marche sur tapis roulant</t>
  </si>
  <si>
    <t>Stop tabac • Exercice supervisé • Modif FRCV : • ASA • Statines • Anti-hypertenseur • Sinon intervention chir : • Angioplastie +/- stent/pontage • Soins de plaie • +/- greffe</t>
  </si>
  <si>
    <t>Déficience B12</t>
  </si>
  <si>
    <t>Végétalienne. Anémie macrocytaire. Anamnèse et status gynéco dans la N</t>
  </si>
  <si>
    <t>Lupus???</t>
  </si>
  <si>
    <t>Fatigue chez jeune femme</t>
  </si>
  <si>
    <t>11 critères (&gt;4/11) : rash malaire, rash discoïdes, photosensibilité, ulcère buccaux, atteinte neuro (épilepsie, psychose), pancytopénie, pleurésie/péricardite, ANA, arthrite, anomalie hématologique, anomalie immunologique, atteinte rénale • Raynaud, nausées vomissement, syndrome sec, fatigue, fièvre, perte de poids • Atcd (épanchement pleuraux, péricardite), voyages, symptômes B, tabac, alcool, drogue</t>
  </si>
  <si>
    <t>Dépend de la plainte, mais tout</t>
  </si>
  <si>
    <t>Arthrite rhumatoïde • Sclérodermie • Dermatomyosite • Polyarthrite noueuse</t>
  </si>
  <si>
    <t>Facteurs immunologiques • Test de Coombs • Anémie, FSS, VS, CRP • Électrophorèse des protéines • Créatinine • Biopsie peau et rénale • Exposition à la lumière UV à lésions</t>
  </si>
  <si>
    <t>AINS • Anti-malarique • Crise : Glucocorticoïdes • Si sévère avec atteinte organes vitaux : • Glucocorticoïdes • Azathioprine/Méthotrexate</t>
  </si>
  <si>
    <t>Toux chez homme jeune</t>
  </si>
  <si>
    <t>FSC: paramètres inflammatoires, éosinophilie • Gazométrie • Sat02 • Spirométrie • Peak flow (et post- SABA) • Test de provocation à la métacholine • Evtl Rx thorax • Dx allergie : • Prick test • IgE totaux</t>
  </si>
  <si>
    <t>Bronchite/pneumonie</t>
  </si>
  <si>
    <t>Toux chez jeune patient</t>
  </si>
  <si>
    <t>Cf ci dessus</t>
  </si>
  <si>
    <t>Palpitations femme de 60 ans</t>
  </si>
  <si>
    <t>FSS, TSH électrolytes • Crase • ECG • Holter • US cœur</t>
  </si>
  <si>
    <t>Sténose aortique • Symptômes :SAD (syncope,angor, dyspnea)</t>
  </si>
  <si>
    <t>Syncope chez patient âgé</t>
  </si>
  <si>
    <t>Syncope: prodrome, phase post critique, morsure de langue, perte des urines/ selles convulsions, TCC • Durée convulsions/PC • DRS, palpitation, dyspnée, faiblesse, fourmillement, trouble de la vue • Anamnèse CV NEURO • Antécédent</t>
  </si>
  <si>
    <t>CV • Ne pas oublier d’ausculter les carotides • NEURO</t>
  </si>
  <si>
    <t>vaso-vagale • orthostatique • hypoglycémie • épilepsie • intoxication • AVC •</t>
  </si>
  <si>
    <t>FSS, élytes • ECG • Rx thorax • US cardiaque</t>
  </si>
  <si>
    <t>Suivi si asymptomatique • Symptomatique : • TAVI • Chir</t>
  </si>
  <si>
    <t>Dyspnée</t>
  </si>
  <si>
    <t>Poste double HTA</t>
  </si>
  <si>
    <t>a) Anamnèse + prévoir examen • b) lecture des résultats et expliquer au patient + suite du PEC</t>
  </si>
  <si>
    <t>Anamnèse générale tous les systèmes • Céphalées derrière la tête, vertiges, acouphène,</t>
  </si>
  <si>
    <t>CV • PULM • ABDO</t>
  </si>
  <si>
    <t>FSS, électrolytes, créat urée, dyslipidémie HDL LDL cholestérol total triglycéride glucose à jeun ou</t>
  </si>
  <si>
    <t>Revoir le patient expliquer les FRCV et complications • Mettre en place ttt selon résultats</t>
  </si>
  <si>
    <t>Polypes nasaux + asthme</t>
  </si>
  <si>
    <t>Cf asthme plus haut</t>
  </si>
  <si>
    <t>Poste double BPCO?</t>
  </si>
  <si>
    <t>1) Dyspnée depuis 6 mois: anamn/status et complémentaire • 2) décrire spirométrie + pseudo-motivationel sur tabac</t>
  </si>
  <si>
    <t>Depuis quand? • Constant/intermittent • Progression • Première fois? • Facteur aggravant/améliorant • MA: toux, fièvre, frisson, asthénie, poids, appétit, sudations nocturnes, DRS, OMI, orthopnée, DPN, nycturie, palpitation, syncope etc. • Sympt d’IVRS • Contage • Voyage, exposition à TB • TABAC!</t>
  </si>
  <si>
    <t>Cardio complet: reflux h-j! • Pulm complet • ADP cou</t>
  </si>
  <si>
    <t>Insuff cardiaque • Cancer poumon</t>
  </si>
  <si>
    <t>Rx thorax • Spirométrie: diminution CV, VEMS et VEMS/CV, augm VR • Non réversibilité • Courbe concave car augm résistance • ECG, US cœur • Gazo, Sat02.</t>
  </si>
  <si>
    <t>Stop tabac • Vaccins pneumocoque, grippe • SABA • LABA • Cortico inhalé</t>
  </si>
  <si>
    <t>Leucémie?</t>
  </si>
  <si>
    <t>Hémorragie gingivale, fatigue et ictère des sclères =&gt; probable leucémie/autre maladie hématologique : prise en charge complète.</t>
  </si>
  <si>
    <t>Fatigue, pâleur → anémie • Pétéchie, épistaxis, hématome → thrombocytopénie • Hépato-splénomégalie • Céphalées, tr visuels • Fièvre, poids, sudations nocturnes • ADP • Pentade: fièvre, sympt. neuro (convulsions, déficit focaux, céphalées, vertiges….), thrombocytopénie (pétéchies, saignement muqueux…), anémie hémolytique (pâleur, fatigue, ictère), rénal (hématurie, protéinurie, oligurie, anurie)</t>
  </si>
  <si>
    <t>Conjonctives, peau • Ganglions • Abdo : HSM • Neuro?</t>
  </si>
  <si>
    <t>Purpura thrombotique thrombocytopénique</t>
  </si>
  <si>
    <t>Labo: FSC, électrolytes, créat, VS, CRP, LDH, haptoglobine, bili, réti • Combs • Frottis sanguin • Ponction moelle • Stix urinaire? (hématurie, protéinurie)</t>
  </si>
  <si>
    <t>Référer à l’hémato</t>
  </si>
  <si>
    <t>Insuff veineuse</t>
  </si>
  <si>
    <t>Plaie tibiale qui ne guérit pas =&gt; ulcère sur insuffisance veineuse =&gt; prise en charge complète</t>
  </si>
  <si>
    <t>Lésion depuis quand, première fois? déjà entrepris un ttt?, douleur, écoulement, dlr nuit/effort, évolue, autres lésions, notion de trauma, claudication intermittente, paresthésie associée, prurit, dermite ocre, oedème, varices, • Métier (tout le temps assis ou debout), atcd de thrombose, ulcères, reynaud associé? Dysfonction érectile si homme, anamnèse cardio IC, si femme grossesse, AF</t>
  </si>
  <si>
    <t>Cardio vasculaire (extrémités chaleur, rougeur, oedèmes, pouls) • ABI</t>
  </si>
  <si>
    <t>AOMI Mal perforant • Pyoderma gangrenosum</t>
  </si>
  <si>
    <t>FSS glucose à jeun, HbA1c, paramètres inflammatoires • ABI • US doppler • Phlébographie</t>
  </si>
  <si>
    <t>COMPRESSION! Froid. Jambes élevées. Marche, drainage lymphatique etc • OP des varices</t>
  </si>
  <si>
    <t>Décompensation cardiaque post-op</t>
  </si>
  <si>
    <t>Dyspnée chez patient âgé en post-op. PEC complète</t>
  </si>
  <si>
    <t>Cf plus haut</t>
  </si>
  <si>
    <t>Pneumothorax • EP</t>
  </si>
  <si>
    <t>ECG • Labo: FSS, nt-proBNP • Gazo, sat • Rx thorax</t>
  </si>
  <si>
    <t>O2 • Nitré • VNI • Diurétique anse</t>
  </si>
  <si>
    <t>Infarctus inférieur</t>
  </si>
  <si>
    <t>Douleur abdo chez une femme de 60 ans au cabinet =&gt; anamnèse, status et PEC =&gt; transférer pour infarctus inf !!!</t>
  </si>
  <si>
    <t>Douleur : localisation, irradiation, type, intensité, survenue, évolution, facteur aggravant/soulageant, facteur déclenchant, symptôme associé • Anamnèse CV, Abdo</t>
  </si>
  <si>
    <t>CV • Abdo</t>
  </si>
  <si>
    <t>Perforation gastrique</t>
  </si>
  <si>
    <t>FSS électrolytes, Créat • CK trop • ECG</t>
  </si>
  <si>
    <t>O2, morphine, nitroglycérine, aspirine, clopidogrel, • Tel 144 pour transfert ambulance voir filière STEMI avec SMUR si a les critères</t>
  </si>
  <si>
    <t>Jeune homme avec toux</t>
  </si>
  <si>
    <t>Infarctus inf</t>
  </si>
  <si>
    <t>Sympt atypiques</t>
  </si>
  <si>
    <t>Jeune patiente 19 ans douleur à la poitrine depuis ce matin (invention)</t>
  </si>
  <si>
    <t>FSC, paramètres inflammatoires, CK, trop, électrolytes, créat, urée • hémoculture ECG Rx thorax US coeur</t>
  </si>
  <si>
    <t>Neurologie</t>
  </si>
  <si>
    <t>Convulsions</t>
  </si>
  <si>
    <t>femme de 22 ans, PC avec convulsion en boîtes, pas de substances illicites, que 3 verres d’OH, pas d’ATCD de convulsion ou épilepsie. Pas de notion de TCC ? Il faut faire un exa neuro (et au milieu l’expert t’arrête pour te dire que le reste est dans la norme). PEC le gars était pas trop sur.</t>
  </si>
  <si>
    <t>Neuro! (+/- cardiopulm)</t>
  </si>
  <si>
    <t>Hypoglycémie • Masse • Sevrage • Méningite •</t>
  </si>
  <si>
    <t>prise de sang • imagerie • EEG 24-48h •</t>
  </si>
  <si>
    <t>en attendant pas • conduire, nager, bain, travail en hauteur • antiépileptiques • si tumeur ou 2 crises en 24h • consulte neuro</t>
  </si>
  <si>
    <t>HSD</t>
  </si>
  <si>
    <t>petit vieux amené par sa fille pour trouble de la marche, céphalée nouvelle + sous sintrom. Examen neurologique à effectuer. Puis CT cérébral à la recherche d’une HSD ? •</t>
  </si>
  <si>
    <t>Céphalée + PC</t>
  </si>
  <si>
    <t>Thombose veineuse? • Pas très clair..</t>
  </si>
  <si>
    <t>Névrite optique • Plainte: tr. vue</t>
  </si>
  <si>
    <t>suspicion de SEP inaugurale?</t>
  </si>
  <si>
    <t>Un oeil, les deux? Diplopie, trouble, mouches volantes, flash lumineux, douleur, rougeur, prurit, photophobie, visions des couleurs altérée. • Céphalées? tr sensi/force, marche, vertiges, dysfonction autonome (vessie, intestin) • Depuis quand? • Constant/intermittent • Progression • Première fois? • Trauma? • N,V, Fièvre… • Anamn. système</t>
  </si>
  <si>
    <t>Neuro complet: • Tr mémoire, concentration • Paralysie NC • Perte des réflexes cutanés abdo • Spasticité, hyperréflexie, Babinski + • Tr sensi • Tremor d’intention • Nystagmus • Ophtalmo complet: • FO • Champs (quadrant, périph) • Acuité • Vision couleur • Frenzel • Fixation, poursuite, saccade, convergence, mouv., pupilles</t>
  </si>
  <si>
    <t>IRM • (PL)</t>
  </si>
  <si>
    <t>Pour exacerbations: • Glucocortico hautes doses</t>
  </si>
  <si>
    <t>Hémiplégie MSD</t>
  </si>
  <si>
    <t>Labo • CT sans contraste • US doppler carotides • ECG • ETO</t>
  </si>
  <si>
    <t>Pas de perte sphinctérienne</t>
  </si>
  <si>
    <t>décrire la plainte (ne pas oublier irradiation!) • trauma • incontinence uro-fécale • trouble sensitivo-moteur</t>
  </si>
  <si>
    <t>Examen dos • Neuro • Lasègue • TR</t>
  </si>
  <si>
    <t>imagerie si : - queue de cheval • - &gt;6 semaines - trauma - déficits neuro imp ou en péjoration</t>
  </si>
  <si>
    <t>physio • antalgie • +/- arrêt de travail • Rdv à 1 semaine (revenir avant si apparition de trouble neuro-sensitif ou sphinctérien)</t>
  </si>
  <si>
    <t>Paralysie faciale périph • https://www.revmed.ch/RMS/2009/RMS- 188/Paralysie-faciale-diagnostic-et-prise-en- charge-par-le-medecin-de-premier-recours</t>
  </si>
  <si>
    <t>homme 50 ans jardinier</t>
  </si>
  <si>
    <t>Erythème migrant? • Arthralgie migratoire? • sympt grippaux • sympt cardio • tr vue, tr audition? • Ou exactement? Depuis quand? Progression? Apparition abrupte? Première fois? • Sympt associé: paresthésies, sécheresse buccale/yeux, hypogueusie, audition? tr force/sensibilité ailleurs, vertiges, céphalées….. • Travail? hobbies? en forêt? • Anamnèse sexuelle pour VIH...</t>
  </si>
  <si>
    <t>Exa neuro complet • (ORL)</t>
  </si>
  <si>
    <t>Paralysie de Bell (lien avec HSV) (unilat, installation rapide &lt;3j, status neuro et orl normal, pas d’EF, pas de signes méningés) • Lyme • Guillain-barré (=miller fisher) (visions double, ophtalmoplégie, souvent atteinte bilat) • myasthénie grave • Zona otique • AVC • Méningite • HIV, syphilis •</t>
  </si>
  <si>
    <t>Sérologie Lyme, Syphi • Attention si installation lente: IRM pour susp tumeur</t>
  </si>
  <si>
    <t>Si bell: cortico, valacyclovir, pansement en verre de montre, vitA gel et larmes artificielles (éviter lésion cornées vu que oeil reste ouvert) • ENMG à 7j pour évaluer pronostic de récupération • Si Lyme: AB po sauf si sympt neuro autres que paralysie faciale → hosp et AB iv</t>
  </si>
  <si>
    <t>CT cérébral • Angio CT • Labo: Fss, électrolytes, VS, CRP, créat, crase</t>
  </si>
  <si>
    <t>Hernie cervicale</t>
  </si>
  <si>
    <t>Spürling • Lhermitte</t>
  </si>
  <si>
    <t>Trouble de la marche chez personne âgée : anamnèse sur une feuille. Réalisation uniquement du status</t>
  </si>
  <si>
    <t>Pas d’anamnèse à faire</t>
  </si>
  <si>
    <t>Status neuro complet: • Orientation, 3 mots, dénommer, phrase, MONDE, action, répéter 3 mots • Méningisme • NC, force, sensi, réflexe, tonus, Babinski, doigt-nez,</t>
  </si>
  <si>
    <t>Masse? • Parkinson • AVC • B12 • Thyroïde</t>
  </si>
  <si>
    <t>Labo: B12, TSH • IRM • PL</t>
  </si>
  <si>
    <t>PL</t>
  </si>
  <si>
    <t>Douleur lombaire sans signe déficitaire =&gt; probable hernie discale (DD : lumbago ?)</t>
  </si>
  <si>
    <t>cf cas 26 amboss</t>
  </si>
  <si>
    <t>Céphalées, suivies de sensations de brûlure • Caractériser douleur: localisation (facial unilat), durée (qql secondes), fréquence (100x/j), depuis quand, première fois, constant, intermittent, progression, facteurs aggravant/améliorant, trigger (mâcher, toucher), MA: N/V, photophobie, sudation, écoulement yeux, nez • Fièvre, convulsions, PC, trauma, vertiges, faiblesse, paresthésie, tr visuel, aphasie, infection récente (chercher sinusite)? • Conséquences psy: dépression, suicides</t>
  </si>
  <si>
    <t>Neuro</t>
  </si>
  <si>
    <t>Si bilatéral: rechercher une SEP • Migraine • Céphalée tension • Cluster headache (homme 20-40)</t>
  </si>
  <si>
    <t>IRM si perte sensitive ou bilatérale</t>
  </si>
  <si>
    <t>Carbamazépine • (Chir.) • Sinon si cluster: O2, triptan • Si migraine: triptan • Référer au neurologue?</t>
  </si>
  <si>
    <t>Céphalée + atteintes neuro focales</t>
  </si>
  <si>
    <t>Dame âgée probable métastases cérébrales du cancer du sein</t>
  </si>
  <si>
    <t>Caractériser céphalées • N/V, PC, photophobie, tr parole, tr vue, parésie, paresthésie, vertiges, trauma,... • Poids, appétit, fièvre, sudations nocturnes • Infos sur son cancer du sein, quand, ttt, évolution, suivi</t>
  </si>
  <si>
    <t>Neuro • Sein? • Pulm</t>
  </si>
  <si>
    <t>Labo • CT/IRM</t>
  </si>
  <si>
    <t>Hosp. ? • Tumor board?</t>
  </si>
  <si>
    <t>Caractériser la plainte -&gt; commence aux MI (paresthésie puis parésie) • Douleurs dos + articulations • Douleur neuropathique • Sensibilité, force, céphalées, vertiges, trouble marche, ataxie, problème de vue, audition, dysphagie, dysarthrie (peut atteindre nn crâniens) • Atteinte autonome: Dyspnée, douleurs thoraciques, palpitations, sudations. Trouble urinaire et transit. • ⅔ cas: infection précède (GI ou tracte resp) -&gt; C. jejuni, CMV</t>
  </si>
  <si>
    <t>PL (dissociation cyto-albumine: cellules normales, protéines élevés) • ENMG (ralentissement de la conduction nerveuse) • Sérologie C. jejuni • ECG (diminution de la variabilité de la FC ou arythmie)</t>
  </si>
  <si>
    <t>perte de force transitoire de la jambe unilat. Patient connu pour HTA et souffle carotidien au status</t>
  </si>
  <si>
    <t>Quand? durée, première fois? SA: tr vue (voile noir), aphasie, tr sensitifs, vertiges, céphalées, dysphagie, • Fièvre, frisson?</t>
  </si>
  <si>
    <t>ECG • Angio-CT • FSS, glycémie, crase, lipides, Na, K, créat • Echo coeur et carotides</t>
  </si>
  <si>
    <t>HSA/HSD?</t>
  </si>
  <si>
    <t>suite à chute chez vieux sous sintrom</t>
  </si>
  <si>
    <t>Migraine : • Céphalée de tension : • Cluster headaches : • Céphalée secondaire : • - infectieux : méningite, encéphalite • - vasculaire : HSA, thrombose veineuse, artérite temporale, AVC, crise hypertensive • - tumoral</t>
  </si>
  <si>
    <t>ORL</t>
  </si>
  <si>
    <t>Rhinite allergique</t>
  </si>
  <si>
    <t>présente une rhinorrhée claire + éternuements depuis un mois. Même chose l’an passé à la même période. A déménagé depuis 2 ans à la campagne</t>
  </si>
  <si>
    <t>Même période • Campagne • Décrire la rhinite • Toux +facteurs aggravant/améliorant • Sympt associés: oculaires, gorge, peau, dyspnée • Connu pour allergie? Famille?</t>
  </si>
  <si>
    <t>Muqueuses congestionnée • Rhinoscopie ant: muqueuse nasale bleu pâle</t>
  </si>
  <si>
    <t>Rhinite médicamenteuses • Rhinite vasomotrice •</t>
  </si>
  <si>
    <t>IgE spécifiques?</t>
  </si>
  <si>
    <t>Éviter l’allergène • Douche nasale à base d’eau de mer/salée + corticoïdes nasales (nasonex ou dymista) + antihistaminique. • Evtl tests allergiques. •</t>
  </si>
  <si>
    <t>Bouchon de cérumen</t>
  </si>
  <si>
    <t>Gêne dans l’oreille • Diminution soudaine de l'ouïe unilat • Première fois??</t>
  </si>
  <si>
    <t>Otoscopie • Weber/Rinné</t>
  </si>
  <si>
    <t>Trauma acoustique •</t>
  </si>
  <si>
    <t>Nichts</t>
  </si>
  <si>
    <t>Enlever par lavage à l’eau ou extraction manuelle (pince, curette, aspiration) • Expliquer d’utiliser l’eau et non les cotons-tige</t>
  </si>
  <si>
    <t>Pas d’info si chez adulte ou enfant</t>
  </si>
  <si>
    <t>Vertiges qui durent des heures, indépendant de la position • Nausées et vomissement, marche instable • Important de demander si boutons apparus (=zoster?) • ATCD infection virale? • Demander si perte audition, acouphène (ce qu’il n’y a pas) • Trauma? Céphalées?</t>
  </si>
  <si>
    <t>Nystagmus battant du côté sain aboli à la fixation • Halmagyi pathologique Examen neuro (nerfs crâniens, force, sensibilité) • Chute du côté atteint • Examen ORL • Rinné, Weber • Dix hallpike</t>
  </si>
  <si>
    <t>Zoster Oticus (= Ramsay Hunt=sous forme de la névrite vestibulaire) • AVC • Ménière (acouphène, perte audition) • VPPB (chmg position, pas de perte audition ni acouphène)</t>
  </si>
  <si>
    <t>Audiométrie dans la norme • Calorique du côté atteint avec réponse diminuée</t>
  </si>
  <si>
    <t>Repos • Symptomatique:Antivertigineux, anti- émétique • Glucocort de courte durée • Physio: réhab. vestibulaire</t>
  </si>
  <si>
    <t>Abcès pilier ant amygdales</t>
  </si>
  <si>
    <t>Fièvre, malaise, odyno-dysphagie, voix étouffée, bave, halitose, trismus • Contage</t>
  </si>
  <si>
    <t>ORL: Trismus • Uvula shift du côté controlat. • ADP cervicale</t>
  </si>
  <si>
    <t>CT!!!! • Gram et culture • Labo: FSS, VS, CRP, électrolytes (si déshydraté pk il ne peut plus boire)</t>
  </si>
  <si>
    <t>Hosp + AB iv+ contacter ORL • Irfen, Dafalgan pour douleur et EF • +/- incision, drainage</t>
  </si>
  <si>
    <t>Otosclérose • Baisse de l’audition : Amboss 23 USMLE 17</t>
  </si>
  <si>
    <t>Baisse audition unilat chez jeune femme • (tout sauf ttt) •</t>
  </si>
  <si>
    <t>Baisse audition unilat • Acouphène • Pas d’otalgie • Famille? (+- AD) • Grossesse/hormones? (empire) • Entends mieux quand y a du bruit autour! (Paracousis Willisii) • Depuis quand? constant/intermittent, progression, facteur précipitant, Écoulement, douleur, vertiges, quels sons en particulier? Localiser le son? comprendre langage? Trauma acoustique? Métier avec du bruit?</t>
  </si>
  <si>
    <t>Otoscopie Normale • Rinne/weber (surdité de transmission) •</t>
  </si>
  <si>
    <t>OMA • Trauma</t>
  </si>
  <si>
    <t>Audiométrie</t>
  </si>
  <si>
    <t>Pas grand chose à faire à part adresser chez ORL! • (Stapédectomie -&gt; remplacer étrier par prothèse)</t>
  </si>
  <si>
    <t>Durée: très important, position dépendante? Acouphène + surdité? 1 er épisode? • Chute? Nausées et vomissement?</t>
  </si>
  <si>
    <t>Examen neuro + ORL • Si périphérique (=vestibulaire), nystagmus bat du côté sain (sauf pour VPPB) • Halmagyi négatif, nystagmus typique d’atteinte centrale (augmente à la fixation, vertical, multidirectionnel) + skew deviation positif = sensibilité 100% pour atteinte centrale (=HINTS)</t>
  </si>
  <si>
    <t>Névrite vestibulaire (vertiges uniquement) • Ménière (vertiges, surdité basse fréquence +- acouphène) • Schwannome (initialement atteinte acousie progressive et unilat puis vertiges progressif + acouphène). Si schwannome bilat =&gt; NF type II • HypoTa orthostatique (déshydraté?)</t>
  </si>
  <si>
    <t>Audiométrie • Calorique • (Potentiel évoqués) • IRM si suspicion schwannome acoustique (perte audition unilat, autre tr neuro (NC))</t>
  </si>
  <si>
    <t>Si central =&gt; URGENCES neuro • Si Menière: Betaserc (antivertigineux) + adresser chez ORL • Si Névrite vestibulaire: cf plus haut. •</t>
  </si>
  <si>
    <t>Ophtalmologie</t>
  </si>
  <si>
    <t>Glaucome à angle fermé? Uvéite?</t>
  </si>
  <si>
    <t>Vieux de 65 ans, vient pour œil rouge douloureux depuis la veille avec irradiation douleur sur territoire V1 homolat. Status : mydriase areactive et opacification cornée d’après la photo. =&gt; Glaucome a angle fermé? Uvéite ?</t>
  </si>
  <si>
    <t>Caractériser douleur, écoulement purulent, autres, prurit, lésions cutanées associées (vésicules,rash), diminution AV, diplopie, images déformées, mouches volantes, flash lumineux, rideau noir, ptose, photophobie, epiphora, champs visuels diminués, porteurs de lentilles? Contage? Corps étrangers? Infections récentes? Checker neuro! Céphalées surtout. FRCV</t>
  </si>
  <si>
    <t>Ophtalmo Neuro</t>
  </si>
  <si>
    <t>Glaucome Uvéite</t>
  </si>
  <si>
    <t>Fond d’oeil • Gonioscopie Tonométrie Lampe à fente FSS, paramètres inflammatoires</t>
  </si>
  <si>
    <t>Glaucome aigu: URGENCE! Faire diminuer la P (Mannitol iv, acetazolamide iv, bbloquant, adrenaline topique) Ne jamais induire de mydriase!! Uvéite: ttt pathologie sous jacente, corticos, mydriatique (ATTENTION pas si glaucome à angle fermé)</t>
  </si>
  <si>
    <t>trouble vision chez patiente de 70 ans</t>
  </si>
  <si>
    <t>Glaucome/uveite</t>
  </si>
  <si>
    <t>Douleurs oculaires</t>
  </si>
  <si>
    <t>Kératite du soudeur</t>
  </si>
  <si>
    <t>Douleurs oeil, baisse vision • sculpteur de métal</t>
  </si>
  <si>
    <t>Douleur dans l’oeil, caractériser dlr: localisation, intensité, évol, qualité, irradiation, sympt associés (visions floue, double, photophobie, mouches volantes, flash, prurit, écoulement, rougeur, sensation CE), fact. aggravant/améliorant, chronologie, constant/intermittent, progression • 1 oeil ou les deux • Champs visuels atteintes • Premières fois? • → associé à conjonctivite • Travail? Protection? •</t>
  </si>
  <si>
    <t>Ophtalmo complet • Neuro: NC</t>
  </si>
  <si>
    <t>Glaucome • CE • Uvéite</t>
  </si>
  <si>
    <t>Examen fluorescéine</t>
  </si>
  <si>
    <t>Référer à l’ophtalmo • Collyre anesthésiant • Compresse froide et humide</t>
  </si>
  <si>
    <t>Déchirure de la rétine</t>
  </si>
  <si>
    <t>Patiente de 50 ans : tb visuel unilat depuis 2 jours. Anamnèse, status et mannequin pour le fond d’œil avec un chiffre a transmettre a haute voix. =&gt; Déchirure de la rétine =&gt; Référer ++ aux urgences ophtalmique.</t>
  </si>
  <si>
    <t>Depuis quand? Soudain? Progression, 1 oeil, les 2? Quels champs touchés? Première fois? Flash lumière? mouches volantes? photophobie? diplopie, vision trouble? rougeur, écoulement, CE? trauma? douleur (non douloureux) • Douleur cuir chevelu, mâchoire, céphalées temporales</t>
  </si>
  <si>
    <t>Ophtalmo complet •</t>
  </si>
  <si>
    <t>Examen lampe fente • Labo? VS</t>
  </si>
  <si>
    <t>Référer à l’ophtalmo</t>
  </si>
  <si>
    <t>DMLA vs Récidive cataracte</t>
  </si>
  <si>
    <t>s/p OP cataracte binoculaire</t>
  </si>
  <si>
    <t>Vision trouble/double, quelles champs visuels, flash, mouches volantes, scotome, dlr, oeil rouge, écoulement etc.</t>
  </si>
  <si>
    <t>Ophtalmo:</t>
  </si>
  <si>
    <t>Ortho/Rhumato</t>
  </si>
  <si>
    <t>Épaule douloureuse : Lésion de. La coiffe</t>
  </si>
  <si>
    <t>Mobilité diminuée depuis 2j, douleurs vive il y a 2 mois lorsqu’il a voulu porter une valise =&gt; probable lésion de la coiffe. Mobilité active limitée, passive conservée.</t>
  </si>
  <si>
    <t>Caractériser douleur • Mobilité ? • Mécanisme chute ? • Chaleur, rougeur, gonflement ? perte de fct ? • Douleurs mécaniques vs inflammatoire Main dominante ? • Infection récente ? Fièvre ? (Arthrite septique) • ATCD et TTT • Profession ?</t>
  </si>
  <si>
    <t>Inspection • Palpation • Tests de triage • Actif et passif • Mobilité passive conservée • Tests spécifiques : • Job • Si trauma =&gt; vasculaire et neuro</t>
  </si>
  <si>
    <t>Lésion coiffe des rotateurs • Rupture supra-épineux • Conflit sous-acromial • Capsulite rétractile (Frozen Shoulder) • Tendinite calcifiante • Tendinite du chef long</t>
  </si>
  <si>
    <t>Rx • Evtl. US et IRM pour tissu mou</t>
  </si>
  <si>
    <t>Diminuer sport, physiottt • AINS + glucocort local • Si rupture chez jeune : Chir</t>
  </si>
  <si>
    <t>Douleurs dos : Fractures ostéoporotiques ?</t>
  </si>
  <si>
    <t>Femme 62 ans, ménopausée, vient pour des douleurs aiguës au milieu du dos en coup de poignard en soulevant qq branches. L’expert donne une RX du thorax.</t>
  </si>
  <si>
    <t>Caractériser douleurs • Rechercher symptômes neuro • Sympt. systémiques (symptômes B) • Troubles sphinctériens</t>
  </si>
  <si>
    <t>Inspection/palpation et percussion du rachis • Flexion/ext/inclinaison lat, rotation ? • Ott et Schober ? • Lasègue ? • Examen neuro rapide MI ? • TR</t>
  </si>
  <si>
    <t>Fx ostéoporotique • Métastases osseuses • Herniation</t>
  </si>
  <si>
    <t>Rx • Evtl. CT ou IRM</t>
  </si>
  <si>
    <t>Si Fx stable : Repos selon douleur, AINS, Physio.</t>
  </si>
  <si>
    <t>Fx col du fémur</t>
  </si>
  <si>
    <t>Caractériser douleur, traumatisme/chute, mécanisme, TC, perte de connaissance, lésion cutanée, se relever lors de la chute, charge possible ou non, autre arthralgie, œdème, rougeur, chaleur, EF • Cinétique • Fx pathologique : Premier épisode, densitométrie récente, ostéoporose, oncologique, complément VitD et Ca • Gériatrie : AVQ, marche seul ou aide</t>
  </si>
  <si>
    <t>Jambe raccourcie et en rotation ext. • Inspection/Palpation • Mouv actifs/passifs • Pouls, temps recoloration, sensibilité • Examen articulations à côtés, comparaison controlat.</t>
  </si>
  <si>
    <t>Luxation hanche • Fracture bassin • Contusion • Lésion genou • Arthrose hanche • Arthrite hanche</t>
  </si>
  <si>
    <t>Rx hanche/bassin + genou • Densitométrie</t>
  </si>
  <si>
    <t>Chirurgie +/- prothèse</t>
  </si>
  <si>
    <t>Douleur lombaire chez patient 40 ans =&gt; spondylarthrite ankylosante</t>
  </si>
  <si>
    <t>Douleur iliosacrale et vertébrale • Présente la nuit • Raideur matinale • Amélioré au mvt • Enthésopathies ? (Achille et tubérosité tibiale) • Arthrite d’autres articulations proches du tronc ? • Iritis ? Uvéite ? • RCUH/Crohn ?</t>
  </si>
  <si>
    <t>Sang : CRP et VS augmenté selon activité. Evtl légère anémie • HLA B27 • IRM (GOLDSTANDARD) • Rx permet de voir des modifs dues à l’inflammation (plus tardive)</t>
  </si>
  <si>
    <t>Sang : FSS, Na, K, Créat, Ca et PO4, VitD, PA et GGT, CRP et VS • Densitométrie osseuse : T&lt;- 2.5 • Rx en 2 plans</t>
  </si>
  <si>
    <t>Fx fibula</t>
  </si>
  <si>
    <t>Cas 38 amboss</t>
  </si>
  <si>
    <t>Caractériser la douleur • Hématome, tuméfaction, rougeur, chaleur • Marche possible ? • Première fois ? ATCD d’entorse ? • Tr sensi ? • Fx isolée rare =&gt; svt au niveau de la cheville (Weber) • ATTENTION syndrome des loges</t>
  </si>
  <si>
    <t>Inspection • Palpation • Status de la cheville • Palper toute la jambe ! • Hématome et gonflement • Mobilité douloureuse • (passif/actif) • Marche ! • Ne pas oublier pouls + neuro (sensitif)</t>
  </si>
  <si>
    <t>Fx tibiale • Fx calcanéum • Entorse</t>
  </si>
  <si>
    <t>Rx fibula F/P + Rx cheville F/P</t>
  </si>
  <si>
    <t>Prévoir contrôle ortho à 1 sem ? • Repos, glace, élévation • Weber A + B (non disloquée) plâtre pdt 6 semaines, béquille, prophylaxie antithrombotique • Autrement chirurgie</t>
  </si>
  <si>
    <t>Douleur articulaire genou D depuis 1J =&gt; Urgences</t>
  </si>
  <si>
    <t>Sang : CRP, VS • Rx en 2 plans • Arthrocentèse</t>
  </si>
  <si>
    <t>Épicondylite latéral (tennis elbow)</t>
  </si>
  <si>
    <t>Douleur à l’effort et à la pression • Douleur péjorée à la supination, fermeture du poing et extension dorsale du poignet • Caract. douleur, trauma ? atcd de trauma? première fois • Caract infl/mécanique des dlrs • Comme d’hab vu qu’on va donner des AINS important de savoir s’il a l’estomac solide</t>
  </si>
  <si>
    <t>Status du coude • Spécifique : douleur latérale à l’extension du coude contre résistance • Dlr à la palpation de l’épicondyle latéral lors de la flexion dorsale du poignet • Inspection, palpation, mouv passifs, (actifs) (flexion/extension/prosupination), force, sensi, réflexe, pouls, tests spécifiques • Comparer les deux côtés</t>
  </si>
  <si>
    <t>Bursite (AINS, repos)</t>
  </si>
  <si>
    <t>Rx en général ne montre rien</t>
  </si>
  <si>
    <t>Interrompre le sport, repos • AINS de courte durée • Physio • (Evtl Cortico injecté)</t>
  </si>
  <si>
    <t>Ménisque LCA</t>
  </si>
  <si>
    <t>Douleur genou après chute à ski</t>
  </si>
  <si>
    <t>Cinétique ? • Mvt de torsion du genou ? • A réussi à se lever dessus ? • a entendu un craquement • Sensation que ça lâche ? • Caract. douleur, hématome ? tuméfaction ? paresthésie, jambe froide ? • 1ere fois ? • ATCD + estomac solide ?</t>
  </si>
  <si>
    <t>Status genou complet</t>
  </si>
  <si>
    <t>Rupture LCA • Déchirure ménisque • Rupture ligaments collatéraux</t>
  </si>
  <si>
    <t>Rx en 2 plans pour exclure fx • IRM</t>
  </si>
  <si>
    <t>Attelle velcro • IRM à prévoir et selon résultat rdv chez spécialiste • Antalgie</t>
  </si>
  <si>
    <t>Douleur ++ jambe après tacle au foot chez jeune patient. ASPEC =&gt; Syndrome des loges =&gt; Urgences (on est dans un hôpital périphérique, dimanche aprèm)</t>
  </si>
  <si>
    <t>Douleur progressive et forte, paresthésie, pâleur, pire avec étirement/contraction des muscles • Sympt. Sensitivo-moteur</t>
  </si>
  <si>
    <t>Mesure de la pression invasive intracompartimentale (N&lt;10mmHg) ici 30- 40mmHg • Suivre Créat et CK (Rhabdomyolyse)</t>
  </si>
  <si>
    <t>1. Coiffe des rotateurs • 2. LCA et Ménisque</t>
  </si>
  <si>
    <t>CF plus haut</t>
  </si>
  <si>
    <t>Polymyalgia rheumatica</t>
  </si>
  <si>
    <t>Sympt. B et dépressives • Douleurs symétriques (surtout nuit) + raideur matinale épaule et hanches, attention développement d’un Horton possible ! Demander si céphalée, trouble vision, douleur à la mastication, dlr cuir chevelu</t>
  </si>
  <si>
    <t>Rachis + GALS</t>
  </si>
  <si>
    <t>Fibromyalgie • Dermato/polymyosite • Inclusion body myosite (IBM) • PR</t>
  </si>
  <si>
    <t>Sang : VS fortement élevée et CRP. Evtl anémie • ANA nég • FR nég • CK normales • Sono : typiquement bursite sous-acromiale ddc.</t>
  </si>
  <si>
    <t>Prednisone !</t>
  </si>
  <si>
    <t>Psychiatrie</t>
  </si>
  <si>
    <t>Schizophrénie</t>
  </si>
  <si>
    <t>Menuisier de 19 ans, s’est coupé la main et entend des voix (2eme épisode psychotique chez un patient déjà connu pour ca. =&gt; Schizophrénie)</t>
  </si>
  <si>
    <t>symptômes positifs : hallucination auditive ? olfactive ? sensitive ? visuelle? intermittent constant ? description? bienveillante malveillante ? est ce que vous avez l’impression d’entendre la pensée des gens (bizarre) ? vous avez l’impression d’être hors de votre corps ? Désillusion? • symptômes négatifs : apathie? diminution de la concentration ? dépression ? tristesse ? anhédonie ? suicide ? trouble du sommeil ? • Autres: risque d’hétéro ou auto agressivité, anamnèse familiale, épisode similaire, ttt, drogue, OH, tabac, support social, home</t>
  </si>
  <si>
    <t>niveau de conscience orientation (temps personne lieu) apparence, affect, langage (quantité vitesse contenu) pensée (sentiment d’irréalité de dépersonnalisation )perception(hallucination, illusion) délire, attention, mémoire (capacité d’apprentissage)</t>
  </si>
  <si>
    <t>schizophrénie • trouble de la personnalité • schizoide • schizotypique • trouble schizo- affectif • dépression avec élément psychotique</t>
  </si>
  <si>
    <t>TSH • toxicologie •</t>
  </si>
  <si>
    <t>hospitalisation mise en place d’un ttt antipsychotique 2ème génération (év. haldol en aigu)</t>
  </si>
  <si>
    <t>Dépression du postpartum</t>
  </si>
  <si>
    <t>Distinguer du Blues du PP () • Commence dans les 4 semaines suivant l’accouchement, dure 2-6 mois. Symptomatologie sévère: extrême désintérêt de l’enfant, suicide et idéation infanticide. Psychose rare (0.2%)</t>
  </si>
  <si>
    <t>Psychothérapie • SSRI court terme (d’après études ok même si allaite) • Si très sévère ou psychose: ECT</t>
  </si>
  <si>
    <t>Dépression chez la personne âgée</t>
  </si>
  <si>
    <t>Depuis quand, état dépressif, anhédonie, baisse de la concentration, perte de mémoire, fatigue, confusion/démence, facteur déclenchant, poids changeant, appétit, sommeil, anxiété, trouble du comportement, idée suicidaire, alcoolisme, accentuation trouble de la personnalité • Symptômes neuro • Relations, environnement, troubles métaboliques • Hallucinations?, Délire, anxiété, épisode maniaque avant? • Chez personne âgée : surtout symptômes somatiques ! • Médic, tabac, alcool, atcd, drogues • Eval gériatrique: AVQ, chute, incontinence etc •</t>
  </si>
  <si>
    <t>Examen thyroïde • Status psy (orientation, mémoire, attention)</t>
  </si>
  <si>
    <t>Hypothyroïdie • Déf. en B12 • Démence</t>
  </si>
  <si>
    <t>Imagerie cérébrale • Vitamine b12, électrolytes, bilan calorique, albumine, TSH, •</t>
  </si>
  <si>
    <t>Stress et mauvaise hygiène</t>
  </si>
  <si>
    <t>cf cas 16 Amboss</t>
  </si>
  <si>
    <t>Labo: TSH • ECG?</t>
  </si>
  <si>
    <t>Burn out/dépression</t>
  </si>
  <si>
    <t>Anamnèse et PEC</t>
  </si>
  <si>
    <t>Boulimie chez fille</t>
  </si>
  <si>
    <t>femme 24 ans, ne veut pas voir le médecin, vient sur ordre de sa mère, déni total de son problème</t>
  </si>
  <si>
    <t>Si patiente très fâchée, lui dire qu’on comprend qu’elle puisse être en colère, mais qu’on est là pour l’aider et que si elle est d’accord on va prendre un moment pour discuter avec elle. Rappeler le caractère confidentiel de l’entretien. • Qui lui a dire de venir? • Demander pourquoi sa mère veut qu’elle nous voit? Qu’est-ce qui l’inquiète? Si elle aborde les TCA, demander qu’est-ce qu’elle connaît de ça? Est-ce qu’elle connait qqun avec un trouble comme ça? Comment elle se comporte avec la nourriture? Qu’est-ce qu’elle mange dans un jour type? • Sinon entrer en contact via les conséquences qu’elle pourrait avoir de la boulimie (dents…) • Qu’est-ce qu’elle pense de son comportement? Est-ce qu’elle le trouve normal? • Comment elle le vit au quotidien? • Impact sur sa vie? • Qu’est-ce qu’elle ressent? • Emotions • Humeur • Anxiété • Suicide (auto-mutilation?) • Environnement socio-professionnel-familial • Essayer d’avoir des infos sur combien de fois elle a crise de boulimie, depuis quand, si y a comportements compensatoires (vomissements, laxatifs, sport, jeûn, diurétiques), un trigger, sentiment de perte de contrôle • Comment elle se décrirait physiquement? • Anamnèse du poids • Conséquence sur la santé: aménorrhée, pb dentaire, brûlure estomac, tuméfaction glandes salivaires, peau sèche/ongles cassants • Pas oublier trucs de base: AS, ATCD, OP, hosp, allergie, médic, AF (atcd psy, de tr alimentaire) • OH, tabac, drogue</t>
  </si>
  <si>
    <t>Anorexie • Hyperphagie</t>
  </si>
  <si>
    <t>FSS, électrolytes, créat, ASAT/ALAT • ECG</t>
  </si>
  <si>
    <t>Psychothérapie • SSRI</t>
  </si>
  <si>
    <t>Épisode maniaque • cf cas RESCOS 2018</t>
  </si>
  <si>
    <t>Anamnèse status et PEC (probable tb bipolaire de type 1)</t>
  </si>
  <si>
    <t>Pédopsy</t>
  </si>
  <si>
    <t>discussion avec mère d’un enfant de 8 ans ayant des problèmes d’apprentissage à l’école.</t>
  </si>
  <si>
    <t>Préciser quels problèmes: dyslexie, dysorthographie, dyscalculie, déficit d’attention, hyperactivité • En quelle classe? • Difficulté en quelles branches… • Langue maternelle, autres langues • Depuis quand? • Facteur déclencheur? • Comportement: à l’école (que dit sa maîtresse), à la maison, avec ses copains, Frères, soeurs • Activités extra-scolaires • Comment ça affecte les parents/l’enfant. • AS: infection récente, dyspnée, toux, fatigue, poids, appétit, dlr abdo, N/V, diarrhées/constipation • Énurésie? Céphalées, tr visuel, auditif? sensi, force, absence? convulsions, stéréotypie, fuit le contact • Humeur • Anamnèse grossesse (OH), périnatale: PREMA?? • Développement: marche, langage • ATCD, AF • Vaccin</t>
  </si>
  <si>
    <t>THADA • syndrome OH foetal • prématurité • psy • autisme • tr. conduite</t>
  </si>
  <si>
    <t>Eval neuropsy • EEG</t>
  </si>
  <si>
    <t>selon cause • prise en charge MDT • Ritaline (&gt;6y..).</t>
  </si>
  <si>
    <t>demande prescription Xanax</t>
  </si>
  <si>
    <t>demande une prescription de Xanax à une permanence médicale =&gt; anamnèse psy à effectuer (Pas un entretien motivationnel)</t>
  </si>
  <si>
    <t>Pourquoi elle veut ça? Qu’est-ce que ça lui apporte? Est-ce qu’elle en a déjà pris? Pour quelles raisons? Qu’est-ce qu’elle connaît de ça? Est-ce qu’elle est d’accord qu’on lui explique les ES potentiel etc. • Après anamnèse psy de base: humeur, anxiété, hallucination, délire, suicide, • Si anxiété, exclure qqch de somatique (hyperthyroïdie…) • Anamnèse personnelle, familiale, sociale, professionnelle • ATCD psy personnels et familiaux • OH, tabac, drogues •</t>
  </si>
  <si>
    <t>Status psy: • Orientation mémoire</t>
  </si>
  <si>
    <t>Psychose post- partum</t>
  </si>
  <si>
    <t>patiente ayant accouché il y a 2j (hôpital périph et il est 3h du matin)</t>
  </si>
  <si>
    <t>Comment s’est passé la grossesse? l’accouchement? la suite? • Comment va l’enfant? Relation avec lui. • Comment elle se sent? • Humeur • Anxiété • Hallucinations, délire • Risque suicide, infanticide • ATCD psy personnel, familiaux • Anamnèse gyn: autres grossesses? comment ça s’est passé? • Situation sociale, familiale, personnelle... • OH, tabac, drogue • Typique: délire mystique, idée de substitution ou subtilisation du bébé, déni de la maternité, du lien de paternité avec le conjoint, conviction que l’enfant va mourir/qu’il est malade, dépersonnalisation, déréalisation, angoisse majeure, labilité émotionnelle, incapacité de s’occuper du bébé et d’avoir une relation affective avec lui • Risque suicidaire et d’infanticide +++++</t>
  </si>
  <si>
    <t>Status psy: orientation, mémoire...</t>
  </si>
  <si>
    <t>ECA? • Schizophrénie • Tr schizo affectif</t>
  </si>
  <si>
    <t>Tel. psy de liaison • Hosp unité mère bébé • (les séparer avec visites) • ou hosp mère en psy et bébé en péd. • Ttt antipsychotique</t>
  </si>
  <si>
    <t>Palpitation</t>
  </si>
  <si>
    <t>jeune femme avec cause cardiaque exclue =&gt; cause anxiogène</t>
  </si>
  <si>
    <t>Tout au long de l’entretien, si patient.e a l’air anxieux.se : encourager à parler de son ressenti, rassurer en disant que n’importe qui se serait senti comme ça dans cette situation et dire qu’on prend au sérieux la plainte, représentation de</t>
  </si>
  <si>
    <t>Status psy, points du RESCOS (pertinence discutable) : • Orientation (temps, lieu, espace) • Mémoire (liste mots) • Demander de décrire l’humeur</t>
  </si>
  <si>
    <t>DD: anxiété, trouble anxieux, trouble panique ?</t>
  </si>
  <si>
    <t>?</t>
  </si>
  <si>
    <t>A discuter avec la patiente : Suivi chez généraliste, • arrêt de travail (selon</t>
  </si>
  <si>
    <t>Décompensation psychotique</t>
  </si>
  <si>
    <t>Jeune qui entend des voix qui le dévalorise</t>
  </si>
  <si>
    <t>Pédiatrie</t>
  </si>
  <si>
    <t>EF à 39°C + douleur de jambe/genou : Anamnèse a faire + reçoit une carte pour le status (léger œdème fémoral distal, genou un peu rouge et chaud). RX dans la norme. Labo : leucocytose, neutrophilie, VS et CRP augmentées. Pdt toute la consult le papa est anxieux.</t>
  </si>
  <si>
    <t>EG, fièvre et frissons • Douleur et gonflement local • Rougeur chaleur • Enfant : métaphyse os long • Adulte : vertèbres</t>
  </si>
  <si>
    <t>Labo : • Forte augmentation CRP et VS • Leucocytose avec svt déviation gauche • Hémocs !!! • RX svt dans la norme initialement • IRM pour précoce</t>
  </si>
  <si>
    <t>Bronchiolite à RSV</t>
  </si>
  <si>
    <t>Nourrisson de 3 mois : dyspnée avec grunting, tirage, marbrure + grosse baisse de l’EG. Période : fin décembre</t>
  </si>
  <si>
    <t>Fièvre élevée • Dyspnée, tachypnée, cyanose, grunting, BAN • Toux • Rhinorrhée, écoulement oreilles, se touche les oreilles • Rash • Contage, voyage • Crèche? • Signes de déshydratation: bouche/yeux sec, pipi, yeux enfoncés • Allaitement? Combien de x/j? • Vaccins • Grossesse, accouchement (P, T, PC, adaptation), développement •</t>
  </si>
  <si>
    <t>Tachypnée • Battement ailes du nez • Cyanose • Expirium prolongé</t>
  </si>
  <si>
    <t>Frottis naso- pharyngé pour test rapide • Labo • +/- Hémocs • Stix urinaire, culture •</t>
  </si>
  <si>
    <t>Hosp pour monitorer risque d’apnée • Hydrat • O2 + (B2 mimétique • Evtl adré • Evtl glucocort)</t>
  </si>
  <si>
    <t>Convulsion fébrile sur OMA</t>
  </si>
  <si>
    <t>Survient pdt la montée de la fièvre =&gt; svt premier sympt</t>
  </si>
  <si>
    <t>Caractériser les convulsions, durées, le plus svt tonico-clonique qui dure 2-3min et cesse spontanément • Typiquement fatigue post-ictale</t>
  </si>
  <si>
    <t>Recherche foyer infectieux • Attention méningite</t>
  </si>
  <si>
    <t>Labo si suspi méningite ou convulsion peu claire • PL obligatoire si moins de 18 mois (on ne peut pas différencier d une méningite)</t>
  </si>
  <si>
    <t>Ictère du NNé • Cas 37 Amboss • Cas 18 USMLE</t>
  </si>
  <si>
    <t>Âge? ictère du n-né est physiologique entre le 3-8ème jour • pathologique si débute &lt;24h après la naissance persiste &gt;1semaine et &gt;2 semaines chez les prématurés. • Toujours pathologique si augmentation de la bilirubine directe. • L’âge de l’enfant ? Depuis quand il présente un ictère ? Evolution de l’ictère ? Quelles parties du corps sont atteintes ? Est-ce que l’enfant a un abdomen distendu ? Vomissement ? Fréquence des selles ? Couleur ? Présence de sang dans les selles ? Fréquence urinaire ? Couleur urine? Combien de couche mouillée par jour ? Alimentation ? Fréquence ? Force de succion ? Pleurs vifs ? Est ce qu’il est bien éveillé ? Fièvre, infection récente, bouche</t>
  </si>
  <si>
    <t>pas d’examen si appel téléphonique • sinon inspection de la peau des muqueuses et sclères et examen abdo</t>
  </si>
  <si>
    <t>DD ictère physiologique • ictère sur sepsis • ictère sur incompatibilité ABO (la mère reçoit du anti D normalement ) • ictère sur allaitement</t>
  </si>
  <si>
    <t>labo : bili transcutanée • FSS • bilirubine directe et indirecte paramètre inflammatoire • Coombs test • groupe sanguin •</t>
  </si>
  <si>
    <t>Demander à la mère d’amener l’enfant pour l’examiner et faire les examens • sanguins (hémolyse problème de foie )</t>
  </si>
  <si>
    <t>Fièvre chez enfant de 5 ans</t>
  </si>
  <si>
    <t>Âge ? T°? Début ? évolution? Convulsion ? Episode précédent ? Dyspnée ? Stridor? Toux? Rhume ? Touche l’oreille ? Otorrhée? Ganglions ? Yeux rouges ? écoulement • Douleur abdominale? N/V? diarrhée ? • RASH? • Douleurs articulaires ? Anomalie de la marche ? Muqueuse sèche ? Pleurs ? Etat général ? Sommeil? Nourriture ? Boit ? Combien ? Combien de pampers mouillé/j ? • Contage ? Vaccins ? • Anamnèse pédiatrie (développement, grossesse, antécédent, anamnèse familiale)</t>
  </si>
  <si>
    <t>infection urinaire, gastro, méningite, ORL, infection respiratoire, ostéomyélite</t>
  </si>
  <si>
    <t>Demander de voir l’enfant pour l’examiner signe de déshydratation ? • recherche du foyer infectieux</t>
  </si>
  <si>
    <t>selon diagnostic</t>
  </si>
  <si>
    <t>Faux croup</t>
  </si>
  <si>
    <t>Vidéo à décrire au pédiatre puis anamnèse avec papa puis PfEC</t>
  </si>
  <si>
    <t>infection virale (parainfluenzae i), 4m-5ans, précédé par symptômes URTI. 3S: biphasic Stridor, subglottic Swelling, Seal bark cough. • Q: caractériser plainte (voir plus haut), âge, fièvre, tirage d’oreille, N/V, rash, pleurs/irritabilité, écoulement oeil/oreille, expectoration, dyspnée, tachypnée, bave, difficulté à parler, voix rauque, bruit respiratoire, acrocyanose, tirage, urine, sommeil, convulsions, déshydratation (pampers), voyage récent, contage ,vaccins, crèche, développement, appétit, dernière visite pédiatre</t>
  </si>
  <si>
    <t>Épiglottite • Trachéite bactérienne • CE • Sténose sous-glottique</t>
  </si>
  <si>
    <t>XR AP du cou: steeple sign</t>
  </si>
  <si>
    <t>Air frais • CS systémiques • Spray d’épinéphrine chaque 1-2h au besoin • Hosp si ne répond pas aux CS après 4h et que stridor persistent au repos • Intubation si sévère •</t>
  </si>
  <si>
    <t>Absence</t>
  </si>
  <si>
    <t>Enfant de 7 ans</t>
  </si>
  <si>
    <t>Anamnèse habituelle de l’enfant H&gt;F, quand, depuis quand? combien de fois, mouv membre?, PC? automatisme? morsure de langue, perte urine, selles, prodrome, durée, comment il est après? fièvre associée, trauma? vomissement, changement par rapport à d’habitude, fatigue, perte poids ? • Développement? • Comportement à l’école? • Anamnèse périnatale • Vaccin • (Absence: 5-10 secondes, jusqu’à 100/jours. Pas de convulsion. Regard dans le vide, impression que l’enfant rêve. Mouvements répétés (bouche, tête) PAS de phase postcritique! Trigger: hyperventilation, lumière)</t>
  </si>
  <si>
    <t>Status neuro!</t>
  </si>
  <si>
    <t>Autre type d’épilepsie Tumeur cérébrale Trauma crânien Hypoglycémie Convulsions fébriles •</t>
  </si>
  <si>
    <t>Anamnèse des parents!! EEG evt. Labo (glycémie, elytes, FSS, paramètres inflammatoires, si inflammation hémoc voir PL) Si suspicion de tum: IRM</t>
  </si>
  <si>
    <t>Anti épileptique (si absence: ethosuximide) • Référer au neurologue?</t>
  </si>
  <si>
    <t>Cataplexie du NNé = Mort du nourrisson ?</t>
  </si>
  <si>
    <t>Bébé trouvé mort dans le berceau : anamnèse avec la mère, status à lire, diagnostic = cataplexie du NNé</t>
  </si>
  <si>
    <t>Méningite/méningo- encéphalite</t>
  </si>
  <si>
    <t>EF et léthargie chez enfant de 10ans : Probable méningite/méningoencéphalite : tout sauf status a faire.</t>
  </si>
  <si>
    <t>fièvre ? céphalée ? raideur de nuque ? • Status neuro altéré ? • Convulsion? • Photophobie? • N/V? • Rash? • Infection récente ?(Otite, sinusite, immunosuppression) • Notion de trauma ? • perte de sensibilité ? force ? • Contage ? • Vaccin à jour ? • Voyage ?</t>
  </si>
  <si>
    <t>Status neuro • Surtout Kernig et Brudzinski • FO</t>
  </si>
  <si>
    <t>Tumeur cérébrale • Trauma</t>
  </si>
  <si>
    <t>FSS paramètre inflammatoire glycémie électrolytes • 2 paires d’hémocultures • PL CT ou CT d’abord si déficit neuro</t>
  </si>
  <si>
    <t>Ceftriaxone acyclovir dexaméthasone dans les 30 min • Si méningocoque ou Haemophilus (si pas vacciné) prophylaxie à tous les contacts étroit : rifampicine ou ceftriaxone 2j</t>
  </si>
  <si>
    <t>Acidocétose sur diabète inaugurale</t>
  </si>
  <si>
    <t>Acidocétose sur diabète inaugurale enfant de 10ans : vidéo de l’enfant, anamnèse avec la mère et PEC. •</t>
  </si>
  <si>
    <t>Événement précipitant • Polyurie, polydipsie, polyphagie ? Perte poids ? Énurésie secondaire ? Fatigue ? Déshydratation, vomissements, nausées, crampes musculaires dlr abdo, altération EC? Haleine particulière (comme fruits très mûrs ou dissolvant avec acétone). Respiration de Kussmaul (hyperventile ?) • Développement • Vaccins</t>
  </si>
  <si>
    <t>ABC, Status neuro TA • Abdo</t>
  </si>
  <si>
    <t>Infections (gastro, infection urinaire) Intoxication (ASS)</t>
  </si>
  <si>
    <t>FSS, glycémie, Elytes, Créat, urée, corps cétoniques, gazométrie, urine (corps cétoniques, glucose) evt culture.</t>
  </si>
  <si>
    <t>Hosp • HYDRATATION avec solution isotonique 0,9 NaCl 1L pendant 1ère heure, recompensation élytes, faire baisser le glucose lentement</t>
  </si>
  <si>
    <t>Énurésie 1° • Cf cas USMLE n°41</t>
  </si>
  <si>
    <t>Première consultation pour énurésie primaire (mais sec pdt 2 mois attention !!) chez enfant de 7 ans</t>
  </si>
  <si>
    <t>Demander fréquence, chronologie (depuis toujours ? Toutes les nuits ? La journée aussi incontinence ?) Quantité d’urine, déjà essayé des méthodes (médics, interventions, alarmes ?) • Comment le problème affecte l’enfant/parents/vie de famille ? • Comment vous réagissez ? Gronder ? Féliciter si sec ? • Facteurs aggravants/soulageant ? Stress modifie le symptôme ? • Mange et boit le soir ? • Anamnèse urinaire (dysurie, urgence urinaire, couleur, hématurie) • Anamnèse abdo : constipation, douleur ventre ? • Sommeil : ronfle ? Se réveille souvent ? • Changements d’environnement ? • -stress à l’école, à la maison, amis ? • -histoire familiale d’énurésie ? • - atcd généraux (OP/maladies, naissance, poids, taille, développement, particulièrement ATCD neuro) • Médics, allergies • Vaccins</t>
  </si>
  <si>
    <t>Sûrement cas téléphonique ou uniquement en présence du parent, normalement pas de status</t>
  </si>
  <si>
    <t>Énurésie monosymptomatique primaire (dx d’exclusion, peut être familial) • Infection urinaire • Énurésie secondaire, si le patient à été sec pendant &gt;6mois, (dû à trauma, divorce parents, etc) • Constipation • Apnée du sommeil • Troubles fonctionnels de la vessie</t>
  </si>
  <si>
    <t>Status génital, • Stix • Sédiment et culture d’urines • Éventuellement évoquer US rénal, Créat, etc…</t>
  </si>
  <si>
    <t>Dire qu’on veut examiner l’enfant tout d’abord, options de traitement selon ce qu’on trouve à l’examen… si c’est énurésie primaire monosymptomatique : • Alarmes qui sonnent quand la culotte est mouillée • Médics en 2ème intention : desmopressine • Pas besoin de traiter s’il a &lt; 6 ans</t>
  </si>
  <si>
    <t>Ictère du NNé</t>
  </si>
  <si>
    <t>Papa veut qu’on lui explique les vaccins pour son bb de 2 mois sans être réticents</t>
  </si>
  <si>
    <t>Empathie et non jugement, explorer les croyances et les volontés des parents • Voir ce que connaît déjà le papa, compléter ses connaissances • Voir ce qu’il veut savoir • Expliquer les bénéfices : protection de groupe, prévenir les conséquences des maladies, garder les maladies éradiquées éradiquées, c’est plus sûr de les faire que les risques de les avoir. Diminue le risque de la mort</t>
  </si>
  <si>
    <t>Urgences</t>
  </si>
  <si>
    <t>Dyspnée et Douleurs Thoraciques post chute</t>
  </si>
  <si>
    <t>femme de 25 ans, chute à vélo il y a 3j, consulte pour douleurs latero-thoracique gauche avec dyspnée. Status : hématomes + douleurs hypochondres gauches. =&gt; RX thorax/grille costal costal pour fractures de côtes (+ pneumothorax ?) et US abdo à la recherche d’une rupture splénique + donner antalgie ?</t>
  </si>
  <si>
    <t>Vieille retrouvée au sol</t>
  </si>
  <si>
    <t>petite vieille amenée aux urgences en ambulance, car retrouvée par terre par son mari. A des vertiges en se levant. Sous amlodipine et ramipril. ECG : FC à 40, QRS large, sous décalage ST et T inversées. •</t>
  </si>
  <si>
    <t>cardiaque • pulm • neuro vite fait</t>
  </si>
  <si>
    <t>BAV 3ème degré • NSTEMI •</t>
  </si>
  <si>
    <t>ECG • trop, CK</t>
  </si>
  <si>
    <t>Pour BAV3 : • si stable : pacing externe • si instable (TA basse, DRS, OAP, glasgow abaissé), atropine ou isoprénaline et pacing externe</t>
  </si>
  <si>
    <t>Méningite?</t>
  </si>
  <si>
    <t>Céphalée et fièvre chez une jeune patiente =&gt; urgences avec infirmière à disposition •</t>
  </si>
  <si>
    <t>caractériser la céphalée, EF, lésion cutanée, nausée, vomissement, phot phonophobie, écoulement lacrymal, • Trouble sensitif, troubles moteurs, convulsion, traumatisme • Contage • Atcd, voyage, vaccination, allergies, tabac, alcool, drogues</t>
  </si>
  <si>
    <t>Neuro complet, Glasgow, raideur de nuque, fond d’œil, meningisme: Kernig, Brudzinski • Sepsis : FC 130, TAsys &lt; 90, FR &gt; 25, anurie, lactate &gt; 4 sévère •</t>
  </si>
  <si>
    <t>Encéphalite, masse tumorale, •</t>
  </si>
  <si>
    <t>FSC, CRP, VS, lactate, Hb, bili, INR, plaquettes, gazo avec lactates • Hémocultures (2 paires) • Glucose • CT si besoin, PL •</t>
  </si>
  <si>
    <t>SI sepsis : O2, fluides cristalloïdes iv, AB Ceftriaxone 2g • Glucocorticoïdes iv •</t>
  </si>
  <si>
    <t>Obnubilation chez jeune homme. Infirmier à disposition</t>
  </si>
  <si>
    <t>Fx bassin • Cf cas RESCOS 2018 6e</t>
  </si>
  <si>
    <t>Traumatisme post AVP chez jeune : ABCDE : Fracture du bassin. Infirmier est à disposition. •</t>
  </si>
  <si>
    <t>Tachycardie supraventriculaire à réentrée?</t>
  </si>
  <si>
    <t>femme jeune avec dyspnée aiguë</t>
  </si>
  <si>
    <t>valsalva, massage sinus, adénosine, diltiazem, electrophysiologie •</t>
  </si>
  <si>
    <t>Palpitations (tb électrolytiques?)</t>
  </si>
  <si>
    <t>-Jeune patiente avec sensation de palpitations résolues à l’arrivée aux urgences. (ECG à interpréter et prise de sang (Tb électrolytiques ?) •</t>
  </si>
  <si>
    <t>Décrire palpitations • Depuis quand? Durée, première fois? SA: dyspnée, drs, sudations, angoisse, PC? • N/V, diarrhées? • Sympt thyroïde</t>
  </si>
  <si>
    <t>Cardio pulm</t>
  </si>
  <si>
    <t>Tr rythme WPW? • Psy • Hypokaliémie (T plat)/hyperkaliémie (T pointue) • Anémie • Hyperthyroïdie</t>
  </si>
  <si>
    <t>ECG • Labo: FSS, Na, K, créat • gazo</t>
  </si>
  <si>
    <t>Selon cause: • insuline glucose • sodium bicarbonate • Hémodialyse • KCl</t>
  </si>
  <si>
    <t>Chute à vélo</t>
  </si>
  <si>
    <t>Trauma thoracique et épaule suite à chute à vélo. Fx clavicule =&gt; prise en charge complète</t>
  </si>
  <si>
    <t>Chuté comment? quelle vitesse? quand? Casque? trauma crânien? PC? AC? Céphalées, tr visuel, dyspnée, toux,... • Dlr? → caractériser</t>
  </si>
  <si>
    <t>ABCDE? • Sinon cardio-pulm- abdo-épaule-clavicule • Vérifier qu’il n’y a pas</t>
  </si>
  <si>
    <t>Pneumothorax • Rupture rate • Contusion pulm • Fracture côtes</t>
  </si>
  <si>
    <t>Rx</t>
  </si>
  <si>
    <t>Attelle 4-6sem • (sauf si déplacé ou très raccourci ou si # latérale instable)</t>
  </si>
  <si>
    <t>Pneumonie chez ancien tox</t>
  </si>
  <si>
    <t>Anamnèse rapide • Si jms reprendre anamnèse quand patient stabilisé</t>
  </si>
  <si>
    <t>2 paires d’hémocs • Culture expecto • Urine: antigène pneumocoque • Gazo, sat • Labo • Rx • HIV? Virémie, taux CD4</t>
  </si>
  <si>
    <t>•</t>
  </si>
  <si>
    <t>ECG • Angio CT</t>
  </si>
  <si>
    <t>Urologie</t>
  </si>
  <si>
    <t>Prostatisme?</t>
  </si>
  <si>
    <t>Homme 70 ans, difficulté à uriner, pas d’autres plaintes. Status : gêne suspubienne + TR a faire sur un mannequin. PEC : dosage PSA + US prostatique. •</t>
  </si>
  <si>
    <t>Difficultés initier miction, maintenir flux, jet faible, dribbling, urgence, nycturie, dysurie, pollakiurie, hématurie, fièvre, poids, asthénie, appétit, sudations nocturnes, dlr abdo, dlr dos</t>
  </si>
  <si>
    <t>Abdo • TR • Percuter loges rénales • Dos: percussion, palpation</t>
  </si>
  <si>
    <t>HBP • Carcinome prostate • Prostatite</t>
  </si>
  <si>
    <t>Stick urinaire • Labo • PSA • US prostate</t>
  </si>
  <si>
    <t>alpha bloqueur • chir</t>
  </si>
  <si>
    <t>Caractériser la douleur, EF, symptômes urinaires irritatifs, douleur lombaires, nausées vomi, diarrhées, constipation, hématurie, caillot • Nombres d’épisodes dans le passé • Atcd (infection urinaire, lithiases, diabète, ), tabac, alcool, drogue, voyage, symptômes B • Homme : hyperplasie prostate connue, jet faible • Femme : grossesse actuelle • Anamnèse sexuelle et gyn (pertes, prurit, saignement, dyspareunie) •</t>
  </si>
  <si>
    <t>Abdominal : loges rénales, TR •</t>
  </si>
  <si>
    <t>- Infection urinaire simple, prostatite, lithiase, spondylodiscite •</t>
  </si>
  <si>
    <t>Urines : stix, cultures • (PCR chlamydia, gono) • FSS, CRP, créat • Test de grossesse • Hémocultures chez patient hospitalisé • +/- US abdominal si : • Persistance des symptômes 48-72 heures après début AB • Pyélo compliquée • Suspicion de lithiase • Hématurie persistante • Diabète • Antcd d’une opération uro-génitale • Immunosuppression • Pyélo récidivante • urosepsis •</t>
  </si>
  <si>
    <t>- Chez femme enceinte : Amoxi-clav p.os, céphalosporines 3 -ème génération. • Si compliquée : pip-tazo • - Non compliquée : ciprofloxacine 500 mg 7jours • - Critère d’hospitalisation : pyélo compliquée, comorbidité, patient âgé, femme enceinte •</t>
  </si>
  <si>
    <t>Diagnostic clinique • Dosage des hormones: testo, prolactine, TSH, LH/FSH • HbA1c, lipides • Phallographie (mesure les érections nocturnes) • US doppler du pénis</t>
  </si>
  <si>
    <t>Cancer vésical • Cf cas 2 USMLE</t>
  </si>
  <si>
    <t>Hématurie macro + caillot de sang, patient âgé • (tout sauf ttt)</t>
  </si>
  <si>
    <t>Quantité, caillots? A quel moment de la miction? Première fois, combien de fois, depuis quand, progression, à constant/intermittent, dlr, dysurie, pollakiurie, difficulté à initier miction, jet faible, dribbling, sensation vessie pas vidée • Fièvre, frisson, poids, asthénie, appétit, sudations nocturnes • Trauma? • N/V, diarrhées, constipation • Travail: attention si peintre par ex</t>
  </si>
  <si>
    <t>Abdo: TR • Uro: loges rénales • Examen génital</t>
  </si>
  <si>
    <t>Lithiase • Carcinome rénal • GN (Berger) • IU</t>
  </si>
  <si>
    <t>Stix urinaire, culture • Labo • Cystoscopie • US rénal</t>
  </si>
  <si>
    <t>Référer</t>
  </si>
  <si>
    <t>IU basse chez l’homme d'âge moyen =&gt; ne pas oublier TR</t>
  </si>
  <si>
    <t>Dysurie, pollakiurie, urgence, hématurie, dlr loges rénales, fièvre, frissons? dlr périnéale, pire à la défécation • Anamnèse sexuelle • Intervention uro récente? • Douleur à l’éjaculation • Sympt de HBP</t>
  </si>
  <si>
    <t>Stix, culture • Labo: FSC, VS, CRP, créat, électrolytes • Frottis pour chlamydia, gono si risque</t>
  </si>
  <si>
    <t>Stix, créat, glucose, électrolytes • Calendrier mictionnel • US vésical, US prostatique • Cystoscopie, • Examen urodynamique</t>
  </si>
  <si>
    <t>Vasculaire</t>
  </si>
  <si>
    <t>Douleur jambe</t>
  </si>
  <si>
    <t>Homme d'âge moyen avec douleur soudaine et intense à la jambe droite depuis 2 heures pendant le jardinage. Allongé sur le lit et incapable de marcher. </t>
  </si>
  <si>
    <t>Cardio</t>
  </si>
  <si>
    <t>Péricardite / Périmyocardite</t>
  </si>
  <si>
    <t>À l'ECG, élévation du segment ST de V1 à V6, ne peut être examiné en position allongée. Antécédents d'infection. </t>
  </si>
  <si>
    <t>Psy</t>
  </si>
  <si>
    <t>Tachycardie (TSV / WPW / psychogène)</t>
  </si>
  <si>
    <t>Hypertension</t>
  </si>
  <si>
    <t>Éruption cutanée</t>
  </si>
  <si>
    <t>Communication</t>
  </si>
  <si>
    <t>Fatigue</t>
  </si>
  <si>
    <t>Hypothyroïdie / Hyperthyroïdie / De Quervain</t>
  </si>
  <si>
    <t>Gastro</t>
  </si>
  <si>
    <t>Ictère</t>
  </si>
  <si>
    <t>Diarrhée</t>
  </si>
  <si>
    <t>Diarrhées (toutes causes)</t>
  </si>
  <si>
    <t>MPR</t>
  </si>
  <si>
    <t>Bilan</t>
  </si>
  <si>
    <t>OMA / Conjonctivite / Sinusite</t>
  </si>
  <si>
    <t>Douleur abdominale</t>
  </si>
  <si>
    <t>Hépatite (virale / alcoolique / chronique)</t>
  </si>
  <si>
    <t>Gynéco</t>
  </si>
  <si>
    <t>IST / Syphilis / Vaginose / PID</t>
  </si>
  <si>
    <t>Infectio</t>
  </si>
  <si>
    <t>Fièvre</t>
  </si>
  <si>
    <t>FUO / FUO + neutropénie</t>
  </si>
  <si>
    <t>Parésie</t>
  </si>
  <si>
    <t>Céphalée</t>
  </si>
  <si>
    <t>Céphalées / Migraine / Cluster</t>
  </si>
  <si>
    <t>Amaurose</t>
  </si>
  <si>
    <t>Ophtalmo</t>
  </si>
  <si>
    <t>OACR / DMLA</t>
  </si>
  <si>
    <t>Scarlatine / Angine streptococcique / Pharyngite</t>
  </si>
  <si>
    <t>Péd</t>
  </si>
  <si>
    <t>Diabète</t>
  </si>
  <si>
    <t>Acido-cétose sur diabète inaugural de type 1</t>
  </si>
  <si>
    <t>Douleur testiculaire</t>
  </si>
  <si>
    <t>Pneumo</t>
  </si>
  <si>
    <t>Trouble de l'humeur</t>
  </si>
  <si>
    <t>Trouble anxieux / phobie sociale</t>
  </si>
  <si>
    <t>Anxieté / PTSD </t>
  </si>
  <si>
    <t>Uro</t>
  </si>
  <si>
    <t>Incontinence</t>
  </si>
  <si>
    <t>Incontinence urinaire (effort / urgence)</t>
  </si>
  <si>
    <t>Douleur dorsale</t>
  </si>
  <si>
    <t>Brûlures mictionnelles</t>
  </si>
  <si>
    <t>Infection urinaire / Pyélonéphrite / Prostatite</t>
  </si>
  <si>
    <t>Engourdissement / faiblesse musculaire</t>
  </si>
  <si>
    <t>Malaise</t>
  </si>
  <si>
    <t>Infarctus / STEMI / SCA</t>
  </si>
  <si>
    <t>Insuffisance cardiaque / Décompensation</t>
  </si>
  <si>
    <t>Eczéma / Dermatite (atopique / contact)</t>
  </si>
  <si>
    <t>Diagnostic d'eczéma </t>
  </si>
  <si>
    <t>Prurit</t>
  </si>
  <si>
    <t>Urticaire (allergique)</t>
  </si>
  <si>
    <t>Diabète type 2</t>
  </si>
  <si>
    <t>Pancréatite (biliaire / alcoolique)</t>
  </si>
  <si>
    <t>Grossesse (GEU / Prééclampsie)</t>
  </si>
  <si>
    <t>Cancer pulmonaire / Tuberculose</t>
  </si>
  <si>
    <t>Anémie (ferriprive / post-partum)</t>
  </si>
  <si>
    <t>MSQ</t>
  </si>
  <si>
    <t>Fractures (sites variés)</t>
  </si>
  <si>
    <t>Douleur épaule</t>
  </si>
  <si>
    <t>Syndrome du canal carpien / Coiffe des rotateurs</t>
  </si>
  <si>
    <t>Chute / traumatisme</t>
  </si>
  <si>
    <t>HSA / HSD</t>
  </si>
  <si>
    <t>Instabilité à la marche </t>
  </si>
  <si>
    <t>DMLA / Cataracte / Glaucome aigu</t>
  </si>
  <si>
    <t> reçoit des images d'une fundoscopie lorsqu'elle la fait (il n'y avait pas assez de temps). 
 dégénérescence maculaire liée à l'âge avec métamorphopsie anamnestique dans un œil. Dans l'autre œil, hémorragies autour des bourgeons (probablement rétinopathie diabétique) avec une tache noire autour du fond d'œil (d'après Optha-Basic, je pense qu'il s'agit d'une néovascularisation choroïdienne).</t>
  </si>
  <si>
    <t>Douleur oculaire</t>
  </si>
  <si>
    <t>Dysphagie</t>
  </si>
  <si>
    <t>Anamnèse, examen (+ commentaire sur ce qui est fait à la patiente), discussion des DD/procédures.
Anamnèse : fièvre, difficultés à avaler ; depuis environ 3 jours, déjà eu plusieurs fois cette année, enseignante au jardin d'enfants, enfants malades au jardin d'enfants. Pas d'otite, otospongiose opérée avec succès il y a 5 ans.
Examen de la bouche. La langue n'est pas humide, gorge : l'examinateur s'étire avec des amygdales gonflées et des dépôts blancs, 
Otoscopie non significative. Fournit des photos avec amygdales rouges et test Strepto rapide positif sur demande. Léger trismus et limitation de la rotation de la colonne cervicale.</t>
  </si>
  <si>
    <t>Trouble de l'audition</t>
  </si>
  <si>
    <t>Otosclérose / Trouble de l'audition</t>
  </si>
  <si>
    <t>Otosclérose </t>
  </si>
  <si>
    <t>Douleur genou</t>
  </si>
  <si>
    <t>BPCO (entretien / exacerbation)</t>
  </si>
  <si>
    <t>Psychose / épisode psychotique / substance-induite</t>
  </si>
  <si>
    <t>Episodes psychotique chez un schizophrène </t>
  </si>
  <si>
    <t>Douleur thoracique et dyspnée persístante multi-investiguée (psychosomatique)</t>
  </si>
  <si>
    <t>Trouble de la mémoire / Démence</t>
  </si>
  <si>
    <t>Dysurie</t>
  </si>
  <si>
    <t>Vomissement</t>
  </si>
  <si>
    <t>Diarrhée du voyageur / Gastro-entérite</t>
  </si>
  <si>
    <t>Ulcère gastrique / perforé</t>
  </si>
  <si>
    <t>Procréation</t>
  </si>
  <si>
    <t>Infertilité (femme)</t>
  </si>
  <si>
    <t>Douleur bras</t>
  </si>
  <si>
    <t>Paralysie</t>
  </si>
  <si>
    <t>Trouble de la vision</t>
  </si>
  <si>
    <t>Trouble vision </t>
  </si>
  <si>
    <t>Bronchite aiguë / chronique</t>
  </si>
  <si>
    <t>Trouble de l’humeur</t>
  </si>
  <si>
    <t>Anxiété</t>
  </si>
  <si>
    <t>Troubles du sommeil</t>
  </si>
  <si>
    <t>Rhumato</t>
  </si>
  <si>
    <t>Lichen plan / Lupus / Collagénoses</t>
  </si>
  <si>
    <t>Urg</t>
  </si>
  <si>
    <t>Anesth</t>
  </si>
  <si>
    <t>Bilan pré-anesth </t>
  </si>
  <si>
    <t> anamnèse, status, examen complémentaire, diagnostic. (Angor stable, dyspnée, souffle de sténose aortique).</t>
  </si>
  <si>
    <t>Diagnostic d'acné  + prise en charge</t>
  </si>
  <si>
    <t>Trouble de la pigmentation</t>
  </si>
  <si>
    <t>Gale / Teigne / Mycose</t>
  </si>
  <si>
    <t>Gastrite / Œsophagite / RGO</t>
  </si>
  <si>
    <t>Grosseur mammaire</t>
  </si>
  <si>
    <t>Paralysie faciale</t>
  </si>
  <si>
    <t>Conjonctivite / Kératite / Zona ophtalmique</t>
  </si>
  <si>
    <t>Vertige vestibulaire (Ménière / Névrite)</t>
  </si>
  <si>
    <t>Neuronite Vestibulaire </t>
  </si>
  <si>
    <t>Absences</t>
  </si>
  <si>
    <t>Épilepsie / Absences</t>
  </si>
  <si>
    <t>Décès infantile</t>
  </si>
  <si>
    <t>Pneumonie / Grippe</t>
  </si>
  <si>
    <t>TCA</t>
  </si>
  <si>
    <t>Boulimie / TCA</t>
  </si>
  <si>
    <t>Trouble de la vigilance</t>
  </si>
  <si>
    <t>Lésions cutanées</t>
  </si>
  <si>
    <t>VIH / Sarcome de Kaposi</t>
  </si>
  <si>
    <t>Lésions nodulaires violet-brun sur MI </t>
  </si>
  <si>
    <t>Stevens-Johnson / Nécrolyse épidermique</t>
  </si>
  <si>
    <t>Plaie / Ulcère cutané</t>
  </si>
  <si>
    <t>Colite à Clostridium</t>
  </si>
  <si>
    <t>Leucémie (probable)</t>
  </si>
  <si>
    <t>Pollakiurie</t>
  </si>
  <si>
    <t>Ménorragie</t>
  </si>
  <si>
    <t>Douleur coude</t>
  </si>
  <si>
    <t>Épicondylite / De Quervain</t>
  </si>
  <si>
    <t>Trouble de la marche</t>
  </si>
  <si>
    <t>Hydrocephalie à pression normale </t>
  </si>
  <si>
    <t>Un homme de 77 ans est tombé. Tension artérielle d'environ 113/85 (je pense qu'elle était légèrement inférieure), autres signes vitaux normaux. Vertiges orthostatiques et chutes nocturnes, état neurologique normal. Antécédents, examen, DD/procédures à discuter avec le patient.
Antécédents de chutes, surtout la nuit, pas de vertiges ( ?), pas de signes de maladie de Parkinson/démence. 
Pas de maladie antérieure, le médecin lui a donné un médicament BD supplémentaire (je ne sais pas lequel). Il a également reçu de sa femme de la lévopromazine (NL) parce qu'il avait peur de tomber. Il a également pris de la métoclopramide, a failli tomber en se levant de sa chaise pour l'examen, Schellong : la pression a fortement diminué en se levant (le pouls a été oublié), sinon aucun résultat.</t>
  </si>
  <si>
    <t>Tumeur / Métastases cérébrales</t>
  </si>
  <si>
    <t> probable métastase cérébrale de cancer du sein (Anamnèse, status, investigations)</t>
  </si>
  <si>
    <t>Polyurie</t>
  </si>
  <si>
    <t>Diabète type 1 / Acido-cétose</t>
  </si>
  <si>
    <t>Consentement / Capacité / HEADSSS</t>
  </si>
  <si>
    <t>Hématurie</t>
  </si>
  <si>
    <t>MICI (Crohn / RCUH)</t>
  </si>
  <si>
    <t>Hypotension</t>
  </si>
  <si>
    <t>Choc septique / anaphylactique / hémorragique</t>
  </si>
  <si>
    <t>Choc septique sur pneumonie </t>
  </si>
  <si>
    <t>Perte de force subite transitoire dans la jambe, </t>
  </si>
  <si>
    <t>Canal lombaire étroit / Hernie discale</t>
  </si>
  <si>
    <t>Syndrome de Cushing / Prolactinome</t>
  </si>
  <si>
    <t>Énurésie</t>
  </si>
  <si>
    <t>Vaccination / voyage</t>
  </si>
  <si>
    <t>Jeune qui entend des voix qui le dévalorisent</t>
  </si>
  <si>
    <t>Palpitations </t>
  </si>
  <si>
    <t>Douleurs articulaires</t>
  </si>
  <si>
    <t>Fibromyalgie; Dermato/polymyosite</t>
  </si>
  <si>
    <t>Brûlure (2e degré)</t>
  </si>
  <si>
    <t>Douleur périnéale</t>
  </si>
  <si>
    <t>Fatigue chez un homme </t>
  </si>
  <si>
    <t>Syncope (vaso-vagale / cardiaque)</t>
  </si>
  <si>
    <t>Réactions cutanées allergiques / bulleuses</t>
  </si>
  <si>
    <t>Zona</t>
  </si>
  <si>
    <t>Saignement vaginal</t>
  </si>
  <si>
    <t>Douleur cervicale</t>
  </si>
  <si>
    <t>Traumatisme de l'œil </t>
  </si>
  <si>
    <t>Retard croissance staturo-pondérale</t>
  </si>
  <si>
    <t>Sevrage alcoolique / Delirium tremens</t>
  </si>
  <si>
    <t>ECA sur Delirium Tremens </t>
  </si>
  <si>
    <t>Douleur hanche</t>
  </si>
  <si>
    <t>Coxarthrose / Chondrocalcinose</t>
  </si>
  <si>
    <t>Chirurgie</t>
  </si>
  <si>
    <t>Lâchage d’anastomose</t>
  </si>
  <si>
    <t>Douleur à la cheville suite à chute à vélo chez jeune fille </t>
  </si>
  <si>
    <t>Douleur faciale</t>
  </si>
  <si>
    <t>Douleur gorge</t>
  </si>
  <si>
    <t>L'infirmier perturbait l'ABCDE en proposant l'ECG ou le remplissage au mauvais moment </t>
  </si>
  <si>
    <t>Fibroadénome / Polype / Myome</t>
  </si>
  <si>
    <t>Teigne? Eczema? Parasitose? </t>
  </si>
  <si>
    <t>Lombalgie / Lumbago</t>
  </si>
  <si>
    <t>Ulcère veineux </t>
  </si>
  <si>
    <t>Plaie malléole interne </t>
  </si>
  <si>
    <t>Plaques visage </t>
  </si>
  <si>
    <t>Majoration toux chronique + 1 épisode  d'hémoptysie chez patient 58 ans 30 UPA connu pour une BPCO nouvellement diagnostiqué il y a 1 un mais qui selon patient durait depuis 20 ans</t>
  </si>
  <si>
    <t>Chondrocalcinose </t>
  </si>
  <si>
    <t>Informations sur pilule contraceptive femme 18 ans sexuellement active </t>
  </si>
  <si>
    <t>Syncope chez femme 32 ans au supermaché </t>
  </si>
  <si>
    <t>Ralentissement moteur femme 60 ans </t>
  </si>
  <si>
    <t>Paresthésies</t>
  </si>
  <si>
    <t>Anévrysme, thrombose cérébrale</t>
  </si>
  <si>
    <t>Station dossier</t>
  </si>
  <si>
    <t>AVC / AIT / post-AVC</t>
  </si>
  <si>
    <t>Tache rouge sur les mains</t>
  </si>
  <si>
    <t>PTI</t>
  </si>
  <si>
    <t>Suivi post-méningite</t>
  </si>
  <si>
    <t>Réduction alcool</t>
  </si>
  <si>
    <t>Douleur à la miction</t>
  </si>
  <si>
    <t>Œdème périauriculaire</t>
  </si>
  <si>
    <t>Troubles de la vision avec céphalées et écoulement mammaire</t>
  </si>
  <si>
    <t>Encéphalopathie hépatique, encéphalopathie de Wernicke</t>
  </si>
  <si>
    <t>Douleurs abdominales et vomissements</t>
  </si>
  <si>
    <t>Discussion réanimation</t>
  </si>
  <si>
    <t>Troubles auditifs</t>
  </si>
  <si>
    <t>Embolie pulmonaire post-accouchement</t>
  </si>
  <si>
    <t>Pneumonie, asthme</t>
  </si>
  <si>
    <t>Suivi HTA</t>
  </si>
  <si>
    <t>Diarrhée sanglante</t>
  </si>
  <si>
    <t>Maladie de Crohn, origine infectieuse</t>
  </si>
  <si>
    <t>Paresthésies + faiblesse main droite + symptômes B</t>
  </si>
  <si>
    <t>Discussion traitement otite</t>
  </si>
  <si>
    <t>Vomissements répétés</t>
  </si>
  <si>
    <t>Saignements des gencives + ictère</t>
  </si>
  <si>
    <t>Nodule mammaire</t>
  </si>
  <si>
    <t>Hématome médial au bras</t>
  </si>
  <si>
    <t>Yeux rouges + prurit</t>
  </si>
  <si>
    <t>Lésions cutanées multiples</t>
  </si>
  <si>
    <t>Douleurs lombaires aiguës</t>
  </si>
  <si>
    <t>Métastases osseuses</t>
  </si>
  <si>
    <t>Année 2024</t>
  </si>
  <si>
    <t>Poste</t>
  </si>
  <si>
    <t>Cas</t>
  </si>
  <si>
    <t>Intitulé</t>
  </si>
  <si>
    <t>Résultat</t>
  </si>
  <si>
    <t>GP</t>
  </si>
  <si>
    <t>Gschwend (part A)</t>
  </si>
  <si>
    <t>insuffisant</t>
  </si>
  <si>
    <t>Burgener</t>
  </si>
  <si>
    <t>Russo</t>
  </si>
  <si>
    <t>Douleurs du dos</t>
  </si>
  <si>
    <t>suffisant</t>
  </si>
  <si>
    <t>Alder</t>
  </si>
  <si>
    <t>Renouvellement ordonnance</t>
  </si>
  <si>
    <t>Da Silva</t>
  </si>
  <si>
    <t>Bodmer</t>
  </si>
  <si>
    <t>Difficultés à la marche</t>
  </si>
  <si>
    <t>Blanc</t>
  </si>
  <si>
    <t>Fièvre fils</t>
  </si>
  <si>
    <t>Krähenbühl</t>
  </si>
  <si>
    <t>Éruption sur les mains</t>
  </si>
  <si>
    <t>Corti</t>
  </si>
  <si>
    <t>Gschwend (part B)</t>
  </si>
  <si>
    <t>Case presentation</t>
  </si>
  <si>
    <t>Moret</t>
  </si>
  <si>
    <t>Dégradation état général</t>
  </si>
  <si>
    <t>Fabbri</t>
  </si>
  <si>
    <t>Douleurs à la jambe</t>
  </si>
  <si>
    <t>Total points</t>
  </si>
  <si>
    <t>Seuil de réussite</t>
  </si>
  <si>
    <t>Statut</t>
  </si>
  <si>
    <t>Échoué</t>
  </si>
  <si>
    <t>Année 2025</t>
  </si>
  <si>
    <t>Graf (336)</t>
  </si>
  <si>
    <t>Hofer (401)</t>
  </si>
  <si>
    <t>Douleurs abdominales et diarrhée</t>
  </si>
  <si>
    <t>Cattaneo (248)</t>
  </si>
  <si>
    <t>Blessure jambe gauche</t>
  </si>
  <si>
    <t>Alves (307)</t>
  </si>
  <si>
    <t>État confusionnel</t>
  </si>
  <si>
    <t>Raschle (403)</t>
  </si>
  <si>
    <t>Perte d’audition</t>
  </si>
  <si>
    <t>Pagani (273)</t>
  </si>
  <si>
    <t>Troubles visuels</t>
  </si>
  <si>
    <t>Vial (411)</t>
  </si>
  <si>
    <t>Mal au ventre enfant</t>
  </si>
  <si>
    <t>Monnier (254)</t>
  </si>
  <si>
    <t>Solari (412)</t>
  </si>
  <si>
    <t>Difficultés respiratoires</t>
  </si>
  <si>
    <t>Keller (279)</t>
  </si>
  <si>
    <t>Contrôle tension artérielle et analyses laboratoire</t>
  </si>
  <si>
    <t>Ackermann (410)</t>
  </si>
  <si>
    <t>Entretien sur le statut de réanimation</t>
  </si>
  <si>
    <t>Léon (400)</t>
  </si>
  <si>
    <t>SSP_Number</t>
  </si>
  <si>
    <t>Category</t>
  </si>
  <si>
    <t>Subcategory</t>
  </si>
  <si>
    <t>SSP (français)</t>
  </si>
  <si>
    <t>Numéro SSP</t>
  </si>
  <si>
    <t>SSP 1</t>
  </si>
  <si>
    <t>1. General complaints and symptoms</t>
  </si>
  <si>
    <t>abnormal perspiration</t>
  </si>
  <si>
    <t>Transpiration anormale (hyperhidrose, hypohidrose, sudation paradoxale)</t>
  </si>
  <si>
    <t>SSP 2</t>
  </si>
  <si>
    <t>enlarged lymph nodes (lymphadenopathy)</t>
  </si>
  <si>
    <t>Adénopathie</t>
  </si>
  <si>
    <t>SSP 3</t>
  </si>
  <si>
    <t>excessive thirst, excessive fluid intake (polydipsia)</t>
  </si>
  <si>
    <t>Polydipsie</t>
  </si>
  <si>
    <t>SSP 4</t>
  </si>
  <si>
    <t>fatigue, tiredness</t>
  </si>
  <si>
    <t>Fatigue, asthénie</t>
  </si>
  <si>
    <t>SSP 5</t>
  </si>
  <si>
    <t>feeling of illness</t>
  </si>
  <si>
    <t>Sensation de malaise, altération de l’état général</t>
  </si>
  <si>
    <t>SSP 6</t>
  </si>
  <si>
    <t>fever, chills, hyperthermia</t>
  </si>
  <si>
    <t>Fièvre, frissons, hyperthermie</t>
  </si>
  <si>
    <t>SSP 7</t>
  </si>
  <si>
    <t>flushing</t>
  </si>
  <si>
    <t>Bouffées vasomotrices, érythème facial</t>
  </si>
  <si>
    <t>SSP 8</t>
  </si>
  <si>
    <t>hypothermia</t>
  </si>
  <si>
    <t>Hypothermie</t>
  </si>
  <si>
    <t>SSP 9</t>
  </si>
  <si>
    <t>itching</t>
  </si>
  <si>
    <t>SSP 10</t>
  </si>
  <si>
    <t>pain of all types</t>
  </si>
  <si>
    <t>Douleur (toutes localisations et types confondus)</t>
  </si>
  <si>
    <t>SSP 11</t>
  </si>
  <si>
    <t>sleep problems</t>
  </si>
  <si>
    <t>Troubles du sommeil (insomnie, hypersomnie, parasomnies)</t>
  </si>
  <si>
    <t>SSP 12</t>
  </si>
  <si>
    <t>swelling, oedema (diffuse or local)</t>
  </si>
  <si>
    <t>Œdème, gonflement (diffus ou localisé)</t>
  </si>
  <si>
    <t>SSP 13</t>
  </si>
  <si>
    <t>unnatural death</t>
  </si>
  <si>
    <t>Décès non naturel</t>
  </si>
  <si>
    <t>SSP 14</t>
  </si>
  <si>
    <t>unexpected or sudden death</t>
  </si>
  <si>
    <t>Mort subite, décès inattendu</t>
  </si>
  <si>
    <t>SSP 15</t>
  </si>
  <si>
    <t>weight gain, obesity</t>
  </si>
  <si>
    <t>Prise de poids, obésité</t>
  </si>
  <si>
    <t>SSP 16</t>
  </si>
  <si>
    <t>weight loss, malnutrition, loss of appetite</t>
  </si>
  <si>
    <t>Perte de poids, malnutrition, anorexie</t>
  </si>
  <si>
    <t>SSP 17</t>
  </si>
  <si>
    <t>2. Specific complaints and symptoms</t>
  </si>
  <si>
    <t>2.1 Head and neck</t>
  </si>
  <si>
    <t>abnormal eye movements</t>
  </si>
  <si>
    <t>Mouvements oculaires anormaux</t>
  </si>
  <si>
    <t>SSP 18</t>
  </si>
  <si>
    <t>acute and gradual loss of vision (acute, slow, temporary, partial)</t>
  </si>
  <si>
    <t>Perte de vision aiguë ou progressive (brutale, lente, transitoire, partielle)</t>
  </si>
  <si>
    <t>SSP 19</t>
  </si>
  <si>
    <t>alteration of voice (hoarseness, aphonia, dysphonia)</t>
  </si>
  <si>
    <t>Altération de la voix (enrouement, aphonie, dysphonie)</t>
  </si>
  <si>
    <t>SSP 20</t>
  </si>
  <si>
    <t>asymmetric face, deformation</t>
  </si>
  <si>
    <t>Asymétrie faciale, déformation du visage</t>
  </si>
  <si>
    <t>SSP 21</t>
  </si>
  <si>
    <t>bleeding nose</t>
  </si>
  <si>
    <t>Épistaxis</t>
  </si>
  <si>
    <t>SSP 22</t>
  </si>
  <si>
    <t>blepharospasm</t>
  </si>
  <si>
    <t>Blépharospasme</t>
  </si>
  <si>
    <t>SSP 23</t>
  </si>
  <si>
    <t>difficulty in swallowing, choking</t>
  </si>
  <si>
    <t>Dysphagie, fausse route</t>
  </si>
  <si>
    <t>SSP 24</t>
  </si>
  <si>
    <t>discharge from ear</t>
  </si>
  <si>
    <t>Écoulement auriculaire (otorrhée)</t>
  </si>
  <si>
    <t>SSP 25</t>
  </si>
  <si>
    <t>dryness, pain, mass in mouth or throat, oral lesions</t>
  </si>
  <si>
    <t>Sécheresse, douleur, masse buccale ou pharyngée, lésions orales</t>
  </si>
  <si>
    <t>SSP 26</t>
  </si>
  <si>
    <t>earache</t>
  </si>
  <si>
    <t>Otalgie</t>
  </si>
  <si>
    <t>SSP 27</t>
  </si>
  <si>
    <t>facial, jaw or tooth pain, trismus</t>
  </si>
  <si>
    <t>Douleur faciale, mandibulaire ou dentaire, trismus</t>
  </si>
  <si>
    <t>SSP 28</t>
  </si>
  <si>
    <t>hearing impairment: hyper- and hypoacusis, deafness, whistling, tinnitus</t>
  </si>
  <si>
    <t>Troubles de l’audition : hyperacousie, hypoacousie, surdité, acouphènes</t>
  </si>
  <si>
    <t>SSP 29</t>
  </si>
  <si>
    <t>micro- and macrocephaly</t>
  </si>
  <si>
    <t>Microcéphalie, macrocéphalie</t>
  </si>
  <si>
    <t>SSP 30</t>
  </si>
  <si>
    <t>nasal discharge</t>
  </si>
  <si>
    <t>Écoulement nasal (rhinorrhée)</t>
  </si>
  <si>
    <t>SSP 31</t>
  </si>
  <si>
    <t>nasal obstruction</t>
  </si>
  <si>
    <t>Obstruction nasale</t>
  </si>
  <si>
    <t>SSP 32</t>
  </si>
  <si>
    <t>neck stiffness and pain</t>
  </si>
  <si>
    <t>Raideur et douleur cervicales</t>
  </si>
  <si>
    <t>SSP 33</t>
  </si>
  <si>
    <t>painful, red, itchy eyes; eye discharge</t>
  </si>
  <si>
    <t>Douleur, rougeur, prurit oculaire ; écoulement oculaire</t>
  </si>
  <si>
    <t>SSP 34</t>
  </si>
  <si>
    <t>snoring</t>
  </si>
  <si>
    <t>Ronflement</t>
  </si>
  <si>
    <t>SSP 35</t>
  </si>
  <si>
    <t>sore throat</t>
  </si>
  <si>
    <t>Maux de gorge, pharyngodynie</t>
  </si>
  <si>
    <t>SSP 36</t>
  </si>
  <si>
    <t>squint (strabismus)</t>
  </si>
  <si>
    <t>Strabisme</t>
  </si>
  <si>
    <t>SSP 37</t>
  </si>
  <si>
    <t>swelling of face, lips, neck; goitre</t>
  </si>
  <si>
    <t>Gonflement du visage, des lèvres ou du cou ; goitre</t>
  </si>
  <si>
    <t>SSP 38</t>
  </si>
  <si>
    <t>swelling of the eyelid</t>
  </si>
  <si>
    <t>Œdème palpébral</t>
  </si>
  <si>
    <t>SSP 39</t>
  </si>
  <si>
    <t>visual disturbances, photophobia, light flashes, floating objects, diplopia, colour blindness, blurred vision</t>
  </si>
  <si>
    <t>Troubles visuels : photophobie, éclairs lumineux, corps flottants, diplopie, dyschromatopsie, vision floue</t>
  </si>
  <si>
    <t>SSP 40</t>
  </si>
  <si>
    <t>2.2 Chest</t>
  </si>
  <si>
    <t>apnoea, apnoea with arousal</t>
  </si>
  <si>
    <t>Apnée, apnée avec réveil</t>
  </si>
  <si>
    <t>SSP 41</t>
  </si>
  <si>
    <t>change of respiratory pattern</t>
  </si>
  <si>
    <t>Modification du rythme respiratoire</t>
  </si>
  <si>
    <t>SSP 42</t>
  </si>
  <si>
    <t>changes of breast size, breast lump, breast discharge</t>
  </si>
  <si>
    <t>Modification du volume mammaire, masse mammaire, écoulement mammaire</t>
  </si>
  <si>
    <t>SSP 43</t>
  </si>
  <si>
    <t>chest discomfort</t>
  </si>
  <si>
    <t>Gêne thoracique</t>
  </si>
  <si>
    <t>SSP 44</t>
  </si>
  <si>
    <t>chest pain</t>
  </si>
  <si>
    <t>SSP 45</t>
  </si>
  <si>
    <t>cough, expectoration, haemoptysis</t>
  </si>
  <si>
    <t>Toux, expectoration, hémoptysie</t>
  </si>
  <si>
    <t>SSP 46</t>
  </si>
  <si>
    <t>dyspnoea</t>
  </si>
  <si>
    <t>SSP 47</t>
  </si>
  <si>
    <t>heartburn (pyrosis)</t>
  </si>
  <si>
    <t>Pyrosis (brûlures rétrosternales)</t>
  </si>
  <si>
    <t>SSP 48</t>
  </si>
  <si>
    <t>impaired or painful passage of food, dysphagia, regurgitation</t>
  </si>
  <si>
    <t>Dysphagie, régurgitation, passage alimentaire douloureux ou difficile</t>
  </si>
  <si>
    <t>SSP 49</t>
  </si>
  <si>
    <t>painful respiration, wheezing, stridor</t>
  </si>
  <si>
    <t>Respiration douloureuse, sifflements, stridor</t>
  </si>
  <si>
    <t>SSP 50</t>
  </si>
  <si>
    <t>palpitations</t>
  </si>
  <si>
    <t>SSP 51</t>
  </si>
  <si>
    <t>parietal chest pain</t>
  </si>
  <si>
    <t>Douleur pariétale thoracique</t>
  </si>
  <si>
    <t>SSP 52</t>
  </si>
  <si>
    <t>2.3 Abdomen</t>
  </si>
  <si>
    <t>abdominal, epigastric pain</t>
  </si>
  <si>
    <t>Douleur abdominale ou épigastrique</t>
  </si>
  <si>
    <t>SSP 53</t>
  </si>
  <si>
    <t>abdominal distension</t>
  </si>
  <si>
    <t>Distension abdominale</t>
  </si>
  <si>
    <t>SSP 54</t>
  </si>
  <si>
    <t>abdominal mass</t>
  </si>
  <si>
    <t>Masse abdominale</t>
  </si>
  <si>
    <t>SSP 55</t>
  </si>
  <si>
    <t>altered defaecation pattern, incontinence, pain</t>
  </si>
  <si>
    <t>Troubles du transit intestinal, incontinence, douleur à la défécation</t>
  </si>
  <si>
    <t>SSP 56</t>
  </si>
  <si>
    <t>anal itching, anal pain, anal protrusion</t>
  </si>
  <si>
    <t>Prurit anal, douleur anale, protrusion anale</t>
  </si>
  <si>
    <t>SSP 57</t>
  </si>
  <si>
    <t>anal bleeding</t>
  </si>
  <si>
    <t>Rectorragie</t>
  </si>
  <si>
    <t>SSP 58</t>
  </si>
  <si>
    <t>constipation</t>
  </si>
  <si>
    <t>SSP 59</t>
  </si>
  <si>
    <t>diarrhoea</t>
  </si>
  <si>
    <t>SSP 60</t>
  </si>
  <si>
    <t>melena, fresh blood, mucus, pus in faeces</t>
  </si>
  <si>
    <t>Méléna, présence de sang rouge, de mucus ou de pus dans les selles</t>
  </si>
  <si>
    <t>SSP 61</t>
  </si>
  <si>
    <t>nausea, vomiting</t>
  </si>
  <si>
    <t>Nausées, vomissements</t>
  </si>
  <si>
    <t>SSP 62</t>
  </si>
  <si>
    <t>2.4 Pelvis, urogenital system</t>
  </si>
  <si>
    <t>atypical sexual development</t>
  </si>
  <si>
    <t>Développement sexuel atypique</t>
  </si>
  <si>
    <t>SSP 63</t>
  </si>
  <si>
    <t>anuria, pollakiuria, oliguria, polyuria</t>
  </si>
  <si>
    <t>Anurie, pollakiurie, oligurie, polyurie</t>
  </si>
  <si>
    <t>SSP 64</t>
  </si>
  <si>
    <t>dysuria, pyuria, haematuria</t>
  </si>
  <si>
    <t>Dysurie, pyurie, hématurie</t>
  </si>
  <si>
    <t>SSP 65</t>
  </si>
  <si>
    <t>issues related to conception, e.g. infertility and sterilisation</t>
  </si>
  <si>
    <t>Troubles de la conception (infertilité, stérilité)</t>
  </si>
  <si>
    <t>SSP 66</t>
  </si>
  <si>
    <t>menstrual symptoms: disorders of menstruation, painful menstruation, premenstrual symptoms</t>
  </si>
  <si>
    <t>Troubles menstruels : dysménorrhée, aménorrhée, syndrome prémenstruel</t>
  </si>
  <si>
    <t>SSP 67</t>
  </si>
  <si>
    <t>pelvic mass</t>
  </si>
  <si>
    <t>Masse pelvienne</t>
  </si>
  <si>
    <t>SSP 68</t>
  </si>
  <si>
    <t>pelvic pain</t>
  </si>
  <si>
    <t>Douleur pelvienne</t>
  </si>
  <si>
    <t>SSP 69</t>
  </si>
  <si>
    <t>request for contraception, emergency contraception</t>
  </si>
  <si>
    <t>Demande de contraception, contraception d’urgence</t>
  </si>
  <si>
    <t>SSP 70</t>
  </si>
  <si>
    <t>request for genetic counselling</t>
  </si>
  <si>
    <t>Demande de conseil génétique</t>
  </si>
  <si>
    <t>SSP 71</t>
  </si>
  <si>
    <t>scrotal pain, swelling, mass</t>
  </si>
  <si>
    <t>Douleur, gonflement ou masse scrotale</t>
  </si>
  <si>
    <t>SSP 72</t>
  </si>
  <si>
    <t>sexual complaints and dysfunction</t>
  </si>
  <si>
    <t>Troubles et dysfonctions sexuelles</t>
  </si>
  <si>
    <t>SSP 73</t>
  </si>
  <si>
    <t>swelling, pain in groin</t>
  </si>
  <si>
    <t>Douleur ou gonflement inguinal</t>
  </si>
  <si>
    <t>SSP 74</t>
  </si>
  <si>
    <t>symptoms related to menopause</t>
  </si>
  <si>
    <t>Symptômes liés à la ménopause</t>
  </si>
  <si>
    <t>SSP 75</t>
  </si>
  <si>
    <t>urethral discharge</t>
  </si>
  <si>
    <t>Écoulement urétral</t>
  </si>
  <si>
    <t>SSP 76</t>
  </si>
  <si>
    <t>urinary incontinence and enuresis</t>
  </si>
  <si>
    <t>Incontinence urinaire, énurésie</t>
  </si>
  <si>
    <t>SSP 77</t>
  </si>
  <si>
    <t>urinary retention</t>
  </si>
  <si>
    <t>Rétention urinaire</t>
  </si>
  <si>
    <t>SSP 78</t>
  </si>
  <si>
    <t>uterine prolapse, pelvic relaxation</t>
  </si>
  <si>
    <t>Prolapsus utérin, relâchement pelvien</t>
  </si>
  <si>
    <t>SSP 79</t>
  </si>
  <si>
    <t>vaginal bleeding</t>
  </si>
  <si>
    <t>Métrorragies, saignement vaginal</t>
  </si>
  <si>
    <t>SSP 80</t>
  </si>
  <si>
    <t>vaginal discharge</t>
  </si>
  <si>
    <t>Leucorrhées (écoulement vaginal)</t>
  </si>
  <si>
    <t>SSP 81</t>
  </si>
  <si>
    <t>2.5 Back and extremities</t>
  </si>
  <si>
    <t>abnormal posture and back deformities</t>
  </si>
  <si>
    <t>Posture anormale et déformations rachidiennes</t>
  </si>
  <si>
    <t>SSP 82</t>
  </si>
  <si>
    <t>back pain</t>
  </si>
  <si>
    <t>Lombalgie, dorsalgie</t>
  </si>
  <si>
    <t>SSP 83</t>
  </si>
  <si>
    <t>deformities of skeleton and joints</t>
  </si>
  <si>
    <t>Déformations du squelette et des articulations</t>
  </si>
  <si>
    <t>SSP 84</t>
  </si>
  <si>
    <t>myalgia</t>
  </si>
  <si>
    <t>Myalgies</t>
  </si>
  <si>
    <t>SSP 85</t>
  </si>
  <si>
    <t>pain, burning, cramp, numbness in the extremities</t>
  </si>
  <si>
    <t>Douleur, sensation de brûlure, crampes ou engourdissement des extrémités</t>
  </si>
  <si>
    <t>SSP 86</t>
  </si>
  <si>
    <t>swollen or painful joints, morning stiffness, reduction of joint motility</t>
  </si>
  <si>
    <t>Articulations gonflées ou douloureuses, raideur matinale, limitation de la mobilité articulaire</t>
  </si>
  <si>
    <t>SSP 87</t>
  </si>
  <si>
    <t>2.6 Skin</t>
  </si>
  <si>
    <t>changes in oral, genital or perianal mucosa</t>
  </si>
  <si>
    <t>Anomalies des muqueuses buccales, génitales ou périanales</t>
  </si>
  <si>
    <t>SSP 88</t>
  </si>
  <si>
    <t>ecchymosis, haematoma, purpura</t>
  </si>
  <si>
    <t>Ecchymose, hématome, purpura</t>
  </si>
  <si>
    <t>SSP 89</t>
  </si>
  <si>
    <t>hyper- or hypopigmentation</t>
  </si>
  <si>
    <t>Hyperpigmentation ou hypopigmentation</t>
  </si>
  <si>
    <t>SSP 90</t>
  </si>
  <si>
    <t>infected wound, delayed wound healing, skin ulcers</t>
  </si>
  <si>
    <t>Plaie infectée, retard de cicatrisation, ulcère cutané</t>
  </si>
  <si>
    <t>SSP 91</t>
  </si>
  <si>
    <t>jaundice (icterus)</t>
  </si>
  <si>
    <t>SSP 92</t>
  </si>
  <si>
    <t>lack or loss of hair, excess hair</t>
  </si>
  <si>
    <t>Alopécie, hypertrichose</t>
  </si>
  <si>
    <t>SSP 93</t>
  </si>
  <si>
    <t>macules, papules, pustules, blisters, ulcers and abscess, bullae, thickening, necrosis, tumours</t>
  </si>
  <si>
    <t>Macules, papules, pustules, vésicules, ulcères, abcès, bulles, épaississement cutané, nécrose, tumeur cutanée</t>
  </si>
  <si>
    <t>SSP 94</t>
  </si>
  <si>
    <t>nail complaints</t>
  </si>
  <si>
    <t>Troubles des ongles (onychopathies)</t>
  </si>
  <si>
    <t>SSP 95</t>
  </si>
  <si>
    <t>redness of the skin (localized or diffuse) and/or mucosa</t>
  </si>
  <si>
    <t>Érythème cutané ou muqueux (localisé ou diffus)</t>
  </si>
  <si>
    <t>SSP 96</t>
  </si>
  <si>
    <t>2.7 Nervous system</t>
  </si>
  <si>
    <t>abnormal sense of balance, falls</t>
  </si>
  <si>
    <t>Troubles de l’équilibre, chutes</t>
  </si>
  <si>
    <t>SSP 97</t>
  </si>
  <si>
    <t>abnormal gait</t>
  </si>
  <si>
    <t>Démarche anormale</t>
  </si>
  <si>
    <t>SSP 98</t>
  </si>
  <si>
    <t>abnormal involuntary movements, tremor, tic, lack of coordination</t>
  </si>
  <si>
    <t>Mouvements involontaires anormaux, tremblement, tic, ataxie</t>
  </si>
  <si>
    <t>SSP 99</t>
  </si>
  <si>
    <t>disorders of speech or language</t>
  </si>
  <si>
    <t>Troubles du langage ou de la parole (aphasie, dysarthrie)</t>
  </si>
  <si>
    <t>SSP 100</t>
  </si>
  <si>
    <t>dizziness, vertigo</t>
  </si>
  <si>
    <t>Vertiges, étourdissements</t>
  </si>
  <si>
    <t>SSP 101</t>
  </si>
  <si>
    <t>headache</t>
  </si>
  <si>
    <t>SSP 102</t>
  </si>
  <si>
    <t>memory disturbance, cognitive impairment</t>
  </si>
  <si>
    <t>Troubles de la mémoire, altération cognitive</t>
  </si>
  <si>
    <t>SSP 103</t>
  </si>
  <si>
    <t>paresis, paralysis</t>
  </si>
  <si>
    <t>Paresie, paralysie</t>
  </si>
  <si>
    <t>SSP 104</t>
  </si>
  <si>
    <t>sensory loss, changes in various forms of sensation</t>
  </si>
  <si>
    <t>Perte ou altération de la sensibilité</t>
  </si>
  <si>
    <t>SSP 105</t>
  </si>
  <si>
    <t>twitches, convulsion, seizure</t>
  </si>
  <si>
    <t>Secousses musculaires, convulsions, crises épileptiques</t>
  </si>
  <si>
    <t>SSP 106</t>
  </si>
  <si>
    <t>2.8 Injuries and trauma</t>
  </si>
  <si>
    <t>abdominal injuries</t>
  </si>
  <si>
    <t>Traumatismes abdominaux</t>
  </si>
  <si>
    <t>SSP 107</t>
  </si>
  <si>
    <t>burn, cold injury</t>
  </si>
  <si>
    <t>Brûlure, lésion par le froid</t>
  </si>
  <si>
    <t>SSP 108</t>
  </si>
  <si>
    <t>contusion, soft tissue bruising</t>
  </si>
  <si>
    <t>Contusion, ecchymose des tissus mous</t>
  </si>
  <si>
    <t>SSP 109</t>
  </si>
  <si>
    <t>dislocation of joint</t>
  </si>
  <si>
    <t>Luxation articulaire</t>
  </si>
  <si>
    <t>SSP 110</t>
  </si>
  <si>
    <t>drowning or near drowning</t>
  </si>
  <si>
    <t>Noyade ou quasi-noyade</t>
  </si>
  <si>
    <t>SSP 111</t>
  </si>
  <si>
    <t>foreign body</t>
  </si>
  <si>
    <t>Corps étranger</t>
  </si>
  <si>
    <t>SSP 112</t>
  </si>
  <si>
    <t>head and brain injuries and trauma</t>
  </si>
  <si>
    <t>Traumatismes crâniens et cérébraux</t>
  </si>
  <si>
    <t>SSP 113</t>
  </si>
  <si>
    <t>injuries of the extremities</t>
  </si>
  <si>
    <t>Traumatismes des extrémités</t>
  </si>
  <si>
    <t>SSP 114</t>
  </si>
  <si>
    <t>laceration, closed or open wound</t>
  </si>
  <si>
    <t>Lacération, plaie ouverte ou fermée</t>
  </si>
  <si>
    <t>SSP 115</t>
  </si>
  <si>
    <t>spine injuries</t>
  </si>
  <si>
    <t>Lésions rachidiennes</t>
  </si>
  <si>
    <t>SSP 116</t>
  </si>
  <si>
    <t>thoracic injuries</t>
  </si>
  <si>
    <t>Traumatismes thoraciques</t>
  </si>
  <si>
    <t>SSP 117</t>
  </si>
  <si>
    <t>vascular injuries</t>
  </si>
  <si>
    <t>Lésions vasculaires</t>
  </si>
  <si>
    <t>SSP 118</t>
  </si>
  <si>
    <t>2.9 Emotional and behavioural symptoms</t>
  </si>
  <si>
    <t>anxiety and panic</t>
  </si>
  <si>
    <t>Anxiété et crises de panique</t>
  </si>
  <si>
    <t>SSP 119</t>
  </si>
  <si>
    <t>attention deficit</t>
  </si>
  <si>
    <t>Trouble du déficit de l’attention</t>
  </si>
  <si>
    <t>SSP 120</t>
  </si>
  <si>
    <t>change in behaviour</t>
  </si>
  <si>
    <t>Modification du comportement</t>
  </si>
  <si>
    <t>SSP 121</t>
  </si>
  <si>
    <t>change in eating behaviour</t>
  </si>
  <si>
    <t>Trouble du comportement alimentaire</t>
  </si>
  <si>
    <t>SSP 122</t>
  </si>
  <si>
    <t>change in mood</t>
  </si>
  <si>
    <t>Changement d’humeur</t>
  </si>
  <si>
    <t>SSP 123</t>
  </si>
  <si>
    <t>hyperactivity</t>
  </si>
  <si>
    <t>Hyperactivité</t>
  </si>
  <si>
    <t>SSP 124</t>
  </si>
  <si>
    <t>irrational fear, fear of illness</t>
  </si>
  <si>
    <t>Peur irrationnelle, hypocondrie</t>
  </si>
  <si>
    <t>SSP 125</t>
  </si>
  <si>
    <t>irritability, aggressive and violent behaviour</t>
  </si>
  <si>
    <t>Irritabilité, comportement agressif ou violent</t>
  </si>
  <si>
    <t>SSP 126</t>
  </si>
  <si>
    <t>mental confusion, delirium</t>
  </si>
  <si>
    <t>Confusion mentale, délirium</t>
  </si>
  <si>
    <t>SSP 127</t>
  </si>
  <si>
    <t>obsessive and/or compulsive behaviour</t>
  </si>
  <si>
    <t>Comportements obsessionnels et/ou compulsifs</t>
  </si>
  <si>
    <t>SSP 128</t>
  </si>
  <si>
    <t>reactions to major stressful events</t>
  </si>
  <si>
    <t>Réaction à un événement stressant majeur</t>
  </si>
  <si>
    <t>SSP 129</t>
  </si>
  <si>
    <t>self-harm, including suicide</t>
  </si>
  <si>
    <t>Automutilation, tentative de suicide</t>
  </si>
  <si>
    <t>SSP 130</t>
  </si>
  <si>
    <t>non-medical substance use ("misuse"), addiction e.g. tobacco, alcohol, illegal substances ("controlled medicines"), gambling and gaming</t>
  </si>
  <si>
    <t>Usage non médical de substances, dépendance (tabac, alcool, drogues, jeux, etc.)</t>
  </si>
  <si>
    <t>SSP 131</t>
  </si>
  <si>
    <t>3. Findings</t>
  </si>
  <si>
    <t>3.1 Findings upon physical examination</t>
  </si>
  <si>
    <t>abnormal blood pressure</t>
  </si>
  <si>
    <t>Pression artérielle anormale</t>
  </si>
  <si>
    <t>SSP 132</t>
  </si>
  <si>
    <t>abnormal external genitalia (female, male)</t>
  </si>
  <si>
    <t>Anomalies des organes génitaux externes (féminins ou masculins)</t>
  </si>
  <si>
    <t>SSP 133</t>
  </si>
  <si>
    <t>abnormal findings upon auscultation</t>
  </si>
  <si>
    <t>Anomalies à l’auscultation</t>
  </si>
  <si>
    <t>SSP 134</t>
  </si>
  <si>
    <t>abnormal findings upon inspection</t>
  </si>
  <si>
    <t>Anomalies à l’inspection</t>
  </si>
  <si>
    <t>SSP 135</t>
  </si>
  <si>
    <t>abnormal findings upon palpation</t>
  </si>
  <si>
    <t>Anomalies à la palpation</t>
  </si>
  <si>
    <t>SSP 136</t>
  </si>
  <si>
    <t>abnormal findings upon percussion</t>
  </si>
  <si>
    <t>Anomalies à la percussion</t>
  </si>
  <si>
    <t>SSP 137</t>
  </si>
  <si>
    <t>bradycardia, tachycardia, irregular pulse</t>
  </si>
  <si>
    <t>Bradycardie, tachycardie, pouls irrégulier</t>
  </si>
  <si>
    <t>SSP 138</t>
  </si>
  <si>
    <t>cachexia and malnutrition</t>
  </si>
  <si>
    <t>Cachexie, malnutrition</t>
  </si>
  <si>
    <t>SSP 139</t>
  </si>
  <si>
    <t>cognitive impairment</t>
  </si>
  <si>
    <t>Déficit cognitif</t>
  </si>
  <si>
    <t>SSP 140</t>
  </si>
  <si>
    <t>cyanosis</t>
  </si>
  <si>
    <t>Cyanose</t>
  </si>
  <si>
    <t>SSP 141</t>
  </si>
  <si>
    <t>disorganised speech</t>
  </si>
  <si>
    <t>Discours désorganisé</t>
  </si>
  <si>
    <t>SSP 142</t>
  </si>
  <si>
    <t>exophthalmos (proptosis)</t>
  </si>
  <si>
    <t>Exophtalmie (proptose)</t>
  </si>
  <si>
    <t>SSP 143</t>
  </si>
  <si>
    <t>halitosis (fetor oris)</t>
  </si>
  <si>
    <t>Halitose (fétor oris)</t>
  </si>
  <si>
    <t>SSP 144</t>
  </si>
  <si>
    <t>gangrene</t>
  </si>
  <si>
    <t>Gangrène</t>
  </si>
  <si>
    <t>SSP 145</t>
  </si>
  <si>
    <t>impairment or loss of consciousness, coma</t>
  </si>
  <si>
    <t>Altération ou perte de conscience, coma</t>
  </si>
  <si>
    <t>SSP 146</t>
  </si>
  <si>
    <t>oedema</t>
  </si>
  <si>
    <t>Œdème</t>
  </si>
  <si>
    <t>SSP 147</t>
  </si>
  <si>
    <t>pallor</t>
  </si>
  <si>
    <t>Pâleur</t>
  </si>
  <si>
    <t>SSP 148</t>
  </si>
  <si>
    <t>pulseless patient</t>
  </si>
  <si>
    <t>Absence de pouls périphérique</t>
  </si>
  <si>
    <t>SSP 149</t>
  </si>
  <si>
    <t>transient loss of consciousness, syncope</t>
  </si>
  <si>
    <t>Perte transitoire de conscience, syncope</t>
  </si>
  <si>
    <t>SSP 150</t>
  </si>
  <si>
    <t>3.2 Findings upon additional examination</t>
  </si>
  <si>
    <t>abnormal blood gas values</t>
  </si>
  <si>
    <t>Gaz du sang anormaux</t>
  </si>
  <si>
    <t>SSP 151</t>
  </si>
  <si>
    <t>abnormal cardiac enzymes</t>
  </si>
  <si>
    <t>Anomalie des enzymes cardiaques</t>
  </si>
  <si>
    <t>SSP 152</t>
  </si>
  <si>
    <t>abnormal coagulation profile</t>
  </si>
  <si>
    <t>Troubles de la coagulation</t>
  </si>
  <si>
    <t>SSP 153</t>
  </si>
  <si>
    <t>abnormal X-rays of abdomen, chest and skeleton</t>
  </si>
  <si>
    <t>Anomalies radiographiques de l’abdomen, du thorax ou du squelette</t>
  </si>
  <si>
    <t>SSP 154</t>
  </si>
  <si>
    <t>abnormal leukocyte count</t>
  </si>
  <si>
    <t>Anomalie du nombre de leucocytes</t>
  </si>
  <si>
    <t>SSP 155</t>
  </si>
  <si>
    <t>abnormal ECG</t>
  </si>
  <si>
    <t>Anomalie de l’électrocardiogramme (ECG)</t>
  </si>
  <si>
    <t>SSP 156</t>
  </si>
  <si>
    <t>abnormal electrolytes</t>
  </si>
  <si>
    <t>Troubles électrolytiques</t>
  </si>
  <si>
    <t>SSP 157</t>
  </si>
  <si>
    <t>abnormal faecal analyses, occult blood, parasites</t>
  </si>
  <si>
    <t>Anomalies des analyses de selles (sang occulte, parasites, etc.)</t>
  </si>
  <si>
    <t>SSP 158</t>
  </si>
  <si>
    <t>abnormal glycaemia and markers of glycaemia homeostasis</t>
  </si>
  <si>
    <t>Anomalie de la glycémie ou des marqueurs de l’homéostasie glucidique</t>
  </si>
  <si>
    <t>SSP 159</t>
  </si>
  <si>
    <t>abnormal histology, cytology and molecular genetic test</t>
  </si>
  <si>
    <t>Anomalie histologique, cytologique ou génétique (tests moléculaires)</t>
  </si>
  <si>
    <t>SSP 160</t>
  </si>
  <si>
    <t>abnormal liver enzymes</t>
  </si>
  <si>
    <t>Anomalie des enzymes hépatiques</t>
  </si>
  <si>
    <t>SSP 161</t>
  </si>
  <si>
    <t>abnormal markers of kidney function</t>
  </si>
  <si>
    <t>Anomalie des marqueurs de la fonction rénale</t>
  </si>
  <si>
    <t>SSP 162</t>
  </si>
  <si>
    <t>abnormal serum lipids</t>
  </si>
  <si>
    <t>Anomalie du profil lipidique sérique</t>
  </si>
  <si>
    <t>SSP 163</t>
  </si>
  <si>
    <t>abnormal thyroid hormones</t>
  </si>
  <si>
    <t>Anomalie des hormones thyroïdiennes</t>
  </si>
  <si>
    <t>SSP 164</t>
  </si>
  <si>
    <t>abnormal urine sediment</t>
  </si>
  <si>
    <t>Anomalie du sédiment urinaire</t>
  </si>
  <si>
    <t>SSP 165</t>
  </si>
  <si>
    <t>anaemia</t>
  </si>
  <si>
    <t>SSP 166</t>
  </si>
  <si>
    <t>blood group incompatibility</t>
  </si>
  <si>
    <t>Incompatibilité de groupe sanguin</t>
  </si>
  <si>
    <t>SSP 167</t>
  </si>
  <si>
    <t>effusion detected by ultrasound (abdomen, pleura)</t>
  </si>
  <si>
    <t>Épanchement détecté à l’échographie (abdominal, pleural, etc.)</t>
  </si>
  <si>
    <t>SSP 168</t>
  </si>
  <si>
    <t>elevated biomarkers of inflammation</t>
  </si>
  <si>
    <t>Augmentation des biomarqueurs de l’inflammation</t>
  </si>
  <si>
    <t>SSP 169</t>
  </si>
  <si>
    <t>low bone density</t>
  </si>
  <si>
    <t>Diminution de la densité osseuse</t>
  </si>
  <si>
    <t>SSP 170</t>
  </si>
  <si>
    <t>nutritional deficiencies</t>
  </si>
  <si>
    <t>Carences nutritionnelles</t>
  </si>
  <si>
    <t>SSP 171</t>
  </si>
  <si>
    <t>polycythaemia</t>
  </si>
  <si>
    <t>Polyglobulie</t>
  </si>
  <si>
    <t>SSP 172</t>
  </si>
  <si>
    <t>proteinemia, albuminemia</t>
  </si>
  <si>
    <t>Anomalie de la protidémie ou de l’albuminémie</t>
  </si>
  <si>
    <t>SSP 173</t>
  </si>
  <si>
    <t>proteinuria</t>
  </si>
  <si>
    <t>Protéinurie</t>
  </si>
  <si>
    <t>SSP 174</t>
  </si>
  <si>
    <t>thrombopenia, thrombocytosis</t>
  </si>
  <si>
    <t>Thrombopénie, thrombocytose</t>
  </si>
  <si>
    <t>SSP 175</t>
  </si>
  <si>
    <t>4. Other situations</t>
  </si>
  <si>
    <t>4.1 Situations related to pregnancy and motherhood</t>
  </si>
  <si>
    <t>abnormal birth weight and prematurity</t>
  </si>
  <si>
    <t>Poids de naissance anormal, prématurité</t>
  </si>
  <si>
    <t>SSP 176</t>
  </si>
  <si>
    <t>basic care in normal delivery and childbed</t>
  </si>
  <si>
    <t>Soins de base lors de l’accouchement normal et du post-partum</t>
  </si>
  <si>
    <t>SSP 177</t>
  </si>
  <si>
    <t>basic pre- and post-conception screening for genetic disease and malformation</t>
  </si>
  <si>
    <t>Dépistage préconceptionnel et postconceptionnel des maladies génétiques et des malformations</t>
  </si>
  <si>
    <t>SSP 178</t>
  </si>
  <si>
    <t>maternal problems during pregnancy, fever, oedema, hypertension, premature labour</t>
  </si>
  <si>
    <t>Complications maternelles pendant la grossesse (fièvre, œdème, hypertension, travail prématuré)</t>
  </si>
  <si>
    <t>SSP 179</t>
  </si>
  <si>
    <t>problems related to delivery</t>
  </si>
  <si>
    <t>Complications liées à l’accouchement</t>
  </si>
  <si>
    <t>SSP 180</t>
  </si>
  <si>
    <t>problems related to lactation</t>
  </si>
  <si>
    <t>Troubles de la lactation</t>
  </si>
  <si>
    <t>SSP 181</t>
  </si>
  <si>
    <t>process and basic care of pregnancy</t>
  </si>
  <si>
    <t>Suivi et soins de base de la grossesse</t>
  </si>
  <si>
    <t>SSP 182</t>
  </si>
  <si>
    <t>request for abortion</t>
  </si>
  <si>
    <t>Demande d’interruption volontaire de grossesse (IVG)</t>
  </si>
  <si>
    <t>SSP 183</t>
  </si>
  <si>
    <t>suspicion of pregnancy, unplanned pregnancy</t>
  </si>
  <si>
    <t>Suspicion ou découverte de grossesse non planifiée</t>
  </si>
  <si>
    <t>SSP 184</t>
  </si>
  <si>
    <t>4.2 Situations related to childhood</t>
  </si>
  <si>
    <t>abnormal growth and puberty (slowing or acceleration), failure to thrive</t>
  </si>
  <si>
    <t>Croissance ou puberté anormales (ralentie ou accélérée), retard staturo-pondéral</t>
  </si>
  <si>
    <t>SSP 185</t>
  </si>
  <si>
    <t>behavioural issues in childhood and adolescence</t>
  </si>
  <si>
    <t>Troubles du comportement chez l’enfant et l’adolescent</t>
  </si>
  <si>
    <t>SSP 186</t>
  </si>
  <si>
    <t>child abuse and neglect</t>
  </si>
  <si>
    <t>Maltraitance ou négligence de l’enfant</t>
  </si>
  <si>
    <t>SSP 187</t>
  </si>
  <si>
    <t>child immunisation</t>
  </si>
  <si>
    <t>Vaccination de l’enfant</t>
  </si>
  <si>
    <t>SSP 188</t>
  </si>
  <si>
    <t>developmental delay</t>
  </si>
  <si>
    <t>Retard du développement psychomoteur</t>
  </si>
  <si>
    <t>SSP 189</t>
  </si>
  <si>
    <t>feeding and eating issues during infancy, childhood and adolescence</t>
  </si>
  <si>
    <t>Troubles de l’alimentation pendant la petite enfance, l’enfance ou l’adolescence</t>
  </si>
  <si>
    <t>SSP 190</t>
  </si>
  <si>
    <t>fetal problems during pregnancy</t>
  </si>
  <si>
    <t>Troubles fœtaux pendant la grossesse</t>
  </si>
  <si>
    <t>SSP 191</t>
  </si>
  <si>
    <t>infant death</t>
  </si>
  <si>
    <t>Décès du nourrisson</t>
  </si>
  <si>
    <t>SSP 192</t>
  </si>
  <si>
    <t>irritable, crying infant</t>
  </si>
  <si>
    <t>Nourrisson irritable, pleurs inexpliqués</t>
  </si>
  <si>
    <t>SSP 193</t>
  </si>
  <si>
    <t>learning and school problems in childhood and adolescence</t>
  </si>
  <si>
    <t>Troubles des apprentissages ou difficultés scolaires chez l’enfant et l’adolescent</t>
  </si>
  <si>
    <t>SSP 194</t>
  </si>
  <si>
    <t>low muscle tone and hypotonia</t>
  </si>
  <si>
    <t>Hypotonie, diminution du tonus musculaire</t>
  </si>
  <si>
    <t>SSP 195</t>
  </si>
  <si>
    <t>well-baby and well-child visit</t>
  </si>
  <si>
    <t>Consultation de suivi du nourrisson et de l’enfant bien portant</t>
  </si>
  <si>
    <t>SSP 196</t>
  </si>
  <si>
    <t>4.3 Situations related to old age</t>
  </si>
  <si>
    <t>elder abuse and neglect</t>
  </si>
  <si>
    <t>Maltraitance ou négligence envers la personne âgée</t>
  </si>
  <si>
    <t>SSP 197</t>
  </si>
  <si>
    <t>functional impairment (cognition, sensory and motor)</t>
  </si>
  <si>
    <t>Altération des fonctions (cognitives, sensorielles et motrices)</t>
  </si>
  <si>
    <t>SSP 198</t>
  </si>
  <si>
    <t>malnutrition and sarcopenia</t>
  </si>
  <si>
    <t>Malnutrition et sarcopénie</t>
  </si>
  <si>
    <t>SSP 199</t>
  </si>
  <si>
    <t>polymorbid, polymedicated patient</t>
  </si>
  <si>
    <t>Patient polymorbide, polymédiqué</t>
  </si>
  <si>
    <t>SSP 200</t>
  </si>
  <si>
    <t>pressure ulcers</t>
  </si>
  <si>
    <t>Escarres de décubitus (plaies de pression)</t>
  </si>
  <si>
    <t>SSP 201</t>
  </si>
  <si>
    <t>progressively dependent patient</t>
  </si>
  <si>
    <t>Perte progressive d’autonomie</t>
  </si>
  <si>
    <t>SSP 202</t>
  </si>
  <si>
    <t>urinary and faecal incontinence</t>
  </si>
  <si>
    <t>Incontinence urinaire et fécale</t>
  </si>
  <si>
    <t>SSP 203</t>
  </si>
  <si>
    <t>4.4 Emergency symptoms, findings and situations</t>
  </si>
  <si>
    <t>acute abdominal, epigastric pain</t>
  </si>
  <si>
    <t>Douleur abdominale ou épigastrique aiguë</t>
  </si>
  <si>
    <t>SSP 204</t>
  </si>
  <si>
    <t>acute chest; epigastric, arm, jaw, tooth pain</t>
  </si>
  <si>
    <t>Douleur thoracique, épigastrique, brachiale, mandibulaire ou dentaire aiguë</t>
  </si>
  <si>
    <t>SSP 205</t>
  </si>
  <si>
    <t>acute neurological deficits</t>
  </si>
  <si>
    <t>Déficit neurologique aigu</t>
  </si>
  <si>
    <t>SSP 206</t>
  </si>
  <si>
    <t>acute severe dyspnoea</t>
  </si>
  <si>
    <t>Dyspnée aiguë sévère</t>
  </si>
  <si>
    <t>SSP 207</t>
  </si>
  <si>
    <t>acute severe headache, meningism</t>
  </si>
  <si>
    <t>Céphalée aiguë intense, syndrome méningé</t>
  </si>
  <si>
    <t>SSP 208</t>
  </si>
  <si>
    <t>burn</t>
  </si>
  <si>
    <t>SSP 209</t>
  </si>
  <si>
    <t>colic</t>
  </si>
  <si>
    <t>Colique</t>
  </si>
  <si>
    <t>SSP 210</t>
  </si>
  <si>
    <t>haematemesis</t>
  </si>
  <si>
    <t>SSP 211</t>
  </si>
  <si>
    <t>intoxication, poisoning</t>
  </si>
  <si>
    <t>Intoxication, empoisonnement</t>
  </si>
  <si>
    <t>SSP 212</t>
  </si>
  <si>
    <t>mydriasis, myosis</t>
  </si>
  <si>
    <t>Mydriase, myosis</t>
  </si>
  <si>
    <t>SSP 213</t>
  </si>
  <si>
    <t>self-harm and suicide attempt</t>
  </si>
  <si>
    <t>SSP 214</t>
  </si>
  <si>
    <t>severe hypertension, severe hypotension</t>
  </si>
  <si>
    <t>Hypertension ou hypotension artérielle sévère</t>
  </si>
  <si>
    <t>SSP 215</t>
  </si>
  <si>
    <t>severe acute blood loss</t>
  </si>
  <si>
    <t>Hémorragie aiguë massive</t>
  </si>
  <si>
    <t>SSP 216</t>
  </si>
  <si>
    <t>sudden changes of mental status such as confusion, delusion, (auto-)aggressive behaviour</t>
  </si>
  <si>
    <t>Altération aiguë de l’état mental (confusion, délire, comportement auto- ou hétéro-agressif)</t>
  </si>
  <si>
    <t>SSP 217</t>
  </si>
  <si>
    <t>syncope, loss of consciousness</t>
  </si>
  <si>
    <t>Syncope, perte de conscience</t>
  </si>
  <si>
    <t>SSP 218</t>
  </si>
  <si>
    <t>cardiorespiratory disturbances and arrest</t>
  </si>
  <si>
    <t>Détresse ou arrêt cardiorespiratoire</t>
  </si>
  <si>
    <t>SSP 219</t>
  </si>
  <si>
    <t>seizures</t>
  </si>
  <si>
    <t>Crises convulsives, épilepsie</t>
  </si>
  <si>
    <t>SSP 220</t>
  </si>
  <si>
    <t>uncomplicated common trauma</t>
  </si>
  <si>
    <t>Traumatisme simple et bénin</t>
  </si>
  <si>
    <t>SSP 221</t>
  </si>
  <si>
    <t>4.5 Issues linked with prevention and health promotion</t>
  </si>
  <si>
    <t>consultation before engaging in sports activities</t>
  </si>
  <si>
    <t>Consultation préalable à la pratique d’une activité sportive</t>
  </si>
  <si>
    <t>SSP 222</t>
  </si>
  <si>
    <t>immunization plan</t>
  </si>
  <si>
    <t>Plan de vaccination</t>
  </si>
  <si>
    <t>SSP 223</t>
  </si>
  <si>
    <t>promotion of healthy life style</t>
  </si>
  <si>
    <t>Promotion d’un mode de vie sain</t>
  </si>
  <si>
    <t>SSP 224</t>
  </si>
  <si>
    <t>request for check-up, health examination, radiologic and laboratory procedures</t>
  </si>
  <si>
    <t>Demande de bilan de santé, d’examens radiologiques ou biologiques</t>
  </si>
  <si>
    <t>SSP 225</t>
  </si>
  <si>
    <t>screening for asymptomatic conditions</t>
  </si>
  <si>
    <t>Dépistage des affections asymptomatiques</t>
  </si>
  <si>
    <t>SSP 226</t>
  </si>
  <si>
    <t>shared assessment of risks and benefits of screening and treating asymptomatic conditions</t>
  </si>
  <si>
    <t>Évaluation partagée des risques et bénéfices du dépistage ou du traitement des affections asymptomatiques</t>
  </si>
  <si>
    <t>SSP 227</t>
  </si>
  <si>
    <t>shared assessment of risks and protective factors for frequent life-compromising diseases, such as cardiovascular, metabolic and oncologic diseases</t>
  </si>
  <si>
    <t>Évaluation partagée des facteurs de risque et de protection des maladies chroniques fréquentes (cardiovasculaires, métaboliques, oncologiques)</t>
  </si>
  <si>
    <t>SSP 228</t>
  </si>
  <si>
    <t>4.6 Palliative care</t>
  </si>
  <si>
    <t>caregivers' fatigue, loss of energy</t>
  </si>
  <si>
    <t>Épuisement des aidants, perte d’énergie</t>
  </si>
  <si>
    <t>SSP 229</t>
  </si>
  <si>
    <t>change in treatment goals and end-of-life decisions</t>
  </si>
  <si>
    <t>Modification des objectifs thérapeutiques et décisions de fin de vie</t>
  </si>
  <si>
    <t>SSP 230</t>
  </si>
  <si>
    <t>holistic care of the dying patient</t>
  </si>
  <si>
    <t>Prise en charge globale du patient en fin de vie</t>
  </si>
  <si>
    <t>SSP 231</t>
  </si>
  <si>
    <t>management of refractory symptoms (pain, nausea)</t>
  </si>
  <si>
    <t>Gestion des symptômes réfractaires (douleur, nausées, etc.)</t>
  </si>
  <si>
    <t>SSP 232</t>
  </si>
  <si>
    <t>need for psychosocial and spiritual support of all involved individuals</t>
  </si>
  <si>
    <t>Besoin de soutien psychosocial et spirituel pour le patient, la famille et les proches</t>
  </si>
  <si>
    <t>SSP 233</t>
  </si>
  <si>
    <t>4.7 Psychosocial issues</t>
  </si>
  <si>
    <t>absenteeism (school, work)</t>
  </si>
  <si>
    <t>Absentéisme scolaire ou professionnel</t>
  </si>
  <si>
    <t>SSP 234</t>
  </si>
  <si>
    <t>concern about appearance, body image</t>
  </si>
  <si>
    <t>Préoccupation concernant l’apparence ou l’image corporelle</t>
  </si>
  <si>
    <t>SSP 235</t>
  </si>
  <si>
    <t>domestic violence, sexual abuse, rape</t>
  </si>
  <si>
    <t>Violence domestique, abus sexuel, viol</t>
  </si>
  <si>
    <t>SSP 236</t>
  </si>
  <si>
    <t>harassing, bullying, mobbing</t>
  </si>
  <si>
    <t>Harcèlement, intimidation, mobbing</t>
  </si>
  <si>
    <t>SSP 237</t>
  </si>
  <si>
    <t>issues regarding sexual orientation</t>
  </si>
  <si>
    <t>Questions relatives à l’orientation sexuelle</t>
  </si>
  <si>
    <t>SSP 238</t>
  </si>
  <si>
    <t>issues related to family life such as divorce, single parent and reconstructed family</t>
  </si>
  <si>
    <t>Problèmes familiaux (divorce, monoparentalité, famille recomposée)</t>
  </si>
  <si>
    <t>SSP 239</t>
  </si>
  <si>
    <t>loss, death, grieving process, illness of someone close</t>
  </si>
  <si>
    <t>Deuil, perte, maladie ou décès d’un proche</t>
  </si>
  <si>
    <t>SSP 240</t>
  </si>
  <si>
    <t>mental or spiritual suffering</t>
  </si>
  <si>
    <t>Souffrance psychique ou spirituelle</t>
  </si>
  <si>
    <t>SSP 241</t>
  </si>
  <si>
    <t>problems related to work conditions, burnout, unemployment, financial problems</t>
  </si>
  <si>
    <t>Problèmes liés aux conditions de travail, épuisement professionnel (burn-out), chômage ou difficultés financières</t>
  </si>
  <si>
    <t>SSP 242</t>
  </si>
  <si>
    <t>4.8 Various health care issues</t>
  </si>
  <si>
    <t>consultation before or after trip to foreign (tropical) country</t>
  </si>
  <si>
    <t>Consultation avant ou après un voyage à l’étranger (régions tropicales)</t>
  </si>
  <si>
    <t>SSP 243</t>
  </si>
  <si>
    <t>determination of work or school incapacity</t>
  </si>
  <si>
    <t>Évaluation de l’incapacité scolaire ou professionnelle</t>
  </si>
  <si>
    <t>SSP 244</t>
  </si>
  <si>
    <t>dietary counselling</t>
  </si>
  <si>
    <t>Conseil diététique, éducation nutritionnelle</t>
  </si>
  <si>
    <t>SSP 245</t>
  </si>
  <si>
    <t>environmental and psychosocial aspects of chronic condition</t>
  </si>
  <si>
    <t>Prise en compte des aspects environnementaux et psychosociaux d’une affection chronique</t>
  </si>
  <si>
    <t>SSP 246</t>
  </si>
  <si>
    <t>errors or misconduct of a co-worker or other healthcare professional</t>
  </si>
  <si>
    <t>Erreurs ou manquements d’un collègue ou d’un autre professionnel de santé</t>
  </si>
  <si>
    <t>SSP 247</t>
  </si>
  <si>
    <t>immunocompromised patient</t>
  </si>
  <si>
    <t>Patient immunodéprimé</t>
  </si>
  <si>
    <t>SSP 248</t>
  </si>
  <si>
    <t>issues linked with food tolerance</t>
  </si>
  <si>
    <t>Troubles de la tolérance alimentaire</t>
  </si>
  <si>
    <t>SSP 249</t>
  </si>
  <si>
    <t>medically unexplained symptoms</t>
  </si>
  <si>
    <t>Symptômes médicalement inexpliqués</t>
  </si>
  <si>
    <t>SSP 250</t>
  </si>
  <si>
    <t>nosocomial infection</t>
  </si>
  <si>
    <t>Infection nosocomiale</t>
  </si>
  <si>
    <t>SSP 251</t>
  </si>
  <si>
    <t>obtain informed consent for a procedure</t>
  </si>
  <si>
    <t>Obtention du consentement éclairé pour une procédure</t>
  </si>
  <si>
    <t>SSP 252</t>
  </si>
  <si>
    <t>patient refusing treatment</t>
  </si>
  <si>
    <t>Refus de traitement par le patient</t>
  </si>
  <si>
    <t>SSP 253</t>
  </si>
  <si>
    <t>patient with sexually transmitted infection</t>
  </si>
  <si>
    <t>Patient présentant une infection sexuellement transmissible (IST)</t>
  </si>
  <si>
    <t>SSP 254</t>
  </si>
  <si>
    <t>patient with other cultural background, migration</t>
  </si>
  <si>
    <t>Patient d’origine culturelle différente, migration</t>
  </si>
  <si>
    <t>SSP 255</t>
  </si>
  <si>
    <t>physical and psychosocial inpatient and outpatient rehabilitation</t>
  </si>
  <si>
    <t>Rééducation physique et psychosociale, en hospitalisation ou en ambulatoire</t>
  </si>
  <si>
    <t>SSP 256</t>
  </si>
  <si>
    <t>poor adherence to treatment</t>
  </si>
  <si>
    <t>Mauvaise observance thérapeutique</t>
  </si>
  <si>
    <t>SSP 257</t>
  </si>
  <si>
    <t>pre-intervention and pre-operative assessment</t>
  </si>
  <si>
    <t>Évaluation préinterventionnelle ou préopératoire</t>
  </si>
  <si>
    <t>SSP 258</t>
  </si>
  <si>
    <t>request for certificate, attestation or expertise by patients and insurers</t>
  </si>
  <si>
    <t>Demande de certificat, d’attestation ou d’expertise par le patient ou l’assureur</t>
  </si>
  <si>
    <t>SSP 259</t>
  </si>
  <si>
    <t>request for unnecessary investigations and treatment</t>
  </si>
  <si>
    <t>Demande d’examens ou de traitements non justifiés</t>
  </si>
  <si>
    <t>SSP 260</t>
  </si>
  <si>
    <t>request for information about gene therapy</t>
  </si>
  <si>
    <t>Demande d’informations sur la thérapie génique</t>
  </si>
  <si>
    <t>SSP 261</t>
  </si>
  <si>
    <t>request for information related to organ donation, transplantation</t>
  </si>
  <si>
    <t>Demande d’informations sur le don ou la transplantation d’organes</t>
  </si>
  <si>
    <t>SSP 262</t>
  </si>
  <si>
    <t>benefits and risks of complementary medicine</t>
  </si>
  <si>
    <t>Bénéfices et risques des médecines complémentaires</t>
  </si>
  <si>
    <t>SSP 263</t>
  </si>
  <si>
    <t>suspicion of drug intolerance or interaction (including complementary medicine)</t>
  </si>
  <si>
    <t>Suspicion d’intolérance ou d’interaction médicamenteuse (y compris médecine complémentaire)</t>
  </si>
  <si>
    <t>SSP 264</t>
  </si>
  <si>
    <t>suspicion of rare disease</t>
  </si>
  <si>
    <t>Suspicion de maladie rare</t>
  </si>
  <si>
    <t>SSP 265</t>
  </si>
  <si>
    <t>vulnerable patient</t>
  </si>
  <si>
    <t>Patient vulnérable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</si>
</sst>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rgb="FF000000"/>
      <name val="Lexend"/>
    </font>
    <font>
      <sz val="11"/>
      <name val="Lexend"/>
    </font>
    <font>
      <b/>
      <sz val="11"/>
      <color theme="1"/>
      <name val="Aptos Narrow"/>
      <family val="2"/>
      <scheme val="minor"/>
    </font>
    <font>
      <b/>
      <sz val="11"/>
      <color rgb="FF000000"/>
      <name val="Calibri"/>
      <family val="2"/>
      <charset val="1"/>
    </font>
    <font>
      <sz val="11"/>
      <color rgb="FF000000"/>
      <name val="Calibri"/>
      <family val="2"/>
      <charset val="1"/>
    </font>
    <font>
      <b/>
      <sz val="11"/>
      <color rgb="FF000000"/>
      <name val="Lexend"/>
      <charset val="1"/>
    </font>
    <font>
      <sz val="11"/>
      <name val="Lexend"/>
      <charset val="1"/>
    </font>
    <font>
      <b/>
      <sz val="11"/>
      <color rgb="FF0F2B46"/>
      <name val="Aptos Narrow"/>
      <family val="2"/>
      <scheme val="minor"/>
    </font>
    <font>
      <sz val="10"/>
      <color rgb="FF000000"/>
      <name val="ArialMT"/>
      <family val="2"/>
      <charset val="1"/>
    </font>
  </fonts>
  <fills count="18">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FFF2CC"/>
        <bgColor rgb="FFD9EAD3"/>
      </patternFill>
    </fill>
    <fill>
      <patternFill patternType="solid">
        <fgColor rgb="FFFFFFFF"/>
        <bgColor rgb="FFF4CCCC"/>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FFFFFF"/>
        <bgColor rgb="FFD9EAD3"/>
      </patternFill>
    </fill>
    <fill>
      <patternFill patternType="solid">
        <fgColor rgb="FFFFFFFF"/>
        <bgColor rgb="FF000000"/>
      </patternFill>
    </fill>
    <fill>
      <patternFill patternType="solid">
        <fgColor rgb="FFFFF2CC"/>
        <bgColor indexed="64"/>
      </patternFill>
    </fill>
    <fill>
      <patternFill patternType="solid">
        <fgColor rgb="FFD9EAD3"/>
        <bgColor indexed="64"/>
      </patternFill>
    </fill>
    <fill>
      <patternFill patternType="solid">
        <fgColor rgb="FFFFFFFF"/>
        <bgColor indexed="64"/>
      </patternFill>
    </fill>
    <fill>
      <patternFill patternType="solid">
        <fgColor rgb="FFF4CCCC"/>
        <bgColor indexed="64"/>
      </patternFill>
    </fill>
    <fill>
      <patternFill patternType="solid">
        <fgColor rgb="FFC9DAF8"/>
        <bgColor indexed="64"/>
      </patternFill>
    </fill>
    <fill>
      <patternFill patternType="solid">
        <fgColor rgb="FFD9D2E9"/>
        <bgColor indexed="64"/>
      </patternFill>
    </fill>
    <fill>
      <patternFill patternType="solid">
        <fgColor rgb="FFE8F3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1" fillId="2" borderId="0" xfId="0" applyFont="1" applyFill="1" applyBorder="1" applyAlignment="1">
      <alignment wrapText="1"/>
    </xf>
    <xf numFmtId="0" fontId="1" fillId="3" borderId="0" xfId="0" applyFont="1" applyFill="1" applyBorder="1" applyAlignment="1">
      <alignment wrapText="1"/>
    </xf>
    <xf numFmtId="0" fontId="1" fillId="4" borderId="0" xfId="0" applyFont="1" applyFill="1" applyBorder="1" applyAlignment="1">
      <alignment wrapText="1"/>
    </xf>
    <xf numFmtId="0" fontId="1" fillId="5" borderId="0" xfId="0" applyFont="1" applyFill="1" applyBorder="1" applyAlignment="1">
      <alignment wrapText="1"/>
    </xf>
    <xf numFmtId="0" fontId="1" fillId="6" borderId="0" xfId="0" applyFont="1" applyFill="1" applyBorder="1" applyAlignment="1">
      <alignment wrapText="1"/>
    </xf>
    <xf numFmtId="0" fontId="1" fillId="7" borderId="0" xfId="0" applyFont="1" applyFill="1" applyBorder="1" applyAlignment="1">
      <alignment wrapText="1"/>
    </xf>
    <xf numFmtId="0" fontId="1" fillId="8" borderId="0" xfId="0" applyFont="1" applyFill="1" applyBorder="1" applyAlignment="1">
      <alignment wrapText="1"/>
    </xf>
    <xf numFmtId="0" fontId="2" fillId="2" borderId="0" xfId="0" applyFont="1" applyFill="1" applyBorder="1" applyAlignment="1"/>
    <xf numFmtId="0" fontId="2" fillId="8" borderId="0" xfId="0" applyFont="1" applyFill="1" applyBorder="1" applyAlignment="1">
      <alignment wrapText="1"/>
    </xf>
    <xf numFmtId="0" fontId="2" fillId="9" borderId="0" xfId="0" applyFont="1" applyFill="1" applyBorder="1" applyAlignment="1">
      <alignment wrapText="1"/>
    </xf>
    <xf numFmtId="0" fontId="2" fillId="3" borderId="0" xfId="0" applyFont="1" applyFill="1" applyBorder="1" applyAlignment="1">
      <alignment wrapText="1"/>
    </xf>
    <xf numFmtId="0" fontId="2" fillId="10" borderId="0" xfId="0" applyFont="1" applyFill="1" applyBorder="1" applyAlignment="1">
      <alignment wrapText="1"/>
    </xf>
    <xf numFmtId="0" fontId="2" fillId="6" borderId="0" xfId="0" applyFont="1" applyFill="1" applyBorder="1" applyAlignment="1">
      <alignment wrapText="1"/>
    </xf>
    <xf numFmtId="0" fontId="2" fillId="6" borderId="0" xfId="0" applyFont="1" applyFill="1" applyAlignment="1">
      <alignment wrapText="1"/>
    </xf>
    <xf numFmtId="0" fontId="2" fillId="7" borderId="0" xfId="0" applyFont="1" applyFill="1" applyBorder="1" applyAlignment="1">
      <alignment wrapText="1"/>
    </xf>
    <xf numFmtId="0" fontId="2" fillId="7" borderId="0" xfId="0" quotePrefix="1" applyFont="1" applyFill="1" applyBorder="1" applyAlignment="1">
      <alignment wrapText="1"/>
    </xf>
    <xf numFmtId="0" fontId="2" fillId="8" borderId="0" xfId="0" applyFont="1" applyFill="1" applyAlignment="1">
      <alignment wrapText="1"/>
    </xf>
    <xf numFmtId="0" fontId="3" fillId="0" borderId="0" xfId="0" applyFont="1"/>
    <xf numFmtId="0" fontId="0" fillId="0" borderId="0" xfId="0" applyAlignment="1">
      <alignment wrapText="1"/>
    </xf>
    <xf numFmtId="1" fontId="2" fillId="2" borderId="0" xfId="0" applyNumberFormat="1" applyFont="1" applyFill="1" applyBorder="1" applyAlignment="1"/>
    <xf numFmtId="0" fontId="4" fillId="0" borderId="1" xfId="0" applyFont="1" applyBorder="1" applyAlignment="1"/>
    <xf numFmtId="0" fontId="4" fillId="0" borderId="2" xfId="0" applyFont="1" applyBorder="1" applyAlignment="1"/>
    <xf numFmtId="0" fontId="5" fillId="0" borderId="0" xfId="0" applyFont="1" applyAlignment="1"/>
    <xf numFmtId="0" fontId="4" fillId="0" borderId="0" xfId="0" applyFont="1" applyAlignment="1"/>
    <xf numFmtId="0" fontId="4" fillId="0" borderId="2" xfId="0" applyFont="1" applyBorder="1" applyAlignment="1">
      <alignment wrapText="1"/>
    </xf>
    <xf numFmtId="0" fontId="5" fillId="0" borderId="0" xfId="0" applyFont="1" applyAlignment="1">
      <alignment wrapText="1"/>
    </xf>
    <xf numFmtId="0" fontId="4" fillId="0" borderId="0" xfId="0" applyFont="1" applyAlignment="1">
      <alignment wrapText="1"/>
    </xf>
    <xf numFmtId="0" fontId="7" fillId="11" borderId="0" xfId="0" applyFont="1" applyFill="1" applyAlignment="1"/>
    <xf numFmtId="0" fontId="7" fillId="12" borderId="0" xfId="0" applyFont="1" applyFill="1" applyAlignment="1"/>
    <xf numFmtId="0" fontId="7" fillId="13" borderId="0" xfId="0" applyFont="1" applyFill="1" applyAlignment="1"/>
    <xf numFmtId="0" fontId="7" fillId="15" borderId="0" xfId="0" applyFont="1" applyFill="1" applyAlignment="1"/>
    <xf numFmtId="0" fontId="7" fillId="16" borderId="0" xfId="0" applyFont="1" applyFill="1" applyAlignment="1"/>
    <xf numFmtId="0" fontId="7" fillId="15" borderId="0" xfId="0" quotePrefix="1" applyFont="1" applyFill="1" applyAlignment="1"/>
    <xf numFmtId="0" fontId="7" fillId="14" borderId="0" xfId="0" applyFont="1" applyFill="1" applyAlignment="1"/>
    <xf numFmtId="0" fontId="6" fillId="11" borderId="0" xfId="0" applyFont="1" applyFill="1" applyAlignment="1"/>
    <xf numFmtId="0" fontId="6" fillId="12" borderId="0" xfId="0" applyFont="1" applyFill="1" applyAlignment="1"/>
    <xf numFmtId="0" fontId="6" fillId="13" borderId="0" xfId="0" applyFont="1" applyFill="1" applyAlignment="1"/>
    <xf numFmtId="0" fontId="6" fillId="14" borderId="0" xfId="0" applyFont="1" applyFill="1" applyAlignment="1"/>
    <xf numFmtId="0" fontId="6" fillId="15" borderId="0" xfId="0" applyFont="1" applyFill="1" applyAlignment="1"/>
    <xf numFmtId="0" fontId="6" fillId="16" borderId="0" xfId="0" applyFont="1" applyFill="1" applyAlignment="1"/>
    <xf numFmtId="0" fontId="7" fillId="14" borderId="0" xfId="0" applyFont="1" applyFill="1" applyAlignment="1"/>
    <xf numFmtId="0" fontId="7" fillId="16" borderId="0" xfId="0" applyFont="1" applyFill="1" applyAlignment="1"/>
    <xf numFmtId="0" fontId="8" fillId="17" borderId="0" xfId="0" applyFont="1" applyFill="1"/>
    <xf numFmtId="0" fontId="9" fillId="0" borderId="0" xfId="0" applyFont="1" applyAlignment="1"/>
    <xf numFmtId="0" fontId="9" fillId="0" borderId="0" xfId="0" applyFont="1" applyAlignment="1">
      <alignment wrapText="1"/>
    </xf>
    <xf numFmtId="0" fontId="9" fillId="0" borderId="0" xfId="0" applyFont="1" applyAlignment="1">
      <alignment wrapText="1"/>
    </xf>
    <xf numFmtId="0" fontId="9" fillId="0" borderId="0" xfId="0" quotePrefix="1" applyFont="1" applyAlignment="1">
      <alignment wrapText="1"/>
    </xf>
    <xf numFmtId="0" fontId="9" fillId="0" borderId="0" xfId="0" quotePrefix="1" applyFont="1" applyAlignment="1">
      <alignment wrapText="1"/>
    </xf>
  </cellXfs>
  <cellStyles count="1">
    <cellStyle name="Normal" xfId="0" builtinId="0"/>
  </cellStyles>
  <dxfs count="6">
    <dxf>
      <font>
        <color rgb="FF9C0006"/>
      </font>
      <fill>
        <patternFill patternType="solid">
          <fgColor indexed="64"/>
          <bgColor rgb="FFFFC7CE"/>
        </patternFill>
      </fill>
    </dxf>
    <dxf>
      <font>
        <color rgb="FF006100"/>
      </font>
      <fill>
        <patternFill patternType="solid">
          <fgColor indexed="64"/>
          <bgColor rgb="FFC6EFCE"/>
        </patternFill>
      </fill>
    </dxf>
    <dxf>
      <font>
        <color rgb="FF7F60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86154C-2FC1-42AF-94F2-593936170DB1}">
  <we:reference id="WA200009404" version="1.0.0.3" store="fr-FR" storeType="omex"/>
  <we:alternateReferences>
    <we:reference id="WA200009404" version="1.0.0.3" store="fr-FR"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75"/>
  <sheetViews>
    <sheetView topLeftCell="D367" workbookViewId="0">
      <selection activeCell="G370" sqref="G370"/>
    </sheetView>
  </sheetViews>
  <sheetFormatPr defaultRowHeight="15"/>
  <cols>
    <col min="2" max="2" width="36.5703125" bestFit="1" customWidth="1"/>
    <col min="3" max="3" width="23" bestFit="1" customWidth="1"/>
    <col min="4" max="4" width="7.28515625" bestFit="1" customWidth="1"/>
    <col min="5" max="5" width="36.5703125" bestFit="1" customWidth="1"/>
    <col min="6" max="6" width="36.5703125" customWidth="1"/>
    <col min="7" max="13" width="36.5703125" bestFit="1" customWidth="1"/>
    <col min="14" max="14" width="82" bestFit="1" customWidth="1"/>
    <col min="15" max="15" width="95.140625" bestFit="1" customWidth="1"/>
    <col min="16" max="16" width="23.42578125" bestFit="1" customWidth="1"/>
    <col min="17" max="17" width="23.7109375" bestFit="1" customWidth="1"/>
    <col min="18" max="18" width="8.7109375" bestFit="1" customWidth="1"/>
    <col min="19" max="19" width="35.140625" bestFit="1" customWidth="1"/>
    <col min="20" max="20" width="29" bestFit="1" customWidth="1"/>
    <col min="22" max="22" width="223.7109375" bestFit="1" customWidth="1"/>
    <col min="23" max="23" width="255.7109375" bestFit="1" customWidth="1"/>
    <col min="24" max="24" width="255.140625" bestFit="1" customWidth="1"/>
    <col min="25" max="25" width="170.5703125" bestFit="1" customWidth="1"/>
    <col min="26" max="26" width="254.7109375" bestFit="1" customWidth="1"/>
    <col min="27" max="27" width="181.85546875" bestFit="1" customWidth="1"/>
    <col min="28" max="28" width="86.28515625" bestFit="1" customWidth="1"/>
    <col min="29" max="32" width="0" hidden="1" customWidth="1"/>
  </cols>
  <sheetData>
    <row r="1" spans="1:32" ht="16.5">
      <c r="A1" s="1" t="s">
        <v>0</v>
      </c>
      <c r="B1" s="2" t="s">
        <v>1</v>
      </c>
      <c r="C1" s="3" t="s">
        <v>2</v>
      </c>
      <c r="D1" s="3" t="s">
        <v>3</v>
      </c>
      <c r="E1" s="2" t="s">
        <v>4</v>
      </c>
      <c r="F1" s="2" t="s">
        <v>5</v>
      </c>
      <c r="G1" s="4" t="s">
        <v>6</v>
      </c>
      <c r="H1" s="5" t="s">
        <v>7</v>
      </c>
      <c r="I1" s="5" t="s">
        <v>8</v>
      </c>
      <c r="J1" s="6" t="s">
        <v>9</v>
      </c>
      <c r="K1" s="7" t="s">
        <v>10</v>
      </c>
      <c r="L1" s="7" t="s">
        <v>11</v>
      </c>
      <c r="M1" s="7" t="s">
        <v>12</v>
      </c>
      <c r="N1" s="18" t="s">
        <v>13</v>
      </c>
      <c r="O1" s="43" t="s">
        <v>14</v>
      </c>
      <c r="P1" s="43" t="s">
        <v>15</v>
      </c>
      <c r="Q1" s="43" t="s">
        <v>16</v>
      </c>
      <c r="R1" s="43" t="s">
        <v>17</v>
      </c>
      <c r="S1" s="18" t="s">
        <v>18</v>
      </c>
      <c r="T1" s="18" t="s">
        <v>19</v>
      </c>
      <c r="U1" t="s">
        <v>20</v>
      </c>
      <c r="V1" t="s">
        <v>21</v>
      </c>
      <c r="W1" t="s">
        <v>22</v>
      </c>
      <c r="X1" t="s">
        <v>23</v>
      </c>
      <c r="Y1" t="s">
        <v>24</v>
      </c>
      <c r="Z1" t="s">
        <v>25</v>
      </c>
      <c r="AA1" s="18" t="s">
        <v>26</v>
      </c>
      <c r="AB1" s="18" t="s">
        <v>27</v>
      </c>
      <c r="AC1" t="s">
        <v>28</v>
      </c>
      <c r="AD1" t="s">
        <v>29</v>
      </c>
      <c r="AE1" t="s">
        <v>30</v>
      </c>
      <c r="AF1" t="s">
        <v>31</v>
      </c>
    </row>
    <row r="2" spans="1:32" ht="100.5">
      <c r="A2" s="8">
        <v>2011</v>
      </c>
      <c r="B2" s="10" t="s">
        <v>32</v>
      </c>
      <c r="C2" s="8" t="s">
        <v>33</v>
      </c>
      <c r="D2" s="20">
        <v>10</v>
      </c>
      <c r="E2" s="11" t="str">
        <f>IF(D2="","",IFERROR(INDEX(SSP!$E$2:$E$266, MATCH(D2, SSP!$F$2:$F$266, 0)),""))</f>
        <v>Douleur (toutes localisations et types confondus)</v>
      </c>
      <c r="F2" s="11" t="str">
        <f>Feuil1!E2</f>
        <v>Douleur jambe</v>
      </c>
      <c r="G2" s="12" t="s">
        <v>34</v>
      </c>
      <c r="H2" s="13" t="s">
        <v>35</v>
      </c>
      <c r="I2" s="13"/>
      <c r="J2" s="15" t="s">
        <v>36</v>
      </c>
      <c r="K2" s="9" t="s">
        <v>37</v>
      </c>
      <c r="L2" s="9" t="s">
        <v>33</v>
      </c>
      <c r="M2" s="9" t="s">
        <v>33</v>
      </c>
      <c r="N2" t="s">
        <v>35</v>
      </c>
      <c r="O2" t="str">
        <f>IFERROR(_xlfn.XLOOKUP($D2, SSP!$F:$F, SSP!$E:$E, "Inconnu"), "")</f>
        <v>Douleur (toutes localisations et types confondus)</v>
      </c>
      <c r="P2" t="str">
        <f>IF(OR(E2="", O2=""), "", IF(LOWER(E2)=LOWER(O2), "OK", "⚠️ Libellé ≠ n°"))</f>
        <v>OK</v>
      </c>
      <c r="Q2" t="str">
        <f>IF(Feuil1!$E2="", "", IF(LOWER(Feuil1!$E2)=LOWER(E2), "Identique", "Différent"))</f>
        <v>Différent</v>
      </c>
      <c r="R2" t="str">
        <f>IF(OR(P2="⚠️ Libellé ≠ n°", O2="Inconnu"), "⚠️", IF(Q2="Différent", "ℹ️", ""))</f>
        <v>ℹ️</v>
      </c>
      <c r="S2" t="str" cm="1">
        <f t="array" ref="S2">_xlfn.LET(_xlpm.genCat,IFERROR(LOWER(TRIM(G2)),""),_xlpm.principal,IFERROR(LOWER(TRIM(H2)),""),_xlpm.orig,IFERROR(LOWER(TRIM(N2)),""),IF(OR(_xlpm.genCat="",_xlpm.principal=""),"",IF(LEFT(LOWER(G2),5)="autre","OK (Autre)",IF(OR(ISNUMBER(SEARCH(_xlpm.genCat,_xlpm.principal)),ISNUMBER(SEARCH(_xlpm.principal,_xlpm.genCat)),AND(_xlpm.orig&lt;&gt;"",OR(ISNUMBER(SEARCH(_xlpm.genCat,_xlpm.orig)),ISNUMBER(SEARCH(_xlpm.orig,_xlpm.genCat))))),"OK","⚠️ À vérifier"))))</f>
        <v>⚠️ À vérifier</v>
      </c>
      <c r="T2" t="str">
        <f>IF(S2="","",IF(S2="OK (Autre)","Diagnostic générique = 'Autre – …'",IF(S2="OK","Concordance générique/principal","Écart entre générique et principal")))</f>
        <v>Écart entre générique et principal</v>
      </c>
      <c r="U2" t="str" cm="1">
        <f t="array" ref="U2">_xlfn.LET(_xlpm.yr, A2, _xlpm.diag, IF(N2&lt;&gt;"", N2, H2), _xlpm.base, TRIM(SUBSTITUTE(SUBSTITUTE(SUBSTITUTE(SUBSTITUTE(_xlpm.diag,"•"," "),CHAR(160)," "),CHAR(10)," "),"  "," ")), LOWER(_xlpm.yr&amp;"|"&amp;_xlpm.base))</f>
        <v>2011|aomi</v>
      </c>
      <c r="V2" t="str">
        <f>IFERROR(_xlfn.XLOOKUP($AB2,'Cas 2013-2017'!$K:$K,'Cas 2013-2017'!$D:$D,""),"")</f>
        <v/>
      </c>
      <c r="W2" t="str">
        <f>IFERROR(_xlfn.XLOOKUP($AB2,'Cas 2013-2017'!$K:$K,'Cas 2013-2017'!$E:$E,""),"")</f>
        <v/>
      </c>
      <c r="X2" t="str">
        <f>IFERROR(_xlfn.XLOOKUP($AB2,'Cas 2013-2017'!$K:$K,'Cas 2013-2017'!$F:$F,""),"")</f>
        <v/>
      </c>
      <c r="Y2" t="str">
        <f>IFERROR(_xlfn.XLOOKUP($AB2,'Cas 2013-2017'!$K:$K,'Cas 2013-2017'!$G:$G,""),"")</f>
        <v/>
      </c>
      <c r="Z2" t="str">
        <f>IFERROR(_xlfn.XLOOKUP($AB2,'Cas 2013-2017'!$K:$K,'Cas 2013-2017'!$I:$I,""),"")</f>
        <v/>
      </c>
      <c r="AA2" t="str">
        <f>IFERROR(_xlfn.XLOOKUP($AB2,'Cas 2013-2017'!$K:$K,'Cas 2013-2017'!$H:$H,""),"")</f>
        <v/>
      </c>
      <c r="AB2" t="str">
        <f>LOWER($A2 &amp; "|" &amp; $AF2)</f>
        <v>2011|arteriopathie des membres inferieurs</v>
      </c>
      <c r="AC2" t="str">
        <f>TRIM(SUBSTITUTE(SUBSTITUTE(SUBSTITUTE(SUBSTITUTE(" " &amp; LOWER(TRIM(IF($N2&lt;&gt;"", $N2, $H2))) &amp; " ", " aomi ", " arteriopathie des membres inferieurs "), " hta ", " hypertension arterielle "), " saos ", " syndrome d'apnees obstructives du sommeil "), " rgo ", " reflux gastro-oesophagien ") )</f>
        <v>arteriopathie des membres inferieurs</v>
      </c>
      <c r="AD2" t="str">
        <f>TRIM(SUBSTITUTE(SUBSTITUTE(SUBSTITUTE(SUBSTITUTE(" " &amp; LOWER(TRIM($AC2)) &amp; " ", " oacr ", " occlusion de l'artere centrale de la retine "), " hsd ", " hematome sous-dural "), " fa ", " fibrillation auriculaire "), " ep ", " embolie pulmonaire ") )</f>
        <v>arteriopathie des membres inferieurs</v>
      </c>
      <c r="AE2" t="str" cm="1">
        <f t="array" ref="AE2">_xlfn.LET(_xlpm.base, " " &amp; LOWER(TRIM($AD2))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arteriopathie des membres inferieurs</v>
      </c>
      <c r="AF2" t="str" cm="1">
        <f t="array" ref="AF2">_xlfn.LET(_xlpm.base, " " &amp; LOWER(TRIM($AE2))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arteriopathie des membres inferieurs</v>
      </c>
    </row>
    <row r="3" spans="1:32" ht="66.75">
      <c r="A3" s="8">
        <v>2011</v>
      </c>
      <c r="B3" s="10" t="s">
        <v>32</v>
      </c>
      <c r="C3" s="8" t="s">
        <v>33</v>
      </c>
      <c r="D3" s="20">
        <v>44</v>
      </c>
      <c r="E3" s="11" t="str">
        <f>IF(D3="","",IFERROR(INDEX(SSP!$E$2:$E$266, MATCH(D3, SSP!$F$2:$F$266, 0)),""))</f>
        <v>Douleur thoracique</v>
      </c>
      <c r="F3" s="11" t="str">
        <f>Feuil1!E3</f>
        <v>Douleur thoracique</v>
      </c>
      <c r="G3" s="12" t="s">
        <v>38</v>
      </c>
      <c r="H3" s="13" t="s">
        <v>38</v>
      </c>
      <c r="I3" s="13"/>
      <c r="J3" s="15" t="s">
        <v>39</v>
      </c>
      <c r="K3" s="9" t="s">
        <v>40</v>
      </c>
      <c r="L3" s="9" t="s">
        <v>33</v>
      </c>
      <c r="M3" s="9" t="s">
        <v>33</v>
      </c>
      <c r="N3" t="s">
        <v>38</v>
      </c>
      <c r="O3" t="str">
        <f>IFERROR(_xlfn.XLOOKUP($D3, SSP!$F:$F, SSP!$E:$E, "Inconnu"), "")</f>
        <v>Douleur thoracique</v>
      </c>
      <c r="P3" t="str">
        <f>IF(OR(E3="", O3=""), "", IF(LOWER(E3)=LOWER(O3), "OK", "⚠️ Libellé ≠ n°"))</f>
        <v>OK</v>
      </c>
      <c r="Q3" t="str">
        <f>IF(Feuil1!$E3="", "", IF(LOWER(Feuil1!$E3)=LOWER(E3), "Identique", "Différent"))</f>
        <v>Identique</v>
      </c>
      <c r="R3" t="str">
        <f>IF(OR(P3="⚠️ Libellé ≠ n°", O3="Inconnu"), "⚠️", IF(Q3="Différent", "ℹ️", ""))</f>
        <v/>
      </c>
      <c r="S3" t="str" cm="1">
        <f t="array" ref="S3">_xlfn.LET(_xlpm.genCat,IFERROR(LOWER(TRIM(G3)),""),_xlpm.principal,IFERROR(LOWER(TRIM(H3)),""),_xlpm.orig,IFERROR(LOWER(TRIM(N3)),""),IF(OR(_xlpm.genCat="",_xlpm.principal=""),"",IF(LEFT(LOWER(G3),5)="autre","OK (Autre)",IF(OR(ISNUMBER(SEARCH(_xlpm.genCat,_xlpm.principal)),ISNUMBER(SEARCH(_xlpm.principal,_xlpm.genCat)),AND(_xlpm.orig&lt;&gt;"",OR(ISNUMBER(SEARCH(_xlpm.genCat,_xlpm.orig)),ISNUMBER(SEARCH(_xlpm.orig,_xlpm.genCat))))),"OK","⚠️ À vérifier"))))</f>
        <v>OK</v>
      </c>
      <c r="T3" t="str">
        <f>IF(S3="","",IF(S3="OK (Autre)","Diagnostic générique = 'Autre – …'",IF(S3="OK","Concordance générique/principal","Écart entre générique et principal")))</f>
        <v>Concordance générique/principal</v>
      </c>
      <c r="U3" t="str" cm="1">
        <f t="array" ref="U3">_xlfn.LET(_xlpm.yr, A3, _xlpm.diag, IF(N3&lt;&gt;"", N3, H3), _xlpm.base, TRIM(SUBSTITUTE(SUBSTITUTE(SUBSTITUTE(SUBSTITUTE(_xlpm.diag,"•"," "),CHAR(160)," "),CHAR(10)," "),"  "," ")), LOWER(_xlpm.yr&amp;"|"&amp;_xlpm.base))</f>
        <v>2011|péricardite</v>
      </c>
      <c r="V3" t="str">
        <f>IFERROR(_xlfn.XLOOKUP($AB3,'Cas 2013-2017'!$K:$K,'Cas 2013-2017'!$D:$D,""),"")</f>
        <v/>
      </c>
      <c r="W3" t="str">
        <f>IFERROR(_xlfn.XLOOKUP($AB3,'Cas 2013-2017'!$K:$K,'Cas 2013-2017'!$E:$E,""),"")</f>
        <v/>
      </c>
      <c r="X3" t="str">
        <f>IFERROR(_xlfn.XLOOKUP($AB3,'Cas 2013-2017'!$K:$K,'Cas 2013-2017'!$F:$F,""),"")</f>
        <v/>
      </c>
      <c r="Y3" t="str">
        <f>IFERROR(_xlfn.XLOOKUP($AB3,'Cas 2013-2017'!$K:$K,'Cas 2013-2017'!$G:$G,""),"")</f>
        <v/>
      </c>
      <c r="Z3" t="str">
        <f>IFERROR(_xlfn.XLOOKUP($AB3,'Cas 2013-2017'!$K:$K,'Cas 2013-2017'!$I:$I,""),"")</f>
        <v/>
      </c>
      <c r="AA3" t="str">
        <f>IFERROR(_xlfn.XLOOKUP($AB3,'Cas 2013-2017'!$K:$K,'Cas 2013-2017'!$H:$H,""),"")</f>
        <v/>
      </c>
      <c r="AB3" t="str">
        <f>LOWER($A3 &amp; "|" &amp; $AF3)</f>
        <v>2011|péricardite</v>
      </c>
      <c r="AC3" t="str">
        <f>TRIM(SUBSTITUTE(SUBSTITUTE(SUBSTITUTE(SUBSTITUTE(" " &amp; LOWER(TRIM(IF($N3&lt;&gt;"", $N3, $H3))) &amp; " ", " aomi ", " arteriopathie des membres inferieurs "), " hta ", " hypertension arterielle "), " saos ", " syndrome d'apnees obstructives du sommeil "), " rgo ", " reflux gastro-oesophagien ") )</f>
        <v>péricardite</v>
      </c>
      <c r="AD3" t="str">
        <f>TRIM(SUBSTITUTE(SUBSTITUTE(SUBSTITUTE(SUBSTITUTE(" " &amp; LOWER(TRIM($AC3)) &amp; " ", " oacr ", " occlusion de l'artere centrale de la retine "), " hsd ", " hematome sous-dural "), " fa ", " fibrillation auriculaire "), " ep ", " embolie pulmonaire ") )</f>
        <v>péricardite</v>
      </c>
      <c r="AE3" t="str" cm="1">
        <f t="array" ref="AE3">_xlfn.LET(_xlpm.base, " " &amp; LOWER(TRIM($AD3))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péricardite</v>
      </c>
      <c r="AF3" t="str" cm="1">
        <f t="array" ref="AF3">_xlfn.LET(_xlpm.base, " " &amp; LOWER(TRIM($AE3))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péricardite</v>
      </c>
    </row>
    <row r="4" spans="1:32" ht="33.75">
      <c r="A4" s="8">
        <v>2011</v>
      </c>
      <c r="B4" s="10" t="s">
        <v>32</v>
      </c>
      <c r="C4" s="8" t="s">
        <v>33</v>
      </c>
      <c r="D4" s="20">
        <v>50</v>
      </c>
      <c r="E4" s="11" t="str">
        <f>IF(D4="","",IFERROR(INDEX(SSP!$E$2:$E$266, MATCH(D4, SSP!$F$2:$F$266, 0)),""))</f>
        <v>Palpitations</v>
      </c>
      <c r="F4" s="11" t="str">
        <f>Feuil1!E4</f>
        <v>Palpitations</v>
      </c>
      <c r="G4" s="12" t="s">
        <v>41</v>
      </c>
      <c r="H4" s="13" t="s">
        <v>42</v>
      </c>
      <c r="I4" s="13" t="s">
        <v>43</v>
      </c>
      <c r="J4" s="15" t="s">
        <v>44</v>
      </c>
      <c r="K4" s="9" t="s">
        <v>45</v>
      </c>
      <c r="L4" s="9" t="s">
        <v>33</v>
      </c>
      <c r="M4" s="9" t="s">
        <v>33</v>
      </c>
      <c r="N4" t="s">
        <v>42</v>
      </c>
      <c r="O4" t="str">
        <f>IFERROR(_xlfn.XLOOKUP($D4, SSP!$F:$F, SSP!$E:$E, "Inconnu"), "")</f>
        <v>Palpitations</v>
      </c>
      <c r="P4" t="str">
        <f>IF(OR(E4="", O4=""), "", IF(LOWER(E4)=LOWER(O4), "OK", "⚠️ Libellé ≠ n°"))</f>
        <v>OK</v>
      </c>
      <c r="Q4" t="str">
        <f>IF(Feuil1!$E4="", "", IF(LOWER(Feuil1!$E4)=LOWER(E4), "Identique", "Différent"))</f>
        <v>Identique</v>
      </c>
      <c r="R4" t="str">
        <f>IF(OR(P4="⚠️ Libellé ≠ n°", O4="Inconnu"), "⚠️", IF(Q4="Différent", "ℹ️", ""))</f>
        <v/>
      </c>
      <c r="S4" t="str" cm="1">
        <f t="array" ref="S4">_xlfn.LET(_xlpm.genCat,IFERROR(LOWER(TRIM(G4)),""),_xlpm.principal,IFERROR(LOWER(TRIM(H4)),""),_xlpm.orig,IFERROR(LOWER(TRIM(N4)),""),IF(OR(_xlpm.genCat="",_xlpm.principal=""),"",IF(LEFT(LOWER(G4),5)="autre","OK (Autre)",IF(OR(ISNUMBER(SEARCH(_xlpm.genCat,_xlpm.principal)),ISNUMBER(SEARCH(_xlpm.principal,_xlpm.genCat)),AND(_xlpm.orig&lt;&gt;"",OR(ISNUMBER(SEARCH(_xlpm.genCat,_xlpm.orig)),ISNUMBER(SEARCH(_xlpm.orig,_xlpm.genCat))))),"OK","⚠️ À vérifier"))))</f>
        <v>OK (Autre)</v>
      </c>
      <c r="T4" t="str">
        <f>IF(S4="","",IF(S4="OK (Autre)","Diagnostic générique = 'Autre – …'",IF(S4="OK","Concordance générique/principal","Écart entre générique et principal")))</f>
        <v>Diagnostic générique = 'Autre – …'</v>
      </c>
      <c r="U4" t="str" cm="1">
        <f t="array" ref="U4">_xlfn.LET(_xlpm.yr, A4, _xlpm.diag, IF(N4&lt;&gt;"", N4, H4), _xlpm.base, TRIM(SUBSTITUTE(SUBSTITUTE(SUBSTITUTE(SUBSTITUTE(_xlpm.diag,"•"," "),CHAR(160)," "),CHAR(10)," "),"  "," ")), LOWER(_xlpm.yr&amp;"|"&amp;_xlpm.base))</f>
        <v>2011|tachycardie psychogène</v>
      </c>
      <c r="V4" t="str">
        <f>IFERROR(_xlfn.XLOOKUP($AB4,'Cas 2013-2017'!$K:$K,'Cas 2013-2017'!$D:$D,""),"")</f>
        <v/>
      </c>
      <c r="W4" t="str">
        <f>IFERROR(_xlfn.XLOOKUP($AB4,'Cas 2013-2017'!$K:$K,'Cas 2013-2017'!$E:$E,""),"")</f>
        <v/>
      </c>
      <c r="X4" t="str">
        <f>IFERROR(_xlfn.XLOOKUP($AB4,'Cas 2013-2017'!$K:$K,'Cas 2013-2017'!$F:$F,""),"")</f>
        <v/>
      </c>
      <c r="Y4" t="str">
        <f>IFERROR(_xlfn.XLOOKUP($AB4,'Cas 2013-2017'!$K:$K,'Cas 2013-2017'!$G:$G,""),"")</f>
        <v/>
      </c>
      <c r="Z4" t="str">
        <f>IFERROR(_xlfn.XLOOKUP($AB4,'Cas 2013-2017'!$K:$K,'Cas 2013-2017'!$I:$I,""),"")</f>
        <v/>
      </c>
      <c r="AA4" t="str">
        <f>IFERROR(_xlfn.XLOOKUP($AB4,'Cas 2013-2017'!$K:$K,'Cas 2013-2017'!$H:$H,""),"")</f>
        <v/>
      </c>
      <c r="AB4" t="str">
        <f>LOWER($A4 &amp; "|" &amp; $AF4)</f>
        <v>2011|tachycardie psychogène</v>
      </c>
      <c r="AC4" t="str">
        <f>TRIM(SUBSTITUTE(SUBSTITUTE(SUBSTITUTE(SUBSTITUTE(" " &amp; LOWER(TRIM(IF($N4&lt;&gt;"", $N4, $H4))) &amp; " ", " aomi ", " arteriopathie des membres inferieurs "), " hta ", " hypertension arterielle "), " saos ", " syndrome d'apnees obstructives du sommeil "), " rgo ", " reflux gastro-oesophagien ") )</f>
        <v>tachycardie psychogène</v>
      </c>
      <c r="AD4" t="str">
        <f>TRIM(SUBSTITUTE(SUBSTITUTE(SUBSTITUTE(SUBSTITUTE(" " &amp; LOWER(TRIM($AC4)) &amp; " ", " oacr ", " occlusion de l'artere centrale de la retine "), " hsd ", " hematome sous-dural "), " fa ", " fibrillation auriculaire "), " ep ", " embolie pulmonaire ") )</f>
        <v>tachycardie psychogène</v>
      </c>
      <c r="AE4" t="str" cm="1">
        <f t="array" ref="AE4">_xlfn.LET(_xlpm.base, " " &amp; LOWER(TRIM($AD4))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tachycardie psychogène</v>
      </c>
      <c r="AF4" t="str" cm="1">
        <f t="array" ref="AF4">_xlfn.LET(_xlpm.base, " " &amp; LOWER(TRIM($AE4))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tachycardie psychogène</v>
      </c>
    </row>
    <row r="5" spans="1:32" ht="134.25">
      <c r="A5" s="8">
        <v>2011</v>
      </c>
      <c r="B5" s="10" t="s">
        <v>32</v>
      </c>
      <c r="C5" s="8" t="s">
        <v>33</v>
      </c>
      <c r="D5" s="20">
        <v>178</v>
      </c>
      <c r="E5" s="11" t="str">
        <f>IF(D5="","",IFERROR(INDEX(SSP!$E$2:$E$266, MATCH(D5, SSP!$F$2:$F$266, 0)),""))</f>
        <v>Complications maternelles pendant la grossesse (fièvre, œdème, hypertension, travail prématuré)</v>
      </c>
      <c r="F5" s="11" t="str">
        <f>Feuil1!E5</f>
        <v>Hypertension</v>
      </c>
      <c r="G5" s="12" t="s">
        <v>46</v>
      </c>
      <c r="H5" s="13" t="s">
        <v>47</v>
      </c>
      <c r="I5" s="13"/>
      <c r="J5" s="15" t="s">
        <v>48</v>
      </c>
      <c r="K5" s="9" t="s">
        <v>49</v>
      </c>
      <c r="L5" s="9" t="s">
        <v>33</v>
      </c>
      <c r="M5" s="9" t="s">
        <v>33</v>
      </c>
      <c r="N5" t="s">
        <v>50</v>
      </c>
      <c r="O5" t="str">
        <f>IFERROR(_xlfn.XLOOKUP($D5, SSP!$F:$F, SSP!$E:$E, "Inconnu"), "")</f>
        <v>Complications maternelles pendant la grossesse (fièvre, œdème, hypertension, travail prématuré)</v>
      </c>
      <c r="P5" t="str">
        <f>IF(OR(E5="", O5=""), "", IF(LOWER(E5)=LOWER(O5), "OK", "⚠️ Libellé ≠ n°"))</f>
        <v>OK</v>
      </c>
      <c r="Q5" t="str">
        <f>IF(Feuil1!$E5="", "", IF(LOWER(Feuil1!$E5)=LOWER(E5), "Identique", "Différent"))</f>
        <v>Différent</v>
      </c>
      <c r="R5" t="str">
        <f>IF(OR(P5="⚠️ Libellé ≠ n°", O5="Inconnu"), "⚠️", IF(Q5="Différent", "ℹ️", ""))</f>
        <v>ℹ️</v>
      </c>
      <c r="S5" t="str" cm="1">
        <f t="array" ref="S5">_xlfn.LET(_xlpm.genCat,IFERROR(LOWER(TRIM(G5)),""),_xlpm.principal,IFERROR(LOWER(TRIM(H5)),""),_xlpm.orig,IFERROR(LOWER(TRIM(N5)),""),IF(OR(_xlpm.genCat="",_xlpm.principal=""),"",IF(LEFT(LOWER(G5),5)="autre","OK (Autre)",IF(OR(ISNUMBER(SEARCH(_xlpm.genCat,_xlpm.principal)),ISNUMBER(SEARCH(_xlpm.principal,_xlpm.genCat)),AND(_xlpm.orig&lt;&gt;"",OR(ISNUMBER(SEARCH(_xlpm.genCat,_xlpm.orig)),ISNUMBER(SEARCH(_xlpm.orig,_xlpm.genCat))))),"OK","⚠️ À vérifier"))))</f>
        <v>OK</v>
      </c>
      <c r="T5" t="str">
        <f>IF(S5="","",IF(S5="OK (Autre)","Diagnostic générique = 'Autre – …'",IF(S5="OK","Concordance générique/principal","Écart entre générique et principal")))</f>
        <v>Concordance générique/principal</v>
      </c>
      <c r="U5" t="str" cm="1">
        <f t="array" ref="U5">_xlfn.LET(_xlpm.yr, A5, _xlpm.diag, IF(N5&lt;&gt;"", N5, H5), _xlpm.base, TRIM(SUBSTITUTE(SUBSTITUTE(SUBSTITUTE(SUBSTITUTE(_xlpm.diag,"•"," "),CHAR(160)," "),CHAR(10)," "),"  "," ")), LOWER(_xlpm.yr&amp;"|"&amp;_xlpm.base))</f>
        <v>2011|hta</v>
      </c>
      <c r="V5" t="str">
        <f>IFERROR(_xlfn.XLOOKUP($AB5,'Cas 2013-2017'!$K:$K,'Cas 2013-2017'!$D:$D,""),"")</f>
        <v/>
      </c>
      <c r="W5" t="str">
        <f>IFERROR(_xlfn.XLOOKUP($AB5,'Cas 2013-2017'!$K:$K,'Cas 2013-2017'!$E:$E,""),"")</f>
        <v/>
      </c>
      <c r="X5" t="str">
        <f>IFERROR(_xlfn.XLOOKUP($AB5,'Cas 2013-2017'!$K:$K,'Cas 2013-2017'!$F:$F,""),"")</f>
        <v/>
      </c>
      <c r="Y5" t="str">
        <f>IFERROR(_xlfn.XLOOKUP($AB5,'Cas 2013-2017'!$K:$K,'Cas 2013-2017'!$G:$G,""),"")</f>
        <v/>
      </c>
      <c r="Z5" t="str">
        <f>IFERROR(_xlfn.XLOOKUP($AB5,'Cas 2013-2017'!$K:$K,'Cas 2013-2017'!$I:$I,""),"")</f>
        <v/>
      </c>
      <c r="AA5" t="str">
        <f>IFERROR(_xlfn.XLOOKUP($AB5,'Cas 2013-2017'!$K:$K,'Cas 2013-2017'!$H:$H,""),"")</f>
        <v/>
      </c>
      <c r="AB5" t="str">
        <f>LOWER($A5 &amp; "|" &amp; $AF5)</f>
        <v>2011|hypertension arterielle</v>
      </c>
      <c r="AC5" t="str">
        <f>TRIM(SUBSTITUTE(SUBSTITUTE(SUBSTITUTE(SUBSTITUTE(" " &amp; LOWER(TRIM(IF($N5&lt;&gt;"", $N5, $H5))) &amp; " ", " aomi ", " arteriopathie des membres inferieurs "), " hta ", " hypertension arterielle "), " saos ", " syndrome d'apnees obstructives du sommeil "), " rgo ", " reflux gastro-oesophagien ") )</f>
        <v>hypertension arterielle</v>
      </c>
      <c r="AD5" t="str">
        <f>TRIM(SUBSTITUTE(SUBSTITUTE(SUBSTITUTE(SUBSTITUTE(" " &amp; LOWER(TRIM($AC5)) &amp; " ", " oacr ", " occlusion de l'artere centrale de la retine "), " hsd ", " hematome sous-dural "), " fa ", " fibrillation auriculaire "), " ep ", " embolie pulmonaire ") )</f>
        <v>hypertension arterielle</v>
      </c>
      <c r="AE5" t="str" cm="1">
        <f t="array" ref="AE5">_xlfn.LET(_xlpm.base, " " &amp; LOWER(TRIM($AD5))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hypertension arterielle</v>
      </c>
      <c r="AF5" t="str" cm="1">
        <f t="array" ref="AF5">_xlfn.LET(_xlpm.base, " " &amp; LOWER(TRIM($AE5))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hypertension arterielle</v>
      </c>
    </row>
    <row r="6" spans="1:32" ht="50.25">
      <c r="A6" s="8">
        <v>2011</v>
      </c>
      <c r="B6" s="10" t="s">
        <v>51</v>
      </c>
      <c r="C6" s="8" t="s">
        <v>33</v>
      </c>
      <c r="D6" s="20">
        <v>93</v>
      </c>
      <c r="E6" s="11" t="str">
        <f>IF(D6="","",IFERROR(INDEX(SSP!$E$2:$E$266, MATCH(D6, SSP!$F$2:$F$266, 0)),""))</f>
        <v>Macules, papules, pustules, vésicules, ulcères, abcès, bulles, épaississement cutané, nécrose, tumeur cutanée</v>
      </c>
      <c r="F6" s="11" t="str">
        <f>Feuil1!E6</f>
        <v>Éruption cutanée</v>
      </c>
      <c r="G6" s="12" t="s">
        <v>52</v>
      </c>
      <c r="H6" s="13" t="s">
        <v>52</v>
      </c>
      <c r="I6" s="13"/>
      <c r="J6" s="15" t="s">
        <v>53</v>
      </c>
      <c r="K6" s="9" t="s">
        <v>54</v>
      </c>
      <c r="L6" s="9" t="s">
        <v>33</v>
      </c>
      <c r="M6" s="9" t="s">
        <v>33</v>
      </c>
      <c r="N6" t="s">
        <v>52</v>
      </c>
      <c r="O6" t="str">
        <f>IFERROR(_xlfn.XLOOKUP($D6, SSP!$F:$F, SSP!$E:$E, "Inconnu"), "")</f>
        <v>Macules, papules, pustules, vésicules, ulcères, abcès, bulles, épaississement cutané, nécrose, tumeur cutanée</v>
      </c>
      <c r="P6" t="str">
        <f>IF(OR(E6="", O6=""), "", IF(LOWER(E6)=LOWER(O6), "OK", "⚠️ Libellé ≠ n°"))</f>
        <v>OK</v>
      </c>
      <c r="Q6" t="str">
        <f>IF(Feuil1!$E6="", "", IF(LOWER(Feuil1!$E6)=LOWER(E6), "Identique", "Différent"))</f>
        <v>Différent</v>
      </c>
      <c r="R6" t="str">
        <f>IF(OR(P6="⚠️ Libellé ≠ n°", O6="Inconnu"), "⚠️", IF(Q6="Différent", "ℹ️", ""))</f>
        <v>ℹ️</v>
      </c>
      <c r="S6" t="str" cm="1">
        <f t="array" ref="S6">_xlfn.LET(_xlpm.genCat,IFERROR(LOWER(TRIM(G6)),""),_xlpm.principal,IFERROR(LOWER(TRIM(H6)),""),_xlpm.orig,IFERROR(LOWER(TRIM(N6)),""),IF(OR(_xlpm.genCat="",_xlpm.principal=""),"",IF(LEFT(LOWER(G6),5)="autre","OK (Autre)",IF(OR(ISNUMBER(SEARCH(_xlpm.genCat,_xlpm.principal)),ISNUMBER(SEARCH(_xlpm.principal,_xlpm.genCat)),AND(_xlpm.orig&lt;&gt;"",OR(ISNUMBER(SEARCH(_xlpm.genCat,_xlpm.orig)),ISNUMBER(SEARCH(_xlpm.orig,_xlpm.genCat))))),"OK","⚠️ À vérifier"))))</f>
        <v>OK</v>
      </c>
      <c r="T6" t="str">
        <f>IF(S6="","",IF(S6="OK (Autre)","Diagnostic générique = 'Autre – …'",IF(S6="OK","Concordance générique/principal","Écart entre générique et principal")))</f>
        <v>Concordance générique/principal</v>
      </c>
      <c r="U6" t="str" cm="1">
        <f t="array" ref="U6">_xlfn.LET(_xlpm.yr, A6, _xlpm.diag, IF(N6&lt;&gt;"", N6, H6), _xlpm.base, TRIM(SUBSTITUTE(SUBSTITUTE(SUBSTITUTE(SUBSTITUTE(_xlpm.diag,"•"," "),CHAR(160)," "),CHAR(10)," "),"  "," ")), LOWER(_xlpm.yr&amp;"|"&amp;_xlpm.base))</f>
        <v>2011|psoriasis</v>
      </c>
      <c r="V6" t="str">
        <f>IFERROR(_xlfn.XLOOKUP($AB6,'Cas 2013-2017'!$K:$K,'Cas 2013-2017'!$D:$D,""),"")</f>
        <v/>
      </c>
      <c r="W6" t="str">
        <f>IFERROR(_xlfn.XLOOKUP($AB6,'Cas 2013-2017'!$K:$K,'Cas 2013-2017'!$E:$E,""),"")</f>
        <v/>
      </c>
      <c r="X6" t="str">
        <f>IFERROR(_xlfn.XLOOKUP($AB6,'Cas 2013-2017'!$K:$K,'Cas 2013-2017'!$F:$F,""),"")</f>
        <v/>
      </c>
      <c r="Y6" t="str">
        <f>IFERROR(_xlfn.XLOOKUP($AB6,'Cas 2013-2017'!$K:$K,'Cas 2013-2017'!$G:$G,""),"")</f>
        <v/>
      </c>
      <c r="Z6" t="str">
        <f>IFERROR(_xlfn.XLOOKUP($AB6,'Cas 2013-2017'!$K:$K,'Cas 2013-2017'!$I:$I,""),"")</f>
        <v/>
      </c>
      <c r="AA6" t="str">
        <f>IFERROR(_xlfn.XLOOKUP($AB6,'Cas 2013-2017'!$K:$K,'Cas 2013-2017'!$H:$H,""),"")</f>
        <v/>
      </c>
      <c r="AB6" t="str">
        <f>LOWER($A6 &amp; "|" &amp; $AF6)</f>
        <v>2011|psoriasis</v>
      </c>
      <c r="AC6" t="str">
        <f>TRIM(SUBSTITUTE(SUBSTITUTE(SUBSTITUTE(SUBSTITUTE(" " &amp; LOWER(TRIM(IF($N6&lt;&gt;"", $N6, $H6))) &amp; " ", " aomi ", " arteriopathie des membres inferieurs "), " hta ", " hypertension arterielle "), " saos ", " syndrome d'apnees obstructives du sommeil "), " rgo ", " reflux gastro-oesophagien ") )</f>
        <v>psoriasis</v>
      </c>
      <c r="AD6" t="str">
        <f>TRIM(SUBSTITUTE(SUBSTITUTE(SUBSTITUTE(SUBSTITUTE(" " &amp; LOWER(TRIM($AC6)) &amp; " ", " oacr ", " occlusion de l'artere centrale de la retine "), " hsd ", " hematome sous-dural "), " fa ", " fibrillation auriculaire "), " ep ", " embolie pulmonaire ") )</f>
        <v>psoriasis</v>
      </c>
      <c r="AE6" t="str" cm="1">
        <f t="array" ref="AE6">_xlfn.LET(_xlpm.base, " " &amp; LOWER(TRIM($AD6))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psoriasis</v>
      </c>
      <c r="AF6" t="str" cm="1">
        <f t="array" ref="AF6">_xlfn.LET(_xlpm.base, " " &amp; LOWER(TRIM($AE6))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psoriasis</v>
      </c>
    </row>
    <row r="7" spans="1:32" ht="66.75">
      <c r="A7" s="8">
        <v>2011</v>
      </c>
      <c r="B7" s="10" t="s">
        <v>33</v>
      </c>
      <c r="C7" s="8" t="s">
        <v>55</v>
      </c>
      <c r="D7" s="20">
        <v>130</v>
      </c>
      <c r="E7" s="11" t="str">
        <f>IF(D7="","",IFERROR(INDEX(SSP!$E$2:$E$266, MATCH(D7, SSP!$F$2:$F$266, 0)),""))</f>
        <v>Usage non médical de substances, dépendance (tabac, alcool, drogues, jeux, etc.)</v>
      </c>
      <c r="F7" s="11" t="str">
        <f>Feuil1!E7</f>
        <v>Abus d'alcool</v>
      </c>
      <c r="G7" s="12" t="s">
        <v>56</v>
      </c>
      <c r="H7" s="13" t="s">
        <v>57</v>
      </c>
      <c r="I7" s="13"/>
      <c r="J7" s="15" t="s">
        <v>58</v>
      </c>
      <c r="K7" s="9" t="s">
        <v>59</v>
      </c>
      <c r="L7" s="9" t="s">
        <v>33</v>
      </c>
      <c r="M7" s="9" t="s">
        <v>33</v>
      </c>
      <c r="N7" t="s">
        <v>57</v>
      </c>
      <c r="O7" t="str">
        <f>IFERROR(_xlfn.XLOOKUP($D7, SSP!$F:$F, SSP!$E:$E, "Inconnu"), "")</f>
        <v>Usage non médical de substances, dépendance (tabac, alcool, drogues, jeux, etc.)</v>
      </c>
      <c r="P7" t="str">
        <f>IF(OR(E7="", O7=""), "", IF(LOWER(E7)=LOWER(O7), "OK", "⚠️ Libellé ≠ n°"))</f>
        <v>OK</v>
      </c>
      <c r="Q7" t="str">
        <f>IF(Feuil1!$E7="", "", IF(LOWER(Feuil1!$E7)=LOWER(E7), "Identique", "Différent"))</f>
        <v>Différent</v>
      </c>
      <c r="R7" t="str">
        <f>IF(OR(P7="⚠️ Libellé ≠ n°", O7="Inconnu"), "⚠️", IF(Q7="Différent", "ℹ️", ""))</f>
        <v>ℹ️</v>
      </c>
      <c r="S7" t="str" cm="1">
        <f t="array" ref="S7">_xlfn.LET(_xlpm.genCat,IFERROR(LOWER(TRIM(G7)),""),_xlpm.principal,IFERROR(LOWER(TRIM(H7)),""),_xlpm.orig,IFERROR(LOWER(TRIM(N7)),""),IF(OR(_xlpm.genCat="",_xlpm.principal=""),"",IF(LEFT(LOWER(G7),5)="autre","OK (Autre)",IF(OR(ISNUMBER(SEARCH(_xlpm.genCat,_xlpm.principal)),ISNUMBER(SEARCH(_xlpm.principal,_xlpm.genCat)),AND(_xlpm.orig&lt;&gt;"",OR(ISNUMBER(SEARCH(_xlpm.genCat,_xlpm.orig)),ISNUMBER(SEARCH(_xlpm.orig,_xlpm.genCat))))),"OK","⚠️ À vérifier"))))</f>
        <v>⚠️ À vérifier</v>
      </c>
      <c r="T7" t="str">
        <f>IF(S7="","",IF(S7="OK (Autre)","Diagnostic générique = 'Autre – …'",IF(S7="OK","Concordance générique/principal","Écart entre générique et principal")))</f>
        <v>Écart entre générique et principal</v>
      </c>
      <c r="U7" t="str" cm="1">
        <f t="array" ref="U7">_xlfn.LET(_xlpm.yr, A7, _xlpm.diag, IF(N7&lt;&gt;"", N7, H7), _xlpm.base, TRIM(SUBSTITUTE(SUBSTITUTE(SUBSTITUTE(SUBSTITUTE(_xlpm.diag,"•"," "),CHAR(160)," "),CHAR(10)," "),"  "," ")), LOWER(_xlpm.yr&amp;"|"&amp;_xlpm.base))</f>
        <v>2011|addiction</v>
      </c>
      <c r="V7" t="str">
        <f>IFERROR(_xlfn.XLOOKUP($AB7,'Cas 2013-2017'!$K:$K,'Cas 2013-2017'!$D:$D,""),"")</f>
        <v/>
      </c>
      <c r="W7" t="str">
        <f>IFERROR(_xlfn.XLOOKUP($AB7,'Cas 2013-2017'!$K:$K,'Cas 2013-2017'!$E:$E,""),"")</f>
        <v/>
      </c>
      <c r="X7" t="str">
        <f>IFERROR(_xlfn.XLOOKUP($AB7,'Cas 2013-2017'!$K:$K,'Cas 2013-2017'!$F:$F,""),"")</f>
        <v/>
      </c>
      <c r="Y7" t="str">
        <f>IFERROR(_xlfn.XLOOKUP($AB7,'Cas 2013-2017'!$K:$K,'Cas 2013-2017'!$G:$G,""),"")</f>
        <v/>
      </c>
      <c r="Z7" t="str">
        <f>IFERROR(_xlfn.XLOOKUP($AB7,'Cas 2013-2017'!$K:$K,'Cas 2013-2017'!$I:$I,""),"")</f>
        <v/>
      </c>
      <c r="AA7" t="str">
        <f>IFERROR(_xlfn.XLOOKUP($AB7,'Cas 2013-2017'!$K:$K,'Cas 2013-2017'!$H:$H,""),"")</f>
        <v/>
      </c>
      <c r="AB7" t="str">
        <f>LOWER($A7 &amp; "|" &amp; $AF7)</f>
        <v>2011|addiction</v>
      </c>
      <c r="AC7" t="str">
        <f>TRIM(SUBSTITUTE(SUBSTITUTE(SUBSTITUTE(SUBSTITUTE(" " &amp; LOWER(TRIM(IF($N7&lt;&gt;"", $N7, $H7))) &amp; " ", " aomi ", " arteriopathie des membres inferieurs "), " hta ", " hypertension arterielle "), " saos ", " syndrome d'apnees obstructives du sommeil "), " rgo ", " reflux gastro-oesophagien ") )</f>
        <v>addiction</v>
      </c>
      <c r="AD7" t="str">
        <f>TRIM(SUBSTITUTE(SUBSTITUTE(SUBSTITUTE(SUBSTITUTE(" " &amp; LOWER(TRIM($AC7)) &amp; " ", " oacr ", " occlusion de l'artere centrale de la retine "), " hsd ", " hematome sous-dural "), " fa ", " fibrillation auriculaire "), " ep ", " embolie pulmonaire ") )</f>
        <v>addiction</v>
      </c>
      <c r="AE7" t="str" cm="1">
        <f t="array" ref="AE7">_xlfn.LET(_xlpm.base, " " &amp; LOWER(TRIM($AD7))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addiction</v>
      </c>
      <c r="AF7" t="str" cm="1">
        <f t="array" ref="AF7">_xlfn.LET(_xlpm.base, " " &amp; LOWER(TRIM($AE7))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addiction</v>
      </c>
    </row>
    <row r="8" spans="1:32" ht="66.75">
      <c r="A8" s="8">
        <v>2011</v>
      </c>
      <c r="B8" s="10" t="s">
        <v>60</v>
      </c>
      <c r="C8" s="8" t="s">
        <v>33</v>
      </c>
      <c r="D8" s="20">
        <v>4</v>
      </c>
      <c r="E8" s="11" t="str">
        <f>IF(D8="","",IFERROR(INDEX(SSP!$E$2:$E$266, MATCH(D8, SSP!$F$2:$F$266, 0)),""))</f>
        <v>Fatigue, asthénie</v>
      </c>
      <c r="F8" s="11" t="str">
        <f>Feuil1!E8</f>
        <v>Fatigue</v>
      </c>
      <c r="G8" s="12" t="s">
        <v>61</v>
      </c>
      <c r="H8" s="13" t="s">
        <v>61</v>
      </c>
      <c r="I8" s="13"/>
      <c r="J8" s="15" t="s">
        <v>62</v>
      </c>
      <c r="K8" s="9" t="s">
        <v>33</v>
      </c>
      <c r="L8" s="9" t="s">
        <v>33</v>
      </c>
      <c r="M8" s="9" t="s">
        <v>33</v>
      </c>
      <c r="N8" t="s">
        <v>63</v>
      </c>
      <c r="O8" t="str">
        <f>IFERROR(_xlfn.XLOOKUP($D8, SSP!$F:$F, SSP!$E:$E, "Inconnu"), "")</f>
        <v>Fatigue, asthénie</v>
      </c>
      <c r="P8" t="str">
        <f>IF(OR(E8="", O8=""), "", IF(LOWER(E8)=LOWER(O8), "OK", "⚠️ Libellé ≠ n°"))</f>
        <v>OK</v>
      </c>
      <c r="Q8" t="str">
        <f>IF(Feuil1!$E8="", "", IF(LOWER(Feuil1!$E8)=LOWER(E8), "Identique", "Différent"))</f>
        <v>Différent</v>
      </c>
      <c r="R8" t="str">
        <f>IF(OR(P8="⚠️ Libellé ≠ n°", O8="Inconnu"), "⚠️", IF(Q8="Différent", "ℹ️", ""))</f>
        <v>ℹ️</v>
      </c>
      <c r="S8" t="str" cm="1">
        <f t="array" ref="S8">_xlfn.LET(_xlpm.genCat,IFERROR(LOWER(TRIM(G8)),""),_xlpm.principal,IFERROR(LOWER(TRIM(H8)),""),_xlpm.orig,IFERROR(LOWER(TRIM(N8)),""),IF(OR(_xlpm.genCat="",_xlpm.principal=""),"",IF(LEFT(LOWER(G8),5)="autre","OK (Autre)",IF(OR(ISNUMBER(SEARCH(_xlpm.genCat,_xlpm.principal)),ISNUMBER(SEARCH(_xlpm.principal,_xlpm.genCat)),AND(_xlpm.orig&lt;&gt;"",OR(ISNUMBER(SEARCH(_xlpm.genCat,_xlpm.orig)),ISNUMBER(SEARCH(_xlpm.orig,_xlpm.genCat))))),"OK","⚠️ À vérifier"))))</f>
        <v>OK</v>
      </c>
      <c r="T8" t="str">
        <f>IF(S8="","",IF(S8="OK (Autre)","Diagnostic générique = 'Autre – …'",IF(S8="OK","Concordance générique/principal","Écart entre générique et principal")))</f>
        <v>Concordance générique/principal</v>
      </c>
      <c r="U8" t="str" cm="1">
        <f t="array" ref="U8">_xlfn.LET(_xlpm.yr, A8, _xlpm.diag, IF(N8&lt;&gt;"", N8, H8), _xlpm.base, TRIM(SUBSTITUTE(SUBSTITUTE(SUBSTITUTE(SUBSTITUTE(_xlpm.diag,"•"," "),CHAR(160)," "),CHAR(10)," "),"  "," ")), LOWER(_xlpm.yr&amp;"|"&amp;_xlpm.base))</f>
        <v>2011|hypothyroidie</v>
      </c>
      <c r="V8" t="str">
        <f>IFERROR(_xlfn.XLOOKUP($AB8,'Cas 2013-2017'!$K:$K,'Cas 2013-2017'!$D:$D,""),"")</f>
        <v/>
      </c>
      <c r="W8" t="str">
        <f>IFERROR(_xlfn.XLOOKUP($AB8,'Cas 2013-2017'!$K:$K,'Cas 2013-2017'!$E:$E,""),"")</f>
        <v/>
      </c>
      <c r="X8" t="str">
        <f>IFERROR(_xlfn.XLOOKUP($AB8,'Cas 2013-2017'!$K:$K,'Cas 2013-2017'!$F:$F,""),"")</f>
        <v/>
      </c>
      <c r="Y8" t="str">
        <f>IFERROR(_xlfn.XLOOKUP($AB8,'Cas 2013-2017'!$K:$K,'Cas 2013-2017'!$G:$G,""),"")</f>
        <v/>
      </c>
      <c r="Z8" t="str">
        <f>IFERROR(_xlfn.XLOOKUP($AB8,'Cas 2013-2017'!$K:$K,'Cas 2013-2017'!$I:$I,""),"")</f>
        <v/>
      </c>
      <c r="AA8" t="str">
        <f>IFERROR(_xlfn.XLOOKUP($AB8,'Cas 2013-2017'!$K:$K,'Cas 2013-2017'!$H:$H,""),"")</f>
        <v/>
      </c>
      <c r="AB8" t="str">
        <f>LOWER($A8 &amp; "|" &amp; $AF8)</f>
        <v>2011|hypothyroidie</v>
      </c>
      <c r="AC8" t="str">
        <f>TRIM(SUBSTITUTE(SUBSTITUTE(SUBSTITUTE(SUBSTITUTE(" " &amp; LOWER(TRIM(IF($N8&lt;&gt;"", $N8, $H8))) &amp; " ", " aomi ", " arteriopathie des membres inferieurs "), " hta ", " hypertension arterielle "), " saos ", " syndrome d'apnees obstructives du sommeil "), " rgo ", " reflux gastro-oesophagien ") )</f>
        <v>hypothyroidie</v>
      </c>
      <c r="AD8" t="str">
        <f>TRIM(SUBSTITUTE(SUBSTITUTE(SUBSTITUTE(SUBSTITUTE(" " &amp; LOWER(TRIM($AC8)) &amp; " ", " oacr ", " occlusion de l'artere centrale de la retine "), " hsd ", " hematome sous-dural "), " fa ", " fibrillation auriculaire "), " ep ", " embolie pulmonaire ") )</f>
        <v>hypothyroidie</v>
      </c>
      <c r="AE8" t="str" cm="1">
        <f t="array" ref="AE8">_xlfn.LET(_xlpm.base, " " &amp; LOWER(TRIM($AD8))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hypothyroidie</v>
      </c>
      <c r="AF8" t="str" cm="1">
        <f t="array" ref="AF8">_xlfn.LET(_xlpm.base, " " &amp; LOWER(TRIM($AE8))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hypothyroidie</v>
      </c>
    </row>
    <row r="9" spans="1:32" ht="33.75">
      <c r="A9" s="8">
        <v>2011</v>
      </c>
      <c r="B9" s="10" t="s">
        <v>64</v>
      </c>
      <c r="C9" s="8" t="s">
        <v>33</v>
      </c>
      <c r="D9" s="20">
        <v>91</v>
      </c>
      <c r="E9" s="11" t="str">
        <f>IF(D9="","",IFERROR(INDEX(SSP!$E$2:$E$266, MATCH(D9, SSP!$F$2:$F$266, 0)),""))</f>
        <v>Ictère</v>
      </c>
      <c r="F9" s="11" t="str">
        <f>Feuil1!E9</f>
        <v>Ictère</v>
      </c>
      <c r="G9" s="12" t="s">
        <v>65</v>
      </c>
      <c r="H9" s="13" t="s">
        <v>66</v>
      </c>
      <c r="I9" s="13"/>
      <c r="J9" s="15" t="s">
        <v>67</v>
      </c>
      <c r="K9" s="9" t="s">
        <v>33</v>
      </c>
      <c r="L9" s="9" t="s">
        <v>33</v>
      </c>
      <c r="M9" s="9" t="s">
        <v>33</v>
      </c>
      <c r="N9" t="s">
        <v>66</v>
      </c>
      <c r="O9" t="str">
        <f>IFERROR(_xlfn.XLOOKUP($D9, SSP!$F:$F, SSP!$E:$E, "Inconnu"), "")</f>
        <v>Ictère</v>
      </c>
      <c r="P9" t="str">
        <f>IF(OR(E9="", O9=""), "", IF(LOWER(E9)=LOWER(O9), "OK", "⚠️ Libellé ≠ n°"))</f>
        <v>OK</v>
      </c>
      <c r="Q9" t="str">
        <f>IF(Feuil1!$E9="", "", IF(LOWER(Feuil1!$E9)=LOWER(E9), "Identique", "Différent"))</f>
        <v>Identique</v>
      </c>
      <c r="R9" t="str">
        <f>IF(OR(P9="⚠️ Libellé ≠ n°", O9="Inconnu"), "⚠️", IF(Q9="Différent", "ℹ️", ""))</f>
        <v/>
      </c>
      <c r="S9" t="str" cm="1">
        <f t="array" ref="S9">_xlfn.LET(_xlpm.genCat,IFERROR(LOWER(TRIM(G9)),""),_xlpm.principal,IFERROR(LOWER(TRIM(H9)),""),_xlpm.orig,IFERROR(LOWER(TRIM(N9)),""),IF(OR(_xlpm.genCat="",_xlpm.principal=""),"",IF(LEFT(LOWER(G9),5)="autre","OK (Autre)",IF(OR(ISNUMBER(SEARCH(_xlpm.genCat,_xlpm.principal)),ISNUMBER(SEARCH(_xlpm.principal,_xlpm.genCat)),AND(_xlpm.orig&lt;&gt;"",OR(ISNUMBER(SEARCH(_xlpm.genCat,_xlpm.orig)),ISNUMBER(SEARCH(_xlpm.orig,_xlpm.genCat))))),"OK","⚠️ À vérifier"))))</f>
        <v>⚠️ À vérifier</v>
      </c>
      <c r="T9" t="str">
        <f>IF(S9="","",IF(S9="OK (Autre)","Diagnostic générique = 'Autre – …'",IF(S9="OK","Concordance générique/principal","Écart entre générique et principal")))</f>
        <v>Écart entre générique et principal</v>
      </c>
      <c r="U9" t="str" cm="1">
        <f t="array" ref="U9">_xlfn.LET(_xlpm.yr, A9, _xlpm.diag, IF(N9&lt;&gt;"", N9, H9), _xlpm.base, TRIM(SUBSTITUTE(SUBSTITUTE(SUBSTITUTE(SUBSTITUTE(_xlpm.diag,"•"," "),CHAR(160)," "),CHAR(10)," "),"  "," ")), LOWER(_xlpm.yr&amp;"|"&amp;_xlpm.base))</f>
        <v>2011|carcinome hépatocellulaire</v>
      </c>
      <c r="V9" t="str">
        <f>IFERROR(_xlfn.XLOOKUP($AB9,'Cas 2013-2017'!$K:$K,'Cas 2013-2017'!$D:$D,""),"")</f>
        <v/>
      </c>
      <c r="W9" t="str">
        <f>IFERROR(_xlfn.XLOOKUP($AB9,'Cas 2013-2017'!$K:$K,'Cas 2013-2017'!$E:$E,""),"")</f>
        <v/>
      </c>
      <c r="X9" t="str">
        <f>IFERROR(_xlfn.XLOOKUP($AB9,'Cas 2013-2017'!$K:$K,'Cas 2013-2017'!$F:$F,""),"")</f>
        <v/>
      </c>
      <c r="Y9" t="str">
        <f>IFERROR(_xlfn.XLOOKUP($AB9,'Cas 2013-2017'!$K:$K,'Cas 2013-2017'!$G:$G,""),"")</f>
        <v/>
      </c>
      <c r="Z9" t="str">
        <f>IFERROR(_xlfn.XLOOKUP($AB9,'Cas 2013-2017'!$K:$K,'Cas 2013-2017'!$I:$I,""),"")</f>
        <v/>
      </c>
      <c r="AA9" t="str">
        <f>IFERROR(_xlfn.XLOOKUP($AB9,'Cas 2013-2017'!$K:$K,'Cas 2013-2017'!$H:$H,""),"")</f>
        <v/>
      </c>
      <c r="AB9" t="str">
        <f>LOWER($A9 &amp; "|" &amp; $AF9)</f>
        <v>2011|carcinome hépatocellulaire</v>
      </c>
      <c r="AC9" t="str">
        <f>TRIM(SUBSTITUTE(SUBSTITUTE(SUBSTITUTE(SUBSTITUTE(" " &amp; LOWER(TRIM(IF($N9&lt;&gt;"", $N9, $H9))) &amp; " ", " aomi ", " arteriopathie des membres inferieurs "), " hta ", " hypertension arterielle "), " saos ", " syndrome d'apnees obstructives du sommeil "), " rgo ", " reflux gastro-oesophagien ") )</f>
        <v>carcinome hépatocellulaire</v>
      </c>
      <c r="AD9" t="str">
        <f>TRIM(SUBSTITUTE(SUBSTITUTE(SUBSTITUTE(SUBSTITUTE(" " &amp; LOWER(TRIM($AC9)) &amp; " ", " oacr ", " occlusion de l'artere centrale de la retine "), " hsd ", " hematome sous-dural "), " fa ", " fibrillation auriculaire "), " ep ", " embolie pulmonaire ") )</f>
        <v>carcinome hépatocellulaire</v>
      </c>
      <c r="AE9" t="str" cm="1">
        <f t="array" ref="AE9">_xlfn.LET(_xlpm.base, " " &amp; LOWER(TRIM($AD9))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carcinome hépatocellulaire</v>
      </c>
      <c r="AF9" t="str" cm="1">
        <f t="array" ref="AF9">_xlfn.LET(_xlpm.base, " " &amp; LOWER(TRIM($AE9))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carcinome hépatocellulaire</v>
      </c>
    </row>
    <row r="10" spans="1:32" ht="33.75">
      <c r="A10" s="8">
        <v>2011</v>
      </c>
      <c r="B10" s="10" t="s">
        <v>68</v>
      </c>
      <c r="C10" s="8" t="s">
        <v>33</v>
      </c>
      <c r="D10" s="20">
        <v>59</v>
      </c>
      <c r="E10" s="11" t="str">
        <f>IF(D10="","",IFERROR(INDEX(SSP!$E$2:$E$266, MATCH(D10, SSP!$F$2:$F$266, 0)),""))</f>
        <v>Diarrhée</v>
      </c>
      <c r="F10" s="11" t="str">
        <f>Feuil1!E10</f>
        <v>Diarrhée</v>
      </c>
      <c r="G10" s="12" t="s">
        <v>69</v>
      </c>
      <c r="H10" s="13" t="s">
        <v>70</v>
      </c>
      <c r="I10" s="13"/>
      <c r="J10" s="15" t="s">
        <v>71</v>
      </c>
      <c r="K10" s="9" t="s">
        <v>33</v>
      </c>
      <c r="L10" s="9" t="s">
        <v>33</v>
      </c>
      <c r="M10" s="9" t="s">
        <v>33</v>
      </c>
      <c r="N10" t="s">
        <v>70</v>
      </c>
      <c r="O10" t="str">
        <f>IFERROR(_xlfn.XLOOKUP($D10, SSP!$F:$F, SSP!$E:$E, "Inconnu"), "")</f>
        <v>Diarrhée</v>
      </c>
      <c r="P10" t="str">
        <f>IF(OR(E10="", O10=""), "", IF(LOWER(E10)=LOWER(O10), "OK", "⚠️ Libellé ≠ n°"))</f>
        <v>OK</v>
      </c>
      <c r="Q10" t="str">
        <f>IF(Feuil1!$E10="", "", IF(LOWER(Feuil1!$E10)=LOWER(E10), "Identique", "Différent"))</f>
        <v>Identique</v>
      </c>
      <c r="R10" t="str">
        <f>IF(OR(P10="⚠️ Libellé ≠ n°", O10="Inconnu"), "⚠️", IF(Q10="Différent", "ℹ️", ""))</f>
        <v/>
      </c>
      <c r="S10" t="str" cm="1">
        <f t="array" ref="S10">_xlfn.LET(_xlpm.genCat,IFERROR(LOWER(TRIM(G10)),""),_xlpm.principal,IFERROR(LOWER(TRIM(H10)),""),_xlpm.orig,IFERROR(LOWER(TRIM(N10)),""),IF(OR(_xlpm.genCat="",_xlpm.principal=""),"",IF(LEFT(LOWER(G10),5)="autre","OK (Autre)",IF(OR(ISNUMBER(SEARCH(_xlpm.genCat,_xlpm.principal)),ISNUMBER(SEARCH(_xlpm.principal,_xlpm.genCat)),AND(_xlpm.orig&lt;&gt;"",OR(ISNUMBER(SEARCH(_xlpm.genCat,_xlpm.orig)),ISNUMBER(SEARCH(_xlpm.orig,_xlpm.genCat))))),"OK","⚠️ À vérifier"))))</f>
        <v>⚠️ À vérifier</v>
      </c>
      <c r="T10" t="str">
        <f>IF(S10="","",IF(S10="OK (Autre)","Diagnostic générique = 'Autre – …'",IF(S10="OK","Concordance générique/principal","Écart entre générique et principal")))</f>
        <v>Écart entre générique et principal</v>
      </c>
      <c r="U10" t="str" cm="1">
        <f t="array" ref="U10">_xlfn.LET(_xlpm.yr, A10, _xlpm.diag, IF(N10&lt;&gt;"", N10, H10), _xlpm.base, TRIM(SUBSTITUTE(SUBSTITUTE(SUBSTITUTE(SUBSTITUTE(_xlpm.diag,"•"," "),CHAR(160)," "),CHAR(10)," "),"  "," ")), LOWER(_xlpm.yr&amp;"|"&amp;_xlpm.base))</f>
        <v>2011|diarrhée du voyageur</v>
      </c>
      <c r="V10" t="str">
        <f>IFERROR(_xlfn.XLOOKUP($AB10,'Cas 2013-2017'!$K:$K,'Cas 2013-2017'!$D:$D,""),"")</f>
        <v/>
      </c>
      <c r="W10" t="str">
        <f>IFERROR(_xlfn.XLOOKUP($AB10,'Cas 2013-2017'!$K:$K,'Cas 2013-2017'!$E:$E,""),"")</f>
        <v/>
      </c>
      <c r="X10" t="str">
        <f>IFERROR(_xlfn.XLOOKUP($AB10,'Cas 2013-2017'!$K:$K,'Cas 2013-2017'!$F:$F,""),"")</f>
        <v/>
      </c>
      <c r="Y10" t="str">
        <f>IFERROR(_xlfn.XLOOKUP($AB10,'Cas 2013-2017'!$K:$K,'Cas 2013-2017'!$G:$G,""),"")</f>
        <v/>
      </c>
      <c r="Z10" t="str">
        <f>IFERROR(_xlfn.XLOOKUP($AB10,'Cas 2013-2017'!$K:$K,'Cas 2013-2017'!$I:$I,""),"")</f>
        <v/>
      </c>
      <c r="AA10" t="str">
        <f>IFERROR(_xlfn.XLOOKUP($AB10,'Cas 2013-2017'!$K:$K,'Cas 2013-2017'!$H:$H,""),"")</f>
        <v/>
      </c>
      <c r="AB10" t="str">
        <f>LOWER($A10 &amp; "|" &amp; $AF10)</f>
        <v>2011|diarrhée du voyageur</v>
      </c>
      <c r="AC10" t="str">
        <f>TRIM(SUBSTITUTE(SUBSTITUTE(SUBSTITUTE(SUBSTITUTE(" " &amp; LOWER(TRIM(IF($N10&lt;&gt;"", $N10, $H10))) &amp; " ", " aomi ", " arteriopathie des membres inferieurs "), " hta ", " hypertension arterielle "), " saos ", " syndrome d'apnees obstructives du sommeil "), " rgo ", " reflux gastro-oesophagien ") )</f>
        <v>diarrhée du voyageur</v>
      </c>
      <c r="AD10" t="str">
        <f>TRIM(SUBSTITUTE(SUBSTITUTE(SUBSTITUTE(SUBSTITUTE(" " &amp; LOWER(TRIM($AC10)) &amp; " ", " oacr ", " occlusion de l'artere centrale de la retine "), " hsd ", " hematome sous-dural "), " fa ", " fibrillation auriculaire "), " ep ", " embolie pulmonaire ") )</f>
        <v>diarrhée du voyageur</v>
      </c>
      <c r="AE10" t="str" cm="1">
        <f t="array" ref="AE10">_xlfn.LET(_xlpm.base, " " &amp; LOWER(TRIM($AD10))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diarrhée du voyageur</v>
      </c>
      <c r="AF10" t="str" cm="1">
        <f t="array" ref="AF10">_xlfn.LET(_xlpm.base, " " &amp; LOWER(TRIM($AE10))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diarrhée du voyageur</v>
      </c>
    </row>
    <row r="11" spans="1:32" ht="100.5">
      <c r="A11" s="8">
        <v>2011</v>
      </c>
      <c r="B11" s="10" t="s">
        <v>60</v>
      </c>
      <c r="C11" s="8" t="s">
        <v>33</v>
      </c>
      <c r="D11" s="20">
        <v>224</v>
      </c>
      <c r="E11" s="11" t="str">
        <f>IF(D11="","",IFERROR(INDEX(SSP!$E$2:$E$266, MATCH(D11, SSP!$F$2:$F$266, 0)),""))</f>
        <v>Demande de bilan de santé, d’examens radiologiques ou biologiques</v>
      </c>
      <c r="F11" s="11" t="str">
        <f>Feuil1!E11</f>
        <v>Bilan</v>
      </c>
      <c r="G11" s="12" t="s">
        <v>72</v>
      </c>
      <c r="H11" s="13" t="s">
        <v>73</v>
      </c>
      <c r="I11" s="13" t="s">
        <v>74</v>
      </c>
      <c r="J11" s="15" t="s">
        <v>75</v>
      </c>
      <c r="K11" s="9" t="s">
        <v>76</v>
      </c>
      <c r="L11" s="9" t="s">
        <v>33</v>
      </c>
      <c r="M11" s="9" t="s">
        <v>33</v>
      </c>
      <c r="N11" t="s">
        <v>73</v>
      </c>
      <c r="O11" t="str">
        <f>IFERROR(_xlfn.XLOOKUP($D11, SSP!$F:$F, SSP!$E:$E, "Inconnu"), "")</f>
        <v>Demande de bilan de santé, d’examens radiologiques ou biologiques</v>
      </c>
      <c r="P11" t="str">
        <f>IF(OR(E11="", O11=""), "", IF(LOWER(E11)=LOWER(O11), "OK", "⚠️ Libellé ≠ n°"))</f>
        <v>OK</v>
      </c>
      <c r="Q11" t="str">
        <f>IF(Feuil1!$E11="", "", IF(LOWER(Feuil1!$E11)=LOWER(E11), "Identique", "Différent"))</f>
        <v>Différent</v>
      </c>
      <c r="R11" t="str">
        <f>IF(OR(P11="⚠️ Libellé ≠ n°", O11="Inconnu"), "⚠️", IF(Q11="Différent", "ℹ️", ""))</f>
        <v>ℹ️</v>
      </c>
      <c r="S11" t="str" cm="1">
        <f t="array" ref="S11">_xlfn.LET(_xlpm.genCat,IFERROR(LOWER(TRIM(G11)),""),_xlpm.principal,IFERROR(LOWER(TRIM(H11)),""),_xlpm.orig,IFERROR(LOWER(TRIM(N11)),""),IF(OR(_xlpm.genCat="",_xlpm.principal=""),"",IF(LEFT(LOWER(G11),5)="autre","OK (Autre)",IF(OR(ISNUMBER(SEARCH(_xlpm.genCat,_xlpm.principal)),ISNUMBER(SEARCH(_xlpm.principal,_xlpm.genCat)),AND(_xlpm.orig&lt;&gt;"",OR(ISNUMBER(SEARCH(_xlpm.genCat,_xlpm.orig)),ISNUMBER(SEARCH(_xlpm.orig,_xlpm.genCat))))),"OK","⚠️ À vérifier"))))</f>
        <v>⚠️ À vérifier</v>
      </c>
      <c r="T11" t="str">
        <f>IF(S11="","",IF(S11="OK (Autre)","Diagnostic générique = 'Autre – …'",IF(S11="OK","Concordance générique/principal","Écart entre générique et principal")))</f>
        <v>Écart entre générique et principal</v>
      </c>
      <c r="U11" t="str" cm="1">
        <f t="array" ref="U11">_xlfn.LET(_xlpm.yr, A11, _xlpm.diag, IF(N11&lt;&gt;"", N11, H11), _xlpm.base, TRIM(SUBSTITUTE(SUBSTITUTE(SUBSTITUTE(SUBSTITUTE(_xlpm.diag,"•"," "),CHAR(160)," "),CHAR(10)," "),"  "," ")), LOWER(_xlpm.yr&amp;"|"&amp;_xlpm.base))</f>
        <v>2011|hémochromatose</v>
      </c>
      <c r="V11" t="str">
        <f>IFERROR(_xlfn.XLOOKUP($AB11,'Cas 2013-2017'!$K:$K,'Cas 2013-2017'!$D:$D,""),"")</f>
        <v/>
      </c>
      <c r="W11" t="str">
        <f>IFERROR(_xlfn.XLOOKUP($AB11,'Cas 2013-2017'!$K:$K,'Cas 2013-2017'!$E:$E,""),"")</f>
        <v/>
      </c>
      <c r="X11" t="str">
        <f>IFERROR(_xlfn.XLOOKUP($AB11,'Cas 2013-2017'!$K:$K,'Cas 2013-2017'!$F:$F,""),"")</f>
        <v/>
      </c>
      <c r="Y11" t="str">
        <f>IFERROR(_xlfn.XLOOKUP($AB11,'Cas 2013-2017'!$K:$K,'Cas 2013-2017'!$G:$G,""),"")</f>
        <v/>
      </c>
      <c r="Z11" t="str">
        <f>IFERROR(_xlfn.XLOOKUP($AB11,'Cas 2013-2017'!$K:$K,'Cas 2013-2017'!$I:$I,""),"")</f>
        <v/>
      </c>
      <c r="AA11" t="str">
        <f>IFERROR(_xlfn.XLOOKUP($AB11,'Cas 2013-2017'!$K:$K,'Cas 2013-2017'!$H:$H,""),"")</f>
        <v/>
      </c>
      <c r="AB11" t="str">
        <f>LOWER($A11 &amp; "|" &amp; $AF11)</f>
        <v>2011|hémochromatose</v>
      </c>
      <c r="AC11" t="str">
        <f>TRIM(SUBSTITUTE(SUBSTITUTE(SUBSTITUTE(SUBSTITUTE(" " &amp; LOWER(TRIM(IF($N11&lt;&gt;"", $N11, $H11))) &amp; " ", " aomi ", " arteriopathie des membres inferieurs "), " hta ", " hypertension arterielle "), " saos ", " syndrome d'apnees obstructives du sommeil "), " rgo ", " reflux gastro-oesophagien ") )</f>
        <v>hémochromatose</v>
      </c>
      <c r="AD11" t="str">
        <f>TRIM(SUBSTITUTE(SUBSTITUTE(SUBSTITUTE(SUBSTITUTE(" " &amp; LOWER(TRIM($AC11)) &amp; " ", " oacr ", " occlusion de l'artere centrale de la retine "), " hsd ", " hematome sous-dural "), " fa ", " fibrillation auriculaire "), " ep ", " embolie pulmonaire ") )</f>
        <v>hémochromatose</v>
      </c>
      <c r="AE11" t="str" cm="1">
        <f t="array" ref="AE11">_xlfn.LET(_xlpm.base, " " &amp; LOWER(TRIM($AD11))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hémochromatose</v>
      </c>
      <c r="AF11" t="str" cm="1">
        <f t="array" ref="AF11">_xlfn.LET(_xlpm.base, " " &amp; LOWER(TRIM($AE11))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hémochromatose</v>
      </c>
    </row>
    <row r="12" spans="1:32" ht="50.25">
      <c r="A12" s="8">
        <v>2011</v>
      </c>
      <c r="B12" s="10" t="s">
        <v>68</v>
      </c>
      <c r="C12" s="8" t="s">
        <v>33</v>
      </c>
      <c r="D12" s="20">
        <v>52</v>
      </c>
      <c r="E12" s="11" t="str">
        <f>IF(D12="","",IFERROR(INDEX(SSP!$E$2:$E$266, MATCH(D12, SSP!$F$2:$F$266, 0)),""))</f>
        <v>Douleur abdominale ou épigastrique</v>
      </c>
      <c r="F12" s="11" t="str">
        <f>Feuil1!E12</f>
        <v>Douleur abdominale</v>
      </c>
      <c r="G12" s="12" t="s">
        <v>77</v>
      </c>
      <c r="H12" s="13" t="s">
        <v>78</v>
      </c>
      <c r="I12" s="13"/>
      <c r="J12" s="15" t="s">
        <v>79</v>
      </c>
      <c r="K12" s="9" t="s">
        <v>80</v>
      </c>
      <c r="L12" s="9" t="s">
        <v>33</v>
      </c>
      <c r="M12" s="9" t="s">
        <v>33</v>
      </c>
      <c r="N12" t="s">
        <v>81</v>
      </c>
      <c r="O12" t="str">
        <f>IFERROR(_xlfn.XLOOKUP($D12, SSP!$F:$F, SSP!$E:$E, "Inconnu"), "")</f>
        <v>Douleur abdominale ou épigastrique</v>
      </c>
      <c r="P12" t="str">
        <f>IF(OR(E12="", O12=""), "", IF(LOWER(E12)=LOWER(O12), "OK", "⚠️ Libellé ≠ n°"))</f>
        <v>OK</v>
      </c>
      <c r="Q12" t="str">
        <f>IF(Feuil1!$E12="", "", IF(LOWER(Feuil1!$E12)=LOWER(E12), "Identique", "Différent"))</f>
        <v>Différent</v>
      </c>
      <c r="R12" t="str">
        <f>IF(OR(P12="⚠️ Libellé ≠ n°", O12="Inconnu"), "⚠️", IF(Q12="Différent", "ℹ️", ""))</f>
        <v>ℹ️</v>
      </c>
      <c r="S12" t="str" cm="1">
        <f t="array" ref="S12">_xlfn.LET(_xlpm.genCat,IFERROR(LOWER(TRIM(G12)),""),_xlpm.principal,IFERROR(LOWER(TRIM(H12)),""),_xlpm.orig,IFERROR(LOWER(TRIM(N12)),""),IF(OR(_xlpm.genCat="",_xlpm.principal=""),"",IF(LEFT(LOWER(G12),5)="autre","OK (Autre)",IF(OR(ISNUMBER(SEARCH(_xlpm.genCat,_xlpm.principal)),ISNUMBER(SEARCH(_xlpm.principal,_xlpm.genCat)),AND(_xlpm.orig&lt;&gt;"",OR(ISNUMBER(SEARCH(_xlpm.genCat,_xlpm.orig)),ISNUMBER(SEARCH(_xlpm.orig,_xlpm.genCat))))),"OK","⚠️ À vérifier"))))</f>
        <v>OK</v>
      </c>
      <c r="T12" t="str">
        <f>IF(S12="","",IF(S12="OK (Autre)","Diagnostic générique = 'Autre – …'",IF(S12="OK","Concordance générique/principal","Écart entre générique et principal")))</f>
        <v>Concordance générique/principal</v>
      </c>
      <c r="U12" t="str" cm="1">
        <f t="array" ref="U12">_xlfn.LET(_xlpm.yr, A12, _xlpm.diag, IF(N12&lt;&gt;"", N12, H12), _xlpm.base, TRIM(SUBSTITUTE(SUBSTITUTE(SUBSTITUTE(SUBSTITUTE(_xlpm.diag,"•"," "),CHAR(160)," "),CHAR(10)," "),"  "," ")), LOWER(_xlpm.yr&amp;"|"&amp;_xlpm.base))</f>
        <v>2011|hépatite alcoolique.</v>
      </c>
      <c r="V12" t="str">
        <f>IFERROR(_xlfn.XLOOKUP($AB12,'Cas 2013-2017'!$K:$K,'Cas 2013-2017'!$D:$D,""),"")</f>
        <v/>
      </c>
      <c r="W12" t="str">
        <f>IFERROR(_xlfn.XLOOKUP($AB12,'Cas 2013-2017'!$K:$K,'Cas 2013-2017'!$E:$E,""),"")</f>
        <v/>
      </c>
      <c r="X12" t="str">
        <f>IFERROR(_xlfn.XLOOKUP($AB12,'Cas 2013-2017'!$K:$K,'Cas 2013-2017'!$F:$F,""),"")</f>
        <v/>
      </c>
      <c r="Y12" t="str">
        <f>IFERROR(_xlfn.XLOOKUP($AB12,'Cas 2013-2017'!$K:$K,'Cas 2013-2017'!$G:$G,""),"")</f>
        <v/>
      </c>
      <c r="Z12" t="str">
        <f>IFERROR(_xlfn.XLOOKUP($AB12,'Cas 2013-2017'!$K:$K,'Cas 2013-2017'!$I:$I,""),"")</f>
        <v/>
      </c>
      <c r="AA12" t="str">
        <f>IFERROR(_xlfn.XLOOKUP($AB12,'Cas 2013-2017'!$K:$K,'Cas 2013-2017'!$H:$H,""),"")</f>
        <v/>
      </c>
      <c r="AB12" t="str">
        <f>LOWER($A12 &amp; "|" &amp; $AF12)</f>
        <v>2011|hépatite alcoolique.</v>
      </c>
      <c r="AC12" t="str">
        <f>TRIM(SUBSTITUTE(SUBSTITUTE(SUBSTITUTE(SUBSTITUTE(" " &amp; LOWER(TRIM(IF($N12&lt;&gt;"", $N12, $H12))) &amp; " ", " aomi ", " arteriopathie des membres inferieurs "), " hta ", " hypertension arterielle "), " saos ", " syndrome d'apnees obstructives du sommeil "), " rgo ", " reflux gastro-oesophagien ") )</f>
        <v>hépatite alcoolique.</v>
      </c>
      <c r="AD12" t="str">
        <f>TRIM(SUBSTITUTE(SUBSTITUTE(SUBSTITUTE(SUBSTITUTE(" " &amp; LOWER(TRIM($AC12)) &amp; " ", " oacr ", " occlusion de l'artere centrale de la retine "), " hsd ", " hematome sous-dural "), " fa ", " fibrillation auriculaire "), " ep ", " embolie pulmonaire ") )</f>
        <v>hépatite alcoolique.</v>
      </c>
      <c r="AE12" t="str" cm="1">
        <f t="array" ref="AE12">_xlfn.LET(_xlpm.base, " " &amp; LOWER(TRIM($AD12))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hépatite alcoolique.</v>
      </c>
      <c r="AF12" t="str" cm="1">
        <f t="array" ref="AF12">_xlfn.LET(_xlpm.base, " " &amp; LOWER(TRIM($AE12))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hépatite alcoolique.</v>
      </c>
    </row>
    <row r="13" spans="1:32" ht="100.5">
      <c r="A13" s="8">
        <v>2011</v>
      </c>
      <c r="B13" s="10" t="s">
        <v>82</v>
      </c>
      <c r="C13" s="8" t="s">
        <v>33</v>
      </c>
      <c r="D13" s="20">
        <v>52</v>
      </c>
      <c r="E13" s="11" t="str">
        <f>IF(D13="","",IFERROR(INDEX(SSP!$E$2:$E$266, MATCH(D13, SSP!$F$2:$F$266, 0)),""))</f>
        <v>Douleur abdominale ou épigastrique</v>
      </c>
      <c r="F13" s="11" t="str">
        <f>Feuil1!E13</f>
        <v>Douleur abdominale</v>
      </c>
      <c r="G13" s="12" t="s">
        <v>83</v>
      </c>
      <c r="H13" s="13" t="s">
        <v>84</v>
      </c>
      <c r="I13" s="13"/>
      <c r="J13" s="15" t="s">
        <v>85</v>
      </c>
      <c r="K13" s="9" t="s">
        <v>86</v>
      </c>
      <c r="L13" s="9" t="s">
        <v>33</v>
      </c>
      <c r="M13" s="9" t="s">
        <v>33</v>
      </c>
      <c r="N13" t="s">
        <v>84</v>
      </c>
      <c r="O13" t="str">
        <f>IFERROR(_xlfn.XLOOKUP($D13, SSP!$F:$F, SSP!$E:$E, "Inconnu"), "")</f>
        <v>Douleur abdominale ou épigastrique</v>
      </c>
      <c r="P13" t="str">
        <f>IF(OR(E13="", O13=""), "", IF(LOWER(E13)=LOWER(O13), "OK", "⚠️ Libellé ≠ n°"))</f>
        <v>OK</v>
      </c>
      <c r="Q13" t="str">
        <f>IF(Feuil1!$E13="", "", IF(LOWER(Feuil1!$E13)=LOWER(E13), "Identique", "Différent"))</f>
        <v>Différent</v>
      </c>
      <c r="R13" t="str">
        <f>IF(OR(P13="⚠️ Libellé ≠ n°", O13="Inconnu"), "⚠️", IF(Q13="Différent", "ℹ️", ""))</f>
        <v>ℹ️</v>
      </c>
      <c r="S13" t="str" cm="1">
        <f t="array" ref="S13">_xlfn.LET(_xlpm.genCat,IFERROR(LOWER(TRIM(G13)),""),_xlpm.principal,IFERROR(LOWER(TRIM(H13)),""),_xlpm.orig,IFERROR(LOWER(TRIM(N13)),""),IF(OR(_xlpm.genCat="",_xlpm.principal=""),"",IF(LEFT(LOWER(G13),5)="autre","OK (Autre)",IF(OR(ISNUMBER(SEARCH(_xlpm.genCat,_xlpm.principal)),ISNUMBER(SEARCH(_xlpm.principal,_xlpm.genCat)),AND(_xlpm.orig&lt;&gt;"",OR(ISNUMBER(SEARCH(_xlpm.genCat,_xlpm.orig)),ISNUMBER(SEARCH(_xlpm.orig,_xlpm.genCat))))),"OK","⚠️ À vérifier"))))</f>
        <v>OK (Autre)</v>
      </c>
      <c r="T13" t="str">
        <f>IF(S13="","",IF(S13="OK (Autre)","Diagnostic générique = 'Autre – …'",IF(S13="OK","Concordance générique/principal","Écart entre générique et principal")))</f>
        <v>Diagnostic générique = 'Autre – …'</v>
      </c>
      <c r="U13" t="str" cm="1">
        <f t="array" ref="U13">_xlfn.LET(_xlpm.yr, A13, _xlpm.diag, IF(N13&lt;&gt;"", N13, H13), _xlpm.base, TRIM(SUBSTITUTE(SUBSTITUTE(SUBSTITUTE(SUBSTITUTE(_xlpm.diag,"•"," "),CHAR(160)," "),CHAR(10)," "),"  "," ")), LOWER(_xlpm.yr&amp;"|"&amp;_xlpm.base))</f>
        <v>2011|syndrome du côlon irritable</v>
      </c>
      <c r="V13" t="str">
        <f>IFERROR(_xlfn.XLOOKUP($AB13,'Cas 2013-2017'!$K:$K,'Cas 2013-2017'!$D:$D,""),"")</f>
        <v/>
      </c>
      <c r="W13" t="str">
        <f>IFERROR(_xlfn.XLOOKUP($AB13,'Cas 2013-2017'!$K:$K,'Cas 2013-2017'!$E:$E,""),"")</f>
        <v/>
      </c>
      <c r="X13" t="str">
        <f>IFERROR(_xlfn.XLOOKUP($AB13,'Cas 2013-2017'!$K:$K,'Cas 2013-2017'!$F:$F,""),"")</f>
        <v/>
      </c>
      <c r="Y13" t="str">
        <f>IFERROR(_xlfn.XLOOKUP($AB13,'Cas 2013-2017'!$K:$K,'Cas 2013-2017'!$G:$G,""),"")</f>
        <v/>
      </c>
      <c r="Z13" t="str">
        <f>IFERROR(_xlfn.XLOOKUP($AB13,'Cas 2013-2017'!$K:$K,'Cas 2013-2017'!$I:$I,""),"")</f>
        <v/>
      </c>
      <c r="AA13" t="str">
        <f>IFERROR(_xlfn.XLOOKUP($AB13,'Cas 2013-2017'!$K:$K,'Cas 2013-2017'!$H:$H,""),"")</f>
        <v/>
      </c>
      <c r="AB13" t="str">
        <f>LOWER($A13 &amp; "|" &amp; $AF13)</f>
        <v>2011|syndrome du côlon irritable</v>
      </c>
      <c r="AC13" t="str">
        <f>TRIM(SUBSTITUTE(SUBSTITUTE(SUBSTITUTE(SUBSTITUTE(" " &amp; LOWER(TRIM(IF($N13&lt;&gt;"", $N13, $H13))) &amp; " ", " aomi ", " arteriopathie des membres inferieurs "), " hta ", " hypertension arterielle "), " saos ", " syndrome d'apnees obstructives du sommeil "), " rgo ", " reflux gastro-oesophagien ") )</f>
        <v>syndrome du côlon irritable</v>
      </c>
      <c r="AD13" t="str">
        <f>TRIM(SUBSTITUTE(SUBSTITUTE(SUBSTITUTE(SUBSTITUTE(" " &amp; LOWER(TRIM($AC13)) &amp; " ", " oacr ", " occlusion de l'artere centrale de la retine "), " hsd ", " hematome sous-dural "), " fa ", " fibrillation auriculaire "), " ep ", " embolie pulmonaire ") )</f>
        <v>syndrome du côlon irritable</v>
      </c>
      <c r="AE13" t="str" cm="1">
        <f t="array" ref="AE13">_xlfn.LET(_xlpm.base, " " &amp; LOWER(TRIM($AD13))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du côlon irritable</v>
      </c>
      <c r="AF13" t="str" cm="1">
        <f t="array" ref="AF13">_xlfn.LET(_xlpm.base, " " &amp; LOWER(TRIM($AE13))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du côlon irritable</v>
      </c>
    </row>
    <row r="14" spans="1:32" ht="84">
      <c r="A14" s="8">
        <v>2011</v>
      </c>
      <c r="B14" s="10" t="s">
        <v>87</v>
      </c>
      <c r="C14" s="8" t="s">
        <v>33</v>
      </c>
      <c r="D14" s="20">
        <v>52</v>
      </c>
      <c r="E14" s="11" t="str">
        <f>IF(D14="","",IFERROR(INDEX(SSP!$E$2:$E$266, MATCH(D14, SSP!$F$2:$F$266, 0)),""))</f>
        <v>Douleur abdominale ou épigastrique</v>
      </c>
      <c r="F14" s="11" t="str">
        <f>Feuil1!E14</f>
        <v>Douleur abdominale</v>
      </c>
      <c r="G14" s="12" t="s">
        <v>83</v>
      </c>
      <c r="H14" s="13" t="s">
        <v>88</v>
      </c>
      <c r="I14" s="13"/>
      <c r="J14" s="15" t="s">
        <v>89</v>
      </c>
      <c r="K14" s="9" t="s">
        <v>90</v>
      </c>
      <c r="L14" s="9" t="s">
        <v>33</v>
      </c>
      <c r="M14" s="9" t="s">
        <v>33</v>
      </c>
      <c r="N14" t="s">
        <v>88</v>
      </c>
      <c r="O14" t="str">
        <f>IFERROR(_xlfn.XLOOKUP($D14, SSP!$F:$F, SSP!$E:$E, "Inconnu"), "")</f>
        <v>Douleur abdominale ou épigastrique</v>
      </c>
      <c r="P14" t="str">
        <f>IF(OR(E14="", O14=""), "", IF(LOWER(E14)=LOWER(O14), "OK", "⚠️ Libellé ≠ n°"))</f>
        <v>OK</v>
      </c>
      <c r="Q14" t="str">
        <f>IF(Feuil1!$E14="", "", IF(LOWER(Feuil1!$E14)=LOWER(E14), "Identique", "Différent"))</f>
        <v>Différent</v>
      </c>
      <c r="R14" t="str">
        <f>IF(OR(P14="⚠️ Libellé ≠ n°", O14="Inconnu"), "⚠️", IF(Q14="Différent", "ℹ️", ""))</f>
        <v>ℹ️</v>
      </c>
      <c r="S14" t="str" cm="1">
        <f t="array" ref="S14">_xlfn.LET(_xlpm.genCat,IFERROR(LOWER(TRIM(G14)),""),_xlpm.principal,IFERROR(LOWER(TRIM(H14)),""),_xlpm.orig,IFERROR(LOWER(TRIM(N14)),""),IF(OR(_xlpm.genCat="",_xlpm.principal=""),"",IF(LEFT(LOWER(G14),5)="autre","OK (Autre)",IF(OR(ISNUMBER(SEARCH(_xlpm.genCat,_xlpm.principal)),ISNUMBER(SEARCH(_xlpm.principal,_xlpm.genCat)),AND(_xlpm.orig&lt;&gt;"",OR(ISNUMBER(SEARCH(_xlpm.genCat,_xlpm.orig)),ISNUMBER(SEARCH(_xlpm.orig,_xlpm.genCat))))),"OK","⚠️ À vérifier"))))</f>
        <v>OK (Autre)</v>
      </c>
      <c r="T14" t="str">
        <f>IF(S14="","",IF(S14="OK (Autre)","Diagnostic générique = 'Autre – …'",IF(S14="OK","Concordance générique/principal","Écart entre générique et principal")))</f>
        <v>Diagnostic générique = 'Autre – …'</v>
      </c>
      <c r="U14" t="str" cm="1">
        <f t="array" ref="U14">_xlfn.LET(_xlpm.yr, A14, _xlpm.diag, IF(N14&lt;&gt;"", N14, H14), _xlpm.base, TRIM(SUBSTITUTE(SUBSTITUTE(SUBSTITUTE(SUBSTITUTE(_xlpm.diag,"•"," "),CHAR(160)," "),CHAR(10)," "),"  "," ")), LOWER(_xlpm.yr&amp;"|"&amp;_xlpm.base))</f>
        <v>2011|endométriose</v>
      </c>
      <c r="V14" t="str">
        <f>IFERROR(_xlfn.XLOOKUP($AB14,'Cas 2013-2017'!$K:$K,'Cas 2013-2017'!$D:$D,""),"")</f>
        <v/>
      </c>
      <c r="W14" t="str">
        <f>IFERROR(_xlfn.XLOOKUP($AB14,'Cas 2013-2017'!$K:$K,'Cas 2013-2017'!$E:$E,""),"")</f>
        <v/>
      </c>
      <c r="X14" t="str">
        <f>IFERROR(_xlfn.XLOOKUP($AB14,'Cas 2013-2017'!$K:$K,'Cas 2013-2017'!$F:$F,""),"")</f>
        <v/>
      </c>
      <c r="Y14" t="str">
        <f>IFERROR(_xlfn.XLOOKUP($AB14,'Cas 2013-2017'!$K:$K,'Cas 2013-2017'!$G:$G,""),"")</f>
        <v/>
      </c>
      <c r="Z14" t="str">
        <f>IFERROR(_xlfn.XLOOKUP($AB14,'Cas 2013-2017'!$K:$K,'Cas 2013-2017'!$I:$I,""),"")</f>
        <v/>
      </c>
      <c r="AA14" t="str">
        <f>IFERROR(_xlfn.XLOOKUP($AB14,'Cas 2013-2017'!$K:$K,'Cas 2013-2017'!$H:$H,""),"")</f>
        <v/>
      </c>
      <c r="AB14" t="str">
        <f>LOWER($A14 &amp; "|" &amp; $AF14)</f>
        <v>2011|endométriose</v>
      </c>
      <c r="AC14" t="str">
        <f>TRIM(SUBSTITUTE(SUBSTITUTE(SUBSTITUTE(SUBSTITUTE(" " &amp; LOWER(TRIM(IF($N14&lt;&gt;"", $N14, $H14))) &amp; " ", " aomi ", " arteriopathie des membres inferieurs "), " hta ", " hypertension arterielle "), " saos ", " syndrome d'apnees obstructives du sommeil "), " rgo ", " reflux gastro-oesophagien ") )</f>
        <v>endométriose</v>
      </c>
      <c r="AD14" t="str">
        <f>TRIM(SUBSTITUTE(SUBSTITUTE(SUBSTITUTE(SUBSTITUTE(" " &amp; LOWER(TRIM($AC14)) &amp; " ", " oacr ", " occlusion de l'artere centrale de la retine "), " hsd ", " hematome sous-dural "), " fa ", " fibrillation auriculaire "), " ep ", " embolie pulmonaire ") )</f>
        <v>endométriose</v>
      </c>
      <c r="AE14" t="str" cm="1">
        <f t="array" ref="AE14">_xlfn.LET(_xlpm.base, " " &amp; LOWER(TRIM($AD14))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endométriose</v>
      </c>
      <c r="AF14" t="str" cm="1">
        <f t="array" ref="AF14">_xlfn.LET(_xlpm.base, " " &amp; LOWER(TRIM($AE14))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endométriose</v>
      </c>
    </row>
    <row r="15" spans="1:32" ht="50.25">
      <c r="A15" s="8">
        <v>2011</v>
      </c>
      <c r="B15" s="10" t="s">
        <v>91</v>
      </c>
      <c r="C15" s="8" t="s">
        <v>33</v>
      </c>
      <c r="D15" s="20">
        <v>52</v>
      </c>
      <c r="E15" s="11" t="str">
        <f>IF(D15="","",IFERROR(INDEX(SSP!$E$2:$E$266, MATCH(D15, SSP!$F$2:$F$266, 0)),""))</f>
        <v>Douleur abdominale ou épigastrique</v>
      </c>
      <c r="F15" s="11" t="str">
        <f>Feuil1!E15</f>
        <v>Douleur abdominale</v>
      </c>
      <c r="G15" s="12" t="s">
        <v>92</v>
      </c>
      <c r="H15" s="13" t="s">
        <v>93</v>
      </c>
      <c r="I15" s="13"/>
      <c r="J15" s="15" t="s">
        <v>94</v>
      </c>
      <c r="K15" s="9" t="s">
        <v>95</v>
      </c>
      <c r="L15" s="9" t="s">
        <v>33</v>
      </c>
      <c r="M15" s="9" t="s">
        <v>33</v>
      </c>
      <c r="N15" t="s">
        <v>93</v>
      </c>
      <c r="O15" t="str">
        <f>IFERROR(_xlfn.XLOOKUP($D15, SSP!$F:$F, SSP!$E:$E, "Inconnu"), "")</f>
        <v>Douleur abdominale ou épigastrique</v>
      </c>
      <c r="P15" t="str">
        <f>IF(OR(E15="", O15=""), "", IF(LOWER(E15)=LOWER(O15), "OK", "⚠️ Libellé ≠ n°"))</f>
        <v>OK</v>
      </c>
      <c r="Q15" t="str">
        <f>IF(Feuil1!$E15="", "", IF(LOWER(Feuil1!$E15)=LOWER(E15), "Identique", "Différent"))</f>
        <v>Différent</v>
      </c>
      <c r="R15" t="str">
        <f>IF(OR(P15="⚠️ Libellé ≠ n°", O15="Inconnu"), "⚠️", IF(Q15="Différent", "ℹ️", ""))</f>
        <v>ℹ️</v>
      </c>
      <c r="S15" t="str" cm="1">
        <f t="array" ref="S15">_xlfn.LET(_xlpm.genCat,IFERROR(LOWER(TRIM(G15)),""),_xlpm.principal,IFERROR(LOWER(TRIM(H15)),""),_xlpm.orig,IFERROR(LOWER(TRIM(N15)),""),IF(OR(_xlpm.genCat="",_xlpm.principal=""),"",IF(LEFT(LOWER(G15),5)="autre","OK (Autre)",IF(OR(ISNUMBER(SEARCH(_xlpm.genCat,_xlpm.principal)),ISNUMBER(SEARCH(_xlpm.principal,_xlpm.genCat)),AND(_xlpm.orig&lt;&gt;"",OR(ISNUMBER(SEARCH(_xlpm.genCat,_xlpm.orig)),ISNUMBER(SEARCH(_xlpm.orig,_xlpm.genCat))))),"OK","⚠️ À vérifier"))))</f>
        <v>⚠️ À vérifier</v>
      </c>
      <c r="T15" t="str">
        <f>IF(S15="","",IF(S15="OK (Autre)","Diagnostic générique = 'Autre – …'",IF(S15="OK","Concordance générique/principal","Écart entre générique et principal")))</f>
        <v>Écart entre générique et principal</v>
      </c>
      <c r="U15" t="str" cm="1">
        <f t="array" ref="U15">_xlfn.LET(_xlpm.yr, A15, _xlpm.diag, IF(N15&lt;&gt;"", N15, H15), _xlpm.base, TRIM(SUBSTITUTE(SUBSTITUTE(SUBSTITUTE(SUBSTITUTE(_xlpm.diag,"•"," "),CHAR(160)," "),CHAR(10)," "),"  "," ")), LOWER(_xlpm.yr&amp;"|"&amp;_xlpm.base))</f>
        <v>2011|ist</v>
      </c>
      <c r="V15" t="str">
        <f>IFERROR(_xlfn.XLOOKUP($AB15,'Cas 2013-2017'!$K:$K,'Cas 2013-2017'!$D:$D,""),"")</f>
        <v/>
      </c>
      <c r="W15" t="str">
        <f>IFERROR(_xlfn.XLOOKUP($AB15,'Cas 2013-2017'!$K:$K,'Cas 2013-2017'!$E:$E,""),"")</f>
        <v/>
      </c>
      <c r="X15" t="str">
        <f>IFERROR(_xlfn.XLOOKUP($AB15,'Cas 2013-2017'!$K:$K,'Cas 2013-2017'!$F:$F,""),"")</f>
        <v/>
      </c>
      <c r="Y15" t="str">
        <f>IFERROR(_xlfn.XLOOKUP($AB15,'Cas 2013-2017'!$K:$K,'Cas 2013-2017'!$G:$G,""),"")</f>
        <v/>
      </c>
      <c r="Z15" t="str">
        <f>IFERROR(_xlfn.XLOOKUP($AB15,'Cas 2013-2017'!$K:$K,'Cas 2013-2017'!$I:$I,""),"")</f>
        <v/>
      </c>
      <c r="AA15" t="str">
        <f>IFERROR(_xlfn.XLOOKUP($AB15,'Cas 2013-2017'!$K:$K,'Cas 2013-2017'!$H:$H,""),"")</f>
        <v/>
      </c>
      <c r="AB15" t="str">
        <f>LOWER($A15 &amp; "|" &amp; $AF15)</f>
        <v>2011|ist</v>
      </c>
      <c r="AC15" t="str">
        <f>TRIM(SUBSTITUTE(SUBSTITUTE(SUBSTITUTE(SUBSTITUTE(" " &amp; LOWER(TRIM(IF($N15&lt;&gt;"", $N15, $H15))) &amp; " ", " aomi ", " arteriopathie des membres inferieurs "), " hta ", " hypertension arterielle "), " saos ", " syndrome d'apnees obstructives du sommeil "), " rgo ", " reflux gastro-oesophagien ") )</f>
        <v>ist</v>
      </c>
      <c r="AD15" t="str">
        <f>TRIM(SUBSTITUTE(SUBSTITUTE(SUBSTITUTE(SUBSTITUTE(" " &amp; LOWER(TRIM($AC15)) &amp; " ", " oacr ", " occlusion de l'artere centrale de la retine "), " hsd ", " hematome sous-dural "), " fa ", " fibrillation auriculaire "), " ep ", " embolie pulmonaire ") )</f>
        <v>ist</v>
      </c>
      <c r="AE15" t="str" cm="1">
        <f t="array" ref="AE15">_xlfn.LET(_xlpm.base, " " &amp; LOWER(TRIM($AD15))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ist</v>
      </c>
      <c r="AF15" t="str" cm="1">
        <f t="array" ref="AF15">_xlfn.LET(_xlpm.base, " " &amp; LOWER(TRIM($AE15))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ist</v>
      </c>
    </row>
    <row r="16" spans="1:32" ht="33.75">
      <c r="A16" s="8">
        <v>2011</v>
      </c>
      <c r="B16" s="10" t="s">
        <v>91</v>
      </c>
      <c r="C16" s="8" t="s">
        <v>33</v>
      </c>
      <c r="D16" s="20">
        <v>6</v>
      </c>
      <c r="E16" s="11" t="str">
        <f>IF(D16="","",IFERROR(INDEX(SSP!$E$2:$E$266, MATCH(D16, SSP!$F$2:$F$266, 0)),""))</f>
        <v>Fièvre, frissons, hyperthermie</v>
      </c>
      <c r="F16" s="11" t="str">
        <f>Feuil1!E16</f>
        <v>Fièvre</v>
      </c>
      <c r="G16" s="12" t="s">
        <v>96</v>
      </c>
      <c r="H16" s="13" t="s">
        <v>97</v>
      </c>
      <c r="I16" s="13"/>
      <c r="J16" s="15" t="s">
        <v>98</v>
      </c>
      <c r="K16" s="9" t="s">
        <v>99</v>
      </c>
      <c r="L16" s="9" t="s">
        <v>33</v>
      </c>
      <c r="M16" s="9" t="s">
        <v>33</v>
      </c>
      <c r="N16" t="s">
        <v>97</v>
      </c>
      <c r="O16" t="str">
        <f>IFERROR(_xlfn.XLOOKUP($D16, SSP!$F:$F, SSP!$E:$E, "Inconnu"), "")</f>
        <v>Fièvre, frissons, hyperthermie</v>
      </c>
      <c r="P16" t="str">
        <f>IF(OR(E16="", O16=""), "", IF(LOWER(E16)=LOWER(O16), "OK", "⚠️ Libellé ≠ n°"))</f>
        <v>OK</v>
      </c>
      <c r="Q16" t="str">
        <f>IF(Feuil1!$E16="", "", IF(LOWER(Feuil1!$E16)=LOWER(E16), "Identique", "Différent"))</f>
        <v>Différent</v>
      </c>
      <c r="R16" t="str">
        <f>IF(OR(P16="⚠️ Libellé ≠ n°", O16="Inconnu"), "⚠️", IF(Q16="Différent", "ℹ️", ""))</f>
        <v>ℹ️</v>
      </c>
      <c r="S16" t="str" cm="1">
        <f t="array" ref="S16">_xlfn.LET(_xlpm.genCat,IFERROR(LOWER(TRIM(G16)),""),_xlpm.principal,IFERROR(LOWER(TRIM(H16)),""),_xlpm.orig,IFERROR(LOWER(TRIM(N16)),""),IF(OR(_xlpm.genCat="",_xlpm.principal=""),"",IF(LEFT(LOWER(G16),5)="autre","OK (Autre)",IF(OR(ISNUMBER(SEARCH(_xlpm.genCat,_xlpm.principal)),ISNUMBER(SEARCH(_xlpm.principal,_xlpm.genCat)),AND(_xlpm.orig&lt;&gt;"",OR(ISNUMBER(SEARCH(_xlpm.genCat,_xlpm.orig)),ISNUMBER(SEARCH(_xlpm.orig,_xlpm.genCat))))),"OK","⚠️ À vérifier"))))</f>
        <v>⚠️ À vérifier</v>
      </c>
      <c r="T16" t="str">
        <f>IF(S16="","",IF(S16="OK (Autre)","Diagnostic générique = 'Autre – …'",IF(S16="OK","Concordance générique/principal","Écart entre générique et principal")))</f>
        <v>Écart entre générique et principal</v>
      </c>
      <c r="U16" t="str" cm="1">
        <f t="array" ref="U16">_xlfn.LET(_xlpm.yr, A16, _xlpm.diag, IF(N16&lt;&gt;"", N16, H16), _xlpm.base, TRIM(SUBSTITUTE(SUBSTITUTE(SUBSTITUTE(SUBSTITUTE(_xlpm.diag,"•"," "),CHAR(160)," "),CHAR(10)," "),"  "," ")), LOWER(_xlpm.yr&amp;"|"&amp;_xlpm.base))</f>
        <v>2011|fuo</v>
      </c>
      <c r="V16" t="str">
        <f>IFERROR(_xlfn.XLOOKUP($AB16,'Cas 2013-2017'!$K:$K,'Cas 2013-2017'!$D:$D,""),"")</f>
        <v/>
      </c>
      <c r="W16" t="str">
        <f>IFERROR(_xlfn.XLOOKUP($AB16,'Cas 2013-2017'!$K:$K,'Cas 2013-2017'!$E:$E,""),"")</f>
        <v/>
      </c>
      <c r="X16" t="str">
        <f>IFERROR(_xlfn.XLOOKUP($AB16,'Cas 2013-2017'!$K:$K,'Cas 2013-2017'!$F:$F,""),"")</f>
        <v/>
      </c>
      <c r="Y16" t="str">
        <f>IFERROR(_xlfn.XLOOKUP($AB16,'Cas 2013-2017'!$K:$K,'Cas 2013-2017'!$G:$G,""),"")</f>
        <v/>
      </c>
      <c r="Z16" t="str">
        <f>IFERROR(_xlfn.XLOOKUP($AB16,'Cas 2013-2017'!$K:$K,'Cas 2013-2017'!$I:$I,""),"")</f>
        <v/>
      </c>
      <c r="AA16" t="str">
        <f>IFERROR(_xlfn.XLOOKUP($AB16,'Cas 2013-2017'!$K:$K,'Cas 2013-2017'!$H:$H,""),"")</f>
        <v/>
      </c>
      <c r="AB16" t="str">
        <f>LOWER($A16 &amp; "|" &amp; $AF16)</f>
        <v>2011|fievre d origine indeterminee</v>
      </c>
      <c r="AC16" t="str">
        <f>TRIM(SUBSTITUTE(SUBSTITUTE(SUBSTITUTE(SUBSTITUTE(" " &amp; LOWER(TRIM(IF($N16&lt;&gt;"", $N16, $H16))) &amp; " ", " aomi ", " arteriopathie des membres inferieurs "), " hta ", " hypertension arterielle "), " saos ", " syndrome d'apnees obstructives du sommeil "), " rgo ", " reflux gastro-oesophagien ") )</f>
        <v>fuo</v>
      </c>
      <c r="AD16" t="str">
        <f>TRIM(SUBSTITUTE(SUBSTITUTE(SUBSTITUTE(SUBSTITUTE(" " &amp; LOWER(TRIM($AC16)) &amp; " ", " oacr ", " occlusion de l'artere centrale de la retine "), " hsd ", " hematome sous-dural "), " fa ", " fibrillation auriculaire "), " ep ", " embolie pulmonaire ") )</f>
        <v>fuo</v>
      </c>
      <c r="AE16" t="str" cm="1">
        <f t="array" ref="AE16">_xlfn.LET(_xlpm.base, " " &amp; LOWER(TRIM($AD16))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fuo</v>
      </c>
      <c r="AF16" t="str" cm="1">
        <f t="array" ref="AF16">_xlfn.LET(_xlpm.base, " " &amp; LOWER(TRIM($AE16))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fievre d origine indeterminee</v>
      </c>
    </row>
    <row r="17" spans="1:32" ht="66.75">
      <c r="A17" s="8">
        <v>2011</v>
      </c>
      <c r="B17" s="10" t="s">
        <v>100</v>
      </c>
      <c r="C17" s="8" t="s">
        <v>33</v>
      </c>
      <c r="D17" s="20">
        <v>103</v>
      </c>
      <c r="E17" s="11" t="str">
        <f>IF(D17="","",IFERROR(INDEX(SSP!$E$2:$E$266, MATCH(D17, SSP!$F$2:$F$266, 0)),""))</f>
        <v>Paresie, paralysie</v>
      </c>
      <c r="F17" s="11" t="str">
        <f>Feuil1!E17</f>
        <v>Parésie</v>
      </c>
      <c r="G17" s="12" t="s">
        <v>101</v>
      </c>
      <c r="H17" s="13" t="s">
        <v>102</v>
      </c>
      <c r="I17" s="13"/>
      <c r="J17" s="15" t="s">
        <v>103</v>
      </c>
      <c r="K17" s="9" t="s">
        <v>104</v>
      </c>
      <c r="L17" s="9" t="s">
        <v>33</v>
      </c>
      <c r="M17" s="9" t="s">
        <v>33</v>
      </c>
      <c r="N17" t="s">
        <v>105</v>
      </c>
      <c r="O17" t="str">
        <f>IFERROR(_xlfn.XLOOKUP($D17, SSP!$F:$F, SSP!$E:$E, "Inconnu"), "")</f>
        <v>Paresie, paralysie</v>
      </c>
      <c r="P17" t="str">
        <f>IF(OR(E17="", O17=""), "", IF(LOWER(E17)=LOWER(O17), "OK", "⚠️ Libellé ≠ n°"))</f>
        <v>OK</v>
      </c>
      <c r="Q17" t="str">
        <f>IF(Feuil1!$E17="", "", IF(LOWER(Feuil1!$E17)=LOWER(E17), "Identique", "Différent"))</f>
        <v>Différent</v>
      </c>
      <c r="R17" t="str">
        <f>IF(OR(P17="⚠️ Libellé ≠ n°", O17="Inconnu"), "⚠️", IF(Q17="Différent", "ℹ️", ""))</f>
        <v>ℹ️</v>
      </c>
      <c r="S17" t="str" cm="1">
        <f t="array" ref="S17">_xlfn.LET(_xlpm.genCat,IFERROR(LOWER(TRIM(G17)),""),_xlpm.principal,IFERROR(LOWER(TRIM(H17)),""),_xlpm.orig,IFERROR(LOWER(TRIM(N17)),""),IF(OR(_xlpm.genCat="",_xlpm.principal=""),"",IF(LEFT(LOWER(G17),5)="autre","OK (Autre)",IF(OR(ISNUMBER(SEARCH(_xlpm.genCat,_xlpm.principal)),ISNUMBER(SEARCH(_xlpm.principal,_xlpm.genCat)),AND(_xlpm.orig&lt;&gt;"",OR(ISNUMBER(SEARCH(_xlpm.genCat,_xlpm.orig)),ISNUMBER(SEARCH(_xlpm.orig,_xlpm.genCat))))),"OK","⚠️ À vérifier"))))</f>
        <v>⚠️ À vérifier</v>
      </c>
      <c r="T17" t="str">
        <f>IF(S17="","",IF(S17="OK (Autre)","Diagnostic générique = 'Autre – …'",IF(S17="OK","Concordance générique/principal","Écart entre générique et principal")))</f>
        <v>Écart entre générique et principal</v>
      </c>
      <c r="U17" t="str" cm="1">
        <f t="array" ref="U17">_xlfn.LET(_xlpm.yr, A17, _xlpm.diag, IF(N17&lt;&gt;"", N17, H17), _xlpm.base, TRIM(SUBSTITUTE(SUBSTITUTE(SUBSTITUTE(SUBSTITUTE(_xlpm.diag,"•"," "),CHAR(160)," "),CHAR(10)," "),"  "," ")), LOWER(_xlpm.yr&amp;"|"&amp;_xlpm.base))</f>
        <v>2011|ait</v>
      </c>
      <c r="V17" t="str">
        <f>IFERROR(_xlfn.XLOOKUP($AB17,'Cas 2013-2017'!$K:$K,'Cas 2013-2017'!$D:$D,""),"")</f>
        <v/>
      </c>
      <c r="W17" t="str">
        <f>IFERROR(_xlfn.XLOOKUP($AB17,'Cas 2013-2017'!$K:$K,'Cas 2013-2017'!$E:$E,""),"")</f>
        <v/>
      </c>
      <c r="X17" t="str">
        <f>IFERROR(_xlfn.XLOOKUP($AB17,'Cas 2013-2017'!$K:$K,'Cas 2013-2017'!$F:$F,""),"")</f>
        <v/>
      </c>
      <c r="Y17" t="str">
        <f>IFERROR(_xlfn.XLOOKUP($AB17,'Cas 2013-2017'!$K:$K,'Cas 2013-2017'!$G:$G,""),"")</f>
        <v/>
      </c>
      <c r="Z17" t="str">
        <f>IFERROR(_xlfn.XLOOKUP($AB17,'Cas 2013-2017'!$K:$K,'Cas 2013-2017'!$I:$I,""),"")</f>
        <v/>
      </c>
      <c r="AA17" t="str">
        <f>IFERROR(_xlfn.XLOOKUP($AB17,'Cas 2013-2017'!$K:$K,'Cas 2013-2017'!$H:$H,""),"")</f>
        <v/>
      </c>
      <c r="AB17" t="str">
        <f>LOWER($A17 &amp; "|" &amp; $AF17)</f>
        <v>2011|ait</v>
      </c>
      <c r="AC17" t="str">
        <f>TRIM(SUBSTITUTE(SUBSTITUTE(SUBSTITUTE(SUBSTITUTE(" " &amp; LOWER(TRIM(IF($N17&lt;&gt;"", $N17, $H17))) &amp; " ", " aomi ", " arteriopathie des membres inferieurs "), " hta ", " hypertension arterielle "), " saos ", " syndrome d'apnees obstructives du sommeil "), " rgo ", " reflux gastro-oesophagien ") )</f>
        <v>ait</v>
      </c>
      <c r="AD17" t="str">
        <f>TRIM(SUBSTITUTE(SUBSTITUTE(SUBSTITUTE(SUBSTITUTE(" " &amp; LOWER(TRIM($AC17)) &amp; " ", " oacr ", " occlusion de l'artere centrale de la retine "), " hsd ", " hematome sous-dural "), " fa ", " fibrillation auriculaire "), " ep ", " embolie pulmonaire ") )</f>
        <v>ait</v>
      </c>
      <c r="AE17" t="str" cm="1">
        <f t="array" ref="AE17">_xlfn.LET(_xlpm.base, " " &amp; LOWER(TRIM($AD17))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ait</v>
      </c>
      <c r="AF17" t="str" cm="1">
        <f t="array" ref="AF17">_xlfn.LET(_xlpm.base, " " &amp; LOWER(TRIM($AE17))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ait</v>
      </c>
    </row>
    <row r="18" spans="1:32" ht="33.75">
      <c r="A18" s="8">
        <v>2011</v>
      </c>
      <c r="B18" s="10" t="s">
        <v>100</v>
      </c>
      <c r="C18" s="8" t="s">
        <v>33</v>
      </c>
      <c r="D18" s="20">
        <v>207</v>
      </c>
      <c r="E18" s="11" t="str">
        <f>IF(D18="","",IFERROR(INDEX(SSP!$E$2:$E$266, MATCH(D18, SSP!$F$2:$F$266, 0)),""))</f>
        <v>Céphalée aiguë intense, syndrome méningé</v>
      </c>
      <c r="F18" s="11" t="str">
        <f>Feuil1!E18</f>
        <v>Céphalée</v>
      </c>
      <c r="G18" s="12" t="s">
        <v>106</v>
      </c>
      <c r="H18" s="13" t="s">
        <v>107</v>
      </c>
      <c r="I18" s="13"/>
      <c r="J18" s="15" t="s">
        <v>108</v>
      </c>
      <c r="K18" s="9" t="s">
        <v>33</v>
      </c>
      <c r="L18" s="9" t="s">
        <v>33</v>
      </c>
      <c r="M18" s="9" t="s">
        <v>33</v>
      </c>
      <c r="N18" t="s">
        <v>107</v>
      </c>
      <c r="O18" t="str">
        <f>IFERROR(_xlfn.XLOOKUP($D18, SSP!$F:$F, SSP!$E:$E, "Inconnu"), "")</f>
        <v>Céphalée aiguë intense, syndrome méningé</v>
      </c>
      <c r="P18" t="str">
        <f>IF(OR(E18="", O18=""), "", IF(LOWER(E18)=LOWER(O18), "OK", "⚠️ Libellé ≠ n°"))</f>
        <v>OK</v>
      </c>
      <c r="Q18" t="str">
        <f>IF(Feuil1!$E18="", "", IF(LOWER(Feuil1!$E18)=LOWER(E18), "Identique", "Différent"))</f>
        <v>Différent</v>
      </c>
      <c r="R18" t="str">
        <f>IF(OR(P18="⚠️ Libellé ≠ n°", O18="Inconnu"), "⚠️", IF(Q18="Différent", "ℹ️", ""))</f>
        <v>ℹ️</v>
      </c>
      <c r="S18" t="str" cm="1">
        <f t="array" ref="S18">_xlfn.LET(_xlpm.genCat,IFERROR(LOWER(TRIM(G18)),""),_xlpm.principal,IFERROR(LOWER(TRIM(H18)),""),_xlpm.orig,IFERROR(LOWER(TRIM(N18)),""),IF(OR(_xlpm.genCat="",_xlpm.principal=""),"",IF(LEFT(LOWER(G18),5)="autre","OK (Autre)",IF(OR(ISNUMBER(SEARCH(_xlpm.genCat,_xlpm.principal)),ISNUMBER(SEARCH(_xlpm.principal,_xlpm.genCat)),AND(_xlpm.orig&lt;&gt;"",OR(ISNUMBER(SEARCH(_xlpm.genCat,_xlpm.orig)),ISNUMBER(SEARCH(_xlpm.orig,_xlpm.genCat))))),"OK","⚠️ À vérifier"))))</f>
        <v>⚠️ À vérifier</v>
      </c>
      <c r="T18" t="str">
        <f>IF(S18="","",IF(S18="OK (Autre)","Diagnostic générique = 'Autre – …'",IF(S18="OK","Concordance générique/principal","Écart entre générique et principal")))</f>
        <v>Écart entre générique et principal</v>
      </c>
      <c r="U18" t="str" cm="1">
        <f t="array" ref="U18">_xlfn.LET(_xlpm.yr, A18, _xlpm.diag, IF(N18&lt;&gt;"", N18, H18), _xlpm.base, TRIM(SUBSTITUTE(SUBSTITUTE(SUBSTITUTE(SUBSTITUTE(_xlpm.diag,"•"," "),CHAR(160)," "),CHAR(10)," "),"  "," ")), LOWER(_xlpm.yr&amp;"|"&amp;_xlpm.base))</f>
        <v>2011|céphalées de tension</v>
      </c>
      <c r="V18" t="str">
        <f>IFERROR(_xlfn.XLOOKUP($AB18,'Cas 2013-2017'!$K:$K,'Cas 2013-2017'!$D:$D,""),"")</f>
        <v/>
      </c>
      <c r="W18" t="str">
        <f>IFERROR(_xlfn.XLOOKUP($AB18,'Cas 2013-2017'!$K:$K,'Cas 2013-2017'!$E:$E,""),"")</f>
        <v/>
      </c>
      <c r="X18" t="str">
        <f>IFERROR(_xlfn.XLOOKUP($AB18,'Cas 2013-2017'!$K:$K,'Cas 2013-2017'!$F:$F,""),"")</f>
        <v/>
      </c>
      <c r="Y18" t="str">
        <f>IFERROR(_xlfn.XLOOKUP($AB18,'Cas 2013-2017'!$K:$K,'Cas 2013-2017'!$G:$G,""),"")</f>
        <v/>
      </c>
      <c r="Z18" t="str">
        <f>IFERROR(_xlfn.XLOOKUP($AB18,'Cas 2013-2017'!$K:$K,'Cas 2013-2017'!$I:$I,""),"")</f>
        <v/>
      </c>
      <c r="AA18" t="str">
        <f>IFERROR(_xlfn.XLOOKUP($AB18,'Cas 2013-2017'!$K:$K,'Cas 2013-2017'!$H:$H,""),"")</f>
        <v/>
      </c>
      <c r="AB18" t="str">
        <f>LOWER($A18 &amp; "|" &amp; $AF18)</f>
        <v>2011|céphalées de tension</v>
      </c>
      <c r="AC18" t="str">
        <f>TRIM(SUBSTITUTE(SUBSTITUTE(SUBSTITUTE(SUBSTITUTE(" " &amp; LOWER(TRIM(IF($N18&lt;&gt;"", $N18, $H18))) &amp; " ", " aomi ", " arteriopathie des membres inferieurs "), " hta ", " hypertension arterielle "), " saos ", " syndrome d'apnees obstructives du sommeil "), " rgo ", " reflux gastro-oesophagien ") )</f>
        <v>céphalées de tension</v>
      </c>
      <c r="AD18" t="str">
        <f>TRIM(SUBSTITUTE(SUBSTITUTE(SUBSTITUTE(SUBSTITUTE(" " &amp; LOWER(TRIM($AC18)) &amp; " ", " oacr ", " occlusion de l'artere centrale de la retine "), " hsd ", " hematome sous-dural "), " fa ", " fibrillation auriculaire "), " ep ", " embolie pulmonaire ") )</f>
        <v>céphalées de tension</v>
      </c>
      <c r="AE18" t="str" cm="1">
        <f t="array" ref="AE18">_xlfn.LET(_xlpm.base, " " &amp; LOWER(TRIM($AD18))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céphalées de tension</v>
      </c>
      <c r="AF18" t="str" cm="1">
        <f t="array" ref="AF18">_xlfn.LET(_xlpm.base, " " &amp; LOWER(TRIM($AE18))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céphalées de tension</v>
      </c>
    </row>
    <row r="19" spans="1:32" ht="33.75">
      <c r="A19" s="8">
        <v>2011</v>
      </c>
      <c r="B19" s="10" t="s">
        <v>33</v>
      </c>
      <c r="C19" s="8" t="s">
        <v>33</v>
      </c>
      <c r="D19" s="20">
        <v>18</v>
      </c>
      <c r="E19" s="11" t="str">
        <f>IF(D19="","",IFERROR(INDEX(SSP!$E$2:$E$266, MATCH(D19, SSP!$F$2:$F$266, 0)),""))</f>
        <v>Perte de vision aiguë ou progressive (brutale, lente, transitoire, partielle)</v>
      </c>
      <c r="F19" s="11" t="str">
        <f>Feuil1!E19</f>
        <v>Amaurose</v>
      </c>
      <c r="G19" s="12" t="s">
        <v>109</v>
      </c>
      <c r="H19" s="13" t="s">
        <v>110</v>
      </c>
      <c r="I19" s="13"/>
      <c r="J19" s="15" t="s">
        <v>111</v>
      </c>
      <c r="K19" s="9" t="s">
        <v>112</v>
      </c>
      <c r="L19" s="9" t="s">
        <v>33</v>
      </c>
      <c r="M19" s="9" t="s">
        <v>33</v>
      </c>
      <c r="N19" t="s">
        <v>110</v>
      </c>
      <c r="O19" t="str">
        <f>IFERROR(_xlfn.XLOOKUP($D19, SSP!$F:$F, SSP!$E:$E, "Inconnu"), "")</f>
        <v>Perte de vision aiguë ou progressive (brutale, lente, transitoire, partielle)</v>
      </c>
      <c r="P19" t="str">
        <f>IF(OR(E19="", O19=""), "", IF(LOWER(E19)=LOWER(O19), "OK", "⚠️ Libellé ≠ n°"))</f>
        <v>OK</v>
      </c>
      <c r="Q19" t="str">
        <f>IF(Feuil1!$E19="", "", IF(LOWER(Feuil1!$E19)=LOWER(E19), "Identique", "Différent"))</f>
        <v>Différent</v>
      </c>
      <c r="R19" t="str">
        <f>IF(OR(P19="⚠️ Libellé ≠ n°", O19="Inconnu"), "⚠️", IF(Q19="Différent", "ℹ️", ""))</f>
        <v>ℹ️</v>
      </c>
      <c r="S19" t="str" cm="1">
        <f t="array" ref="S19">_xlfn.LET(_xlpm.genCat,IFERROR(LOWER(TRIM(G19)),""),_xlpm.principal,IFERROR(LOWER(TRIM(H19)),""),_xlpm.orig,IFERROR(LOWER(TRIM(N19)),""),IF(OR(_xlpm.genCat="",_xlpm.principal=""),"",IF(LEFT(LOWER(G19),5)="autre","OK (Autre)",IF(OR(ISNUMBER(SEARCH(_xlpm.genCat,_xlpm.principal)),ISNUMBER(SEARCH(_xlpm.principal,_xlpm.genCat)),AND(_xlpm.orig&lt;&gt;"",OR(ISNUMBER(SEARCH(_xlpm.genCat,_xlpm.orig)),ISNUMBER(SEARCH(_xlpm.orig,_xlpm.genCat))))),"OK","⚠️ À vérifier"))))</f>
        <v>⚠️ À vérifier</v>
      </c>
      <c r="T19" t="str">
        <f>IF(S19="","",IF(S19="OK (Autre)","Diagnostic générique = 'Autre – …'",IF(S19="OK","Concordance générique/principal","Écart entre générique et principal")))</f>
        <v>Écart entre générique et principal</v>
      </c>
      <c r="U19" t="str" cm="1">
        <f t="array" ref="U19">_xlfn.LET(_xlpm.yr, A19, _xlpm.diag, IF(N19&lt;&gt;"", N19, H19), _xlpm.base, TRIM(SUBSTITUTE(SUBSTITUTE(SUBSTITUTE(SUBSTITUTE(_xlpm.diag,"•"," "),CHAR(160)," "),CHAR(10)," "),"  "," ")), LOWER(_xlpm.yr&amp;"|"&amp;_xlpm.base))</f>
        <v>2011|horton</v>
      </c>
      <c r="V19" t="str">
        <f>IFERROR(_xlfn.XLOOKUP($AB19,'Cas 2013-2017'!$K:$K,'Cas 2013-2017'!$D:$D,""),"")</f>
        <v/>
      </c>
      <c r="W19" t="str">
        <f>IFERROR(_xlfn.XLOOKUP($AB19,'Cas 2013-2017'!$K:$K,'Cas 2013-2017'!$E:$E,""),"")</f>
        <v/>
      </c>
      <c r="X19" t="str">
        <f>IFERROR(_xlfn.XLOOKUP($AB19,'Cas 2013-2017'!$K:$K,'Cas 2013-2017'!$F:$F,""),"")</f>
        <v/>
      </c>
      <c r="Y19" t="str">
        <f>IFERROR(_xlfn.XLOOKUP($AB19,'Cas 2013-2017'!$K:$K,'Cas 2013-2017'!$G:$G,""),"")</f>
        <v/>
      </c>
      <c r="Z19" t="str">
        <f>IFERROR(_xlfn.XLOOKUP($AB19,'Cas 2013-2017'!$K:$K,'Cas 2013-2017'!$I:$I,""),"")</f>
        <v/>
      </c>
      <c r="AA19" t="str">
        <f>IFERROR(_xlfn.XLOOKUP($AB19,'Cas 2013-2017'!$K:$K,'Cas 2013-2017'!$H:$H,""),"")</f>
        <v/>
      </c>
      <c r="AB19" t="str">
        <f>LOWER($A19 &amp; "|" &amp; $AF19)</f>
        <v>2011|horton</v>
      </c>
      <c r="AC19" t="str">
        <f>TRIM(SUBSTITUTE(SUBSTITUTE(SUBSTITUTE(SUBSTITUTE(" " &amp; LOWER(TRIM(IF($N19&lt;&gt;"", $N19, $H19))) &amp; " ", " aomi ", " arteriopathie des membres inferieurs "), " hta ", " hypertension arterielle "), " saos ", " syndrome d'apnees obstructives du sommeil "), " rgo ", " reflux gastro-oesophagien ") )</f>
        <v>horton</v>
      </c>
      <c r="AD19" t="str">
        <f>TRIM(SUBSTITUTE(SUBSTITUTE(SUBSTITUTE(SUBSTITUTE(" " &amp; LOWER(TRIM($AC19)) &amp; " ", " oacr ", " occlusion de l'artere centrale de la retine "), " hsd ", " hematome sous-dural "), " fa ", " fibrillation auriculaire "), " ep ", " embolie pulmonaire ") )</f>
        <v>horton</v>
      </c>
      <c r="AE19" t="str" cm="1">
        <f t="array" ref="AE19">_xlfn.LET(_xlpm.base, " " &amp; LOWER(TRIM($AD19))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horton</v>
      </c>
      <c r="AF19" t="str" cm="1">
        <f t="array" ref="AF19">_xlfn.LET(_xlpm.base, " " &amp; LOWER(TRIM($AE19))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horton</v>
      </c>
    </row>
    <row r="20" spans="1:32" ht="284.25">
      <c r="A20" s="8">
        <v>2011</v>
      </c>
      <c r="B20" s="10" t="s">
        <v>100</v>
      </c>
      <c r="C20" s="8" t="s">
        <v>33</v>
      </c>
      <c r="D20" s="20">
        <v>207</v>
      </c>
      <c r="E20" s="11" t="str">
        <f>IF(D20="","",IFERROR(INDEX(SSP!$E$2:$E$266, MATCH(D20, SSP!$F$2:$F$266, 0)),""))</f>
        <v>Céphalée aiguë intense, syndrome méningé</v>
      </c>
      <c r="F20" s="11" t="str">
        <f>Feuil1!E20</f>
        <v>Céphalée</v>
      </c>
      <c r="G20" s="12" t="s">
        <v>106</v>
      </c>
      <c r="H20" s="13" t="s">
        <v>113</v>
      </c>
      <c r="I20" s="13"/>
      <c r="J20" s="15" t="s">
        <v>108</v>
      </c>
      <c r="K20" s="9" t="s">
        <v>114</v>
      </c>
      <c r="L20" s="17"/>
      <c r="M20" s="17"/>
      <c r="N20" t="s">
        <v>113</v>
      </c>
      <c r="O20" t="str">
        <f>IFERROR(_xlfn.XLOOKUP($D20, SSP!$F:$F, SSP!$E:$E, "Inconnu"), "")</f>
        <v>Céphalée aiguë intense, syndrome méningé</v>
      </c>
      <c r="P20" t="str">
        <f>IF(OR(E20="", O20=""), "", IF(LOWER(E20)=LOWER(O20), "OK", "⚠️ Libellé ≠ n°"))</f>
        <v>OK</v>
      </c>
      <c r="Q20" t="str">
        <f>IF(Feuil1!$E20="", "", IF(LOWER(Feuil1!$E20)=LOWER(E20), "Identique", "Différent"))</f>
        <v>Différent</v>
      </c>
      <c r="R20" t="str">
        <f>IF(OR(P20="⚠️ Libellé ≠ n°", O20="Inconnu"), "⚠️", IF(Q20="Différent", "ℹ️", ""))</f>
        <v>ℹ️</v>
      </c>
      <c r="S20" t="str" cm="1">
        <f t="array" ref="S20">_xlfn.LET(_xlpm.genCat,IFERROR(LOWER(TRIM(G20)),""),_xlpm.principal,IFERROR(LOWER(TRIM(H20)),""),_xlpm.orig,IFERROR(LOWER(TRIM(N20)),""),IF(OR(_xlpm.genCat="",_xlpm.principal=""),"",IF(LEFT(LOWER(G20),5)="autre","OK (Autre)",IF(OR(ISNUMBER(SEARCH(_xlpm.genCat,_xlpm.principal)),ISNUMBER(SEARCH(_xlpm.principal,_xlpm.genCat)),AND(_xlpm.orig&lt;&gt;"",OR(ISNUMBER(SEARCH(_xlpm.genCat,_xlpm.orig)),ISNUMBER(SEARCH(_xlpm.orig,_xlpm.genCat))))),"OK","⚠️ À vérifier"))))</f>
        <v>⚠️ À vérifier</v>
      </c>
      <c r="T20" t="str">
        <f>IF(S20="","",IF(S20="OK (Autre)","Diagnostic générique = 'Autre – …'",IF(S20="OK","Concordance générique/principal","Écart entre générique et principal")))</f>
        <v>Écart entre générique et principal</v>
      </c>
      <c r="U20" t="str" cm="1">
        <f t="array" ref="U20">_xlfn.LET(_xlpm.yr, A20, _xlpm.diag, IF(N20&lt;&gt;"", N20, H20), _xlpm.base, TRIM(SUBSTITUTE(SUBSTITUTE(SUBSTITUTE(SUBSTITUTE(_xlpm.diag,"•"," "),CHAR(160)," "),CHAR(10)," "),"  "," ")), LOWER(_xlpm.yr&amp;"|"&amp;_xlpm.base))</f>
        <v>2011|migraine</v>
      </c>
      <c r="V20" t="str">
        <f>IFERROR(_xlfn.XLOOKUP($AB20,'Cas 2013-2017'!$K:$K,'Cas 2013-2017'!$D:$D,""),"")</f>
        <v/>
      </c>
      <c r="W20" t="str">
        <f>IFERROR(_xlfn.XLOOKUP($AB20,'Cas 2013-2017'!$K:$K,'Cas 2013-2017'!$E:$E,""),"")</f>
        <v/>
      </c>
      <c r="X20" t="str">
        <f>IFERROR(_xlfn.XLOOKUP($AB20,'Cas 2013-2017'!$K:$K,'Cas 2013-2017'!$F:$F,""),"")</f>
        <v/>
      </c>
      <c r="Y20" t="str">
        <f>IFERROR(_xlfn.XLOOKUP($AB20,'Cas 2013-2017'!$K:$K,'Cas 2013-2017'!$G:$G,""),"")</f>
        <v/>
      </c>
      <c r="Z20" t="str">
        <f>IFERROR(_xlfn.XLOOKUP($AB20,'Cas 2013-2017'!$K:$K,'Cas 2013-2017'!$I:$I,""),"")</f>
        <v/>
      </c>
      <c r="AA20" t="str">
        <f>IFERROR(_xlfn.XLOOKUP($AB20,'Cas 2013-2017'!$K:$K,'Cas 2013-2017'!$H:$H,""),"")</f>
        <v/>
      </c>
      <c r="AB20" t="str">
        <f>LOWER($A20 &amp; "|" &amp; $AF20)</f>
        <v>2011|migraine</v>
      </c>
      <c r="AC20" t="str">
        <f>TRIM(SUBSTITUTE(SUBSTITUTE(SUBSTITUTE(SUBSTITUTE(" " &amp; LOWER(TRIM(IF($N20&lt;&gt;"", $N20, $H20))) &amp; " ", " aomi ", " arteriopathie des membres inferieurs "), " hta ", " hypertension arterielle "), " saos ", " syndrome d'apnees obstructives du sommeil "), " rgo ", " reflux gastro-oesophagien ") )</f>
        <v>migraine</v>
      </c>
      <c r="AD20" t="str">
        <f>TRIM(SUBSTITUTE(SUBSTITUTE(SUBSTITUTE(SUBSTITUTE(" " &amp; LOWER(TRIM($AC20)) &amp; " ", " oacr ", " occlusion de l'artere centrale de la retine "), " hsd ", " hematome sous-dural "), " fa ", " fibrillation auriculaire "), " ep ", " embolie pulmonaire ") )</f>
        <v>migraine</v>
      </c>
      <c r="AE20" t="str" cm="1">
        <f t="array" ref="AE20">_xlfn.LET(_xlpm.base, " " &amp; LOWER(TRIM($AD20))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migraine</v>
      </c>
      <c r="AF20" t="str" cm="1">
        <f t="array" ref="AF20">_xlfn.LET(_xlpm.base, " " &amp; LOWER(TRIM($AE20))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migraine</v>
      </c>
    </row>
    <row r="21" spans="1:32" ht="33.75">
      <c r="A21" s="8">
        <v>2011</v>
      </c>
      <c r="B21" s="10" t="s">
        <v>115</v>
      </c>
      <c r="C21" s="8" t="s">
        <v>33</v>
      </c>
      <c r="D21" s="20">
        <v>52</v>
      </c>
      <c r="E21" s="11" t="str">
        <f>IF(D21="","",IFERROR(INDEX(SSP!$E$2:$E$266, MATCH(D21, SSP!$F$2:$F$266, 0)),""))</f>
        <v>Douleur abdominale ou épigastrique</v>
      </c>
      <c r="F21" s="11" t="str">
        <f>Feuil1!E21</f>
        <v>Amaurose</v>
      </c>
      <c r="G21" s="12" t="s">
        <v>116</v>
      </c>
      <c r="H21" s="13" t="s">
        <v>117</v>
      </c>
      <c r="I21" s="13"/>
      <c r="J21" s="15" t="s">
        <v>118</v>
      </c>
      <c r="K21" s="9" t="s">
        <v>119</v>
      </c>
      <c r="L21" s="9" t="s">
        <v>33</v>
      </c>
      <c r="M21" s="9" t="s">
        <v>33</v>
      </c>
      <c r="N21" t="s">
        <v>120</v>
      </c>
      <c r="O21" t="str">
        <f>IFERROR(_xlfn.XLOOKUP($D21, SSP!$F:$F, SSP!$E:$E, "Inconnu"), "")</f>
        <v>Douleur abdominale ou épigastrique</v>
      </c>
      <c r="P21" t="str">
        <f>IF(OR(E21="", O21=""), "", IF(LOWER(E21)=LOWER(O21), "OK", "⚠️ Libellé ≠ n°"))</f>
        <v>OK</v>
      </c>
      <c r="Q21" t="str">
        <f>IF(Feuil1!$E21="", "", IF(LOWER(Feuil1!$E21)=LOWER(E21), "Identique", "Différent"))</f>
        <v>Différent</v>
      </c>
      <c r="R21" t="str">
        <f>IF(OR(P21="⚠️ Libellé ≠ n°", O21="Inconnu"), "⚠️", IF(Q21="Différent", "ℹ️", ""))</f>
        <v>ℹ️</v>
      </c>
      <c r="S21" t="str" cm="1">
        <f t="array" ref="S21">_xlfn.LET(_xlpm.genCat,IFERROR(LOWER(TRIM(G21)),""),_xlpm.principal,IFERROR(LOWER(TRIM(H21)),""),_xlpm.orig,IFERROR(LOWER(TRIM(N21)),""),IF(OR(_xlpm.genCat="",_xlpm.principal=""),"",IF(LEFT(LOWER(G21),5)="autre","OK (Autre)",IF(OR(ISNUMBER(SEARCH(_xlpm.genCat,_xlpm.principal)),ISNUMBER(SEARCH(_xlpm.principal,_xlpm.genCat)),AND(_xlpm.orig&lt;&gt;"",OR(ISNUMBER(SEARCH(_xlpm.genCat,_xlpm.orig)),ISNUMBER(SEARCH(_xlpm.orig,_xlpm.genCat))))),"OK","⚠️ À vérifier"))))</f>
        <v>⚠️ À vérifier</v>
      </c>
      <c r="T21" t="str">
        <f>IF(S21="","",IF(S21="OK (Autre)","Diagnostic générique = 'Autre – …'",IF(S21="OK","Concordance générique/principal","Écart entre générique et principal")))</f>
        <v>Écart entre générique et principal</v>
      </c>
      <c r="U21" t="str" cm="1">
        <f t="array" ref="U21">_xlfn.LET(_xlpm.yr, A21, _xlpm.diag, IF(N21&lt;&gt;"", N21, H21), _xlpm.base, TRIM(SUBSTITUTE(SUBSTITUTE(SUBSTITUTE(SUBSTITUTE(_xlpm.diag,"•"," "),CHAR(160)," "),CHAR(10)," "),"  "," ")), LOWER(_xlpm.yr&amp;"|"&amp;_xlpm.base))</f>
        <v>2011|oacr</v>
      </c>
      <c r="V21" t="str">
        <f>IFERROR(_xlfn.XLOOKUP($AB21,'Cas 2013-2017'!$K:$K,'Cas 2013-2017'!$D:$D,""),"")</f>
        <v/>
      </c>
      <c r="W21" t="str">
        <f>IFERROR(_xlfn.XLOOKUP($AB21,'Cas 2013-2017'!$K:$K,'Cas 2013-2017'!$E:$E,""),"")</f>
        <v/>
      </c>
      <c r="X21" t="str">
        <f>IFERROR(_xlfn.XLOOKUP($AB21,'Cas 2013-2017'!$K:$K,'Cas 2013-2017'!$F:$F,""),"")</f>
        <v/>
      </c>
      <c r="Y21" t="str">
        <f>IFERROR(_xlfn.XLOOKUP($AB21,'Cas 2013-2017'!$K:$K,'Cas 2013-2017'!$G:$G,""),"")</f>
        <v/>
      </c>
      <c r="Z21" t="str">
        <f>IFERROR(_xlfn.XLOOKUP($AB21,'Cas 2013-2017'!$K:$K,'Cas 2013-2017'!$I:$I,""),"")</f>
        <v/>
      </c>
      <c r="AA21" t="str">
        <f>IFERROR(_xlfn.XLOOKUP($AB21,'Cas 2013-2017'!$K:$K,'Cas 2013-2017'!$H:$H,""),"")</f>
        <v/>
      </c>
      <c r="AB21" t="str">
        <f>LOWER($A21 &amp; "|" &amp; $AF21)</f>
        <v>2011|occlusion de l'artere centrale de la retine</v>
      </c>
      <c r="AC21" t="str">
        <f>TRIM(SUBSTITUTE(SUBSTITUTE(SUBSTITUTE(SUBSTITUTE(" " &amp; LOWER(TRIM(IF($N21&lt;&gt;"", $N21, $H21))) &amp; " ", " aomi ", " arteriopathie des membres inferieurs "), " hta ", " hypertension arterielle "), " saos ", " syndrome d'apnees obstructives du sommeil "), " rgo ", " reflux gastro-oesophagien ") )</f>
        <v>oacr</v>
      </c>
      <c r="AD21" t="str">
        <f>TRIM(SUBSTITUTE(SUBSTITUTE(SUBSTITUTE(SUBSTITUTE(" " &amp; LOWER(TRIM($AC21)) &amp; " ", " oacr ", " occlusion de l'artere centrale de la retine "), " hsd ", " hematome sous-dural "), " fa ", " fibrillation auriculaire "), " ep ", " embolie pulmonaire ") )</f>
        <v>occlusion de l'artere centrale de la retine</v>
      </c>
      <c r="AE21" t="str" cm="1">
        <f t="array" ref="AE21">_xlfn.LET(_xlpm.base, " " &amp; LOWER(TRIM($AD21))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occlusion de l'artere centrale de la retine</v>
      </c>
      <c r="AF21" t="str" cm="1">
        <f t="array" ref="AF21">_xlfn.LET(_xlpm.base, " " &amp; LOWER(TRIM($AE21))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occlusion de l'artere centrale de la retine</v>
      </c>
    </row>
    <row r="22" spans="1:32" ht="16.5">
      <c r="A22" s="8">
        <v>2011</v>
      </c>
      <c r="B22" s="10" t="s">
        <v>91</v>
      </c>
      <c r="C22" s="8" t="s">
        <v>33</v>
      </c>
      <c r="D22" s="20">
        <v>45</v>
      </c>
      <c r="E22" s="11" t="str">
        <f>IF(D22="","",IFERROR(INDEX(SSP!$E$2:$E$266, MATCH(D22, SSP!$F$2:$F$266, 0)),""))</f>
        <v>Toux, expectoration, hémoptysie</v>
      </c>
      <c r="F22" s="11" t="str">
        <f>Feuil1!E22</f>
        <v>Toux</v>
      </c>
      <c r="G22" s="12" t="s">
        <v>121</v>
      </c>
      <c r="H22" s="13" t="s">
        <v>122</v>
      </c>
      <c r="I22" s="13"/>
      <c r="J22" s="15" t="s">
        <v>33</v>
      </c>
      <c r="K22" s="9" t="s">
        <v>33</v>
      </c>
      <c r="L22" s="9" t="s">
        <v>33</v>
      </c>
      <c r="M22" s="9" t="s">
        <v>33</v>
      </c>
      <c r="N22" t="s">
        <v>122</v>
      </c>
      <c r="O22" t="str">
        <f>IFERROR(_xlfn.XLOOKUP($D22, SSP!$F:$F, SSP!$E:$E, "Inconnu"), "")</f>
        <v>Toux, expectoration, hémoptysie</v>
      </c>
      <c r="P22" t="str">
        <f>IF(OR(E22="", O22=""), "", IF(LOWER(E22)=LOWER(O22), "OK", "⚠️ Libellé ≠ n°"))</f>
        <v>OK</v>
      </c>
      <c r="Q22" t="str">
        <f>IF(Feuil1!$E22="", "", IF(LOWER(Feuil1!$E22)=LOWER(E22), "Identique", "Différent"))</f>
        <v>Différent</v>
      </c>
      <c r="R22" t="str">
        <f>IF(OR(P22="⚠️ Libellé ≠ n°", O22="Inconnu"), "⚠️", IF(Q22="Différent", "ℹ️", ""))</f>
        <v>ℹ️</v>
      </c>
      <c r="S22" t="str" cm="1">
        <f t="array" ref="S22">_xlfn.LET(_xlpm.genCat,IFERROR(LOWER(TRIM(G22)),""),_xlpm.principal,IFERROR(LOWER(TRIM(H22)),""),_xlpm.orig,IFERROR(LOWER(TRIM(N22)),""),IF(OR(_xlpm.genCat="",_xlpm.principal=""),"",IF(LEFT(LOWER(G22),5)="autre","OK (Autre)",IF(OR(ISNUMBER(SEARCH(_xlpm.genCat,_xlpm.principal)),ISNUMBER(SEARCH(_xlpm.principal,_xlpm.genCat)),AND(_xlpm.orig&lt;&gt;"",OR(ISNUMBER(SEARCH(_xlpm.genCat,_xlpm.orig)),ISNUMBER(SEARCH(_xlpm.orig,_xlpm.genCat))))),"OK","⚠️ À vérifier"))))</f>
        <v>⚠️ À vérifier</v>
      </c>
      <c r="T22" t="str">
        <f>IF(S22="","",IF(S22="OK (Autre)","Diagnostic générique = 'Autre – …'",IF(S22="OK","Concordance générique/principal","Écart entre générique et principal")))</f>
        <v>Écart entre générique et principal</v>
      </c>
      <c r="U22" t="str" cm="1">
        <f t="array" ref="U22">_xlfn.LET(_xlpm.yr, A22, _xlpm.diag, IF(N22&lt;&gt;"", N22, H22), _xlpm.base, TRIM(SUBSTITUTE(SUBSTITUTE(SUBSTITUTE(SUBSTITUTE(_xlpm.diag,"•"," "),CHAR(160)," "),CHAR(10)," "),"  "," ")), LOWER(_xlpm.yr&amp;"|"&amp;_xlpm.base))</f>
        <v>2011|angine streptocoque</v>
      </c>
      <c r="V22" t="str">
        <f>IFERROR(_xlfn.XLOOKUP($AB22,'Cas 2013-2017'!$K:$K,'Cas 2013-2017'!$D:$D,""),"")</f>
        <v/>
      </c>
      <c r="W22" t="str">
        <f>IFERROR(_xlfn.XLOOKUP($AB22,'Cas 2013-2017'!$K:$K,'Cas 2013-2017'!$E:$E,""),"")</f>
        <v/>
      </c>
      <c r="X22" t="str">
        <f>IFERROR(_xlfn.XLOOKUP($AB22,'Cas 2013-2017'!$K:$K,'Cas 2013-2017'!$F:$F,""),"")</f>
        <v/>
      </c>
      <c r="Y22" t="str">
        <f>IFERROR(_xlfn.XLOOKUP($AB22,'Cas 2013-2017'!$K:$K,'Cas 2013-2017'!$G:$G,""),"")</f>
        <v/>
      </c>
      <c r="Z22" t="str">
        <f>IFERROR(_xlfn.XLOOKUP($AB22,'Cas 2013-2017'!$K:$K,'Cas 2013-2017'!$I:$I,""),"")</f>
        <v/>
      </c>
      <c r="AA22" t="str">
        <f>IFERROR(_xlfn.XLOOKUP($AB22,'Cas 2013-2017'!$K:$K,'Cas 2013-2017'!$H:$H,""),"")</f>
        <v/>
      </c>
      <c r="AB22" t="str">
        <f>LOWER($A22 &amp; "|" &amp; $AF22)</f>
        <v>2011|angine streptocoque</v>
      </c>
      <c r="AC22" t="str">
        <f>TRIM(SUBSTITUTE(SUBSTITUTE(SUBSTITUTE(SUBSTITUTE(" " &amp; LOWER(TRIM(IF($N22&lt;&gt;"", $N22, $H22))) &amp; " ", " aomi ", " arteriopathie des membres inferieurs "), " hta ", " hypertension arterielle "), " saos ", " syndrome d'apnees obstructives du sommeil "), " rgo ", " reflux gastro-oesophagien ") )</f>
        <v>angine streptocoque</v>
      </c>
      <c r="AD22" t="str">
        <f>TRIM(SUBSTITUTE(SUBSTITUTE(SUBSTITUTE(SUBSTITUTE(" " &amp; LOWER(TRIM($AC22)) &amp; " ", " oacr ", " occlusion de l'artere centrale de la retine "), " hsd ", " hematome sous-dural "), " fa ", " fibrillation auriculaire "), " ep ", " embolie pulmonaire ") )</f>
        <v>angine streptocoque</v>
      </c>
      <c r="AE22" t="str" cm="1">
        <f t="array" ref="AE22">_xlfn.LET(_xlpm.base, " " &amp; LOWER(TRIM($AD22))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angine streptocoque</v>
      </c>
      <c r="AF22" t="str" cm="1">
        <f t="array" ref="AF22">_xlfn.LET(_xlpm.base, " " &amp; LOWER(TRIM($AE22))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angine streptocoque</v>
      </c>
    </row>
    <row r="23" spans="1:32" ht="50.25">
      <c r="A23" s="8">
        <v>2011</v>
      </c>
      <c r="B23" s="10" t="s">
        <v>60</v>
      </c>
      <c r="C23" s="8" t="s">
        <v>33</v>
      </c>
      <c r="D23" s="20">
        <v>4</v>
      </c>
      <c r="E23" s="11" t="str">
        <f>IF(D23="","",IFERROR(INDEX(SSP!$E$2:$E$266, MATCH(D23, SSP!$F$2:$F$266, 0)),""))</f>
        <v>Fatigue, asthénie</v>
      </c>
      <c r="F23" s="11" t="str">
        <f>Feuil1!E23</f>
        <v>Fatigue</v>
      </c>
      <c r="G23" s="12" t="s">
        <v>123</v>
      </c>
      <c r="H23" s="13" t="s">
        <v>124</v>
      </c>
      <c r="I23" s="13"/>
      <c r="J23" s="15" t="s">
        <v>125</v>
      </c>
      <c r="K23" s="9" t="s">
        <v>126</v>
      </c>
      <c r="L23" s="9" t="s">
        <v>33</v>
      </c>
      <c r="M23" s="9" t="s">
        <v>33</v>
      </c>
      <c r="N23" t="s">
        <v>124</v>
      </c>
      <c r="O23" t="str">
        <f>IFERROR(_xlfn.XLOOKUP($D23, SSP!$F:$F, SSP!$E:$E, "Inconnu"), "")</f>
        <v>Fatigue, asthénie</v>
      </c>
      <c r="P23" t="str">
        <f>IF(OR(E23="", O23=""), "", IF(LOWER(E23)=LOWER(O23), "OK", "⚠️ Libellé ≠ n°"))</f>
        <v>OK</v>
      </c>
      <c r="Q23" t="str">
        <f>IF(Feuil1!$E23="", "", IF(LOWER(Feuil1!$E23)=LOWER(E23), "Identique", "Différent"))</f>
        <v>Différent</v>
      </c>
      <c r="R23" t="str">
        <f>IF(OR(P23="⚠️ Libellé ≠ n°", O23="Inconnu"), "⚠️", IF(Q23="Différent", "ℹ️", ""))</f>
        <v>ℹ️</v>
      </c>
      <c r="S23" t="str" cm="1">
        <f t="array" ref="S23">_xlfn.LET(_xlpm.genCat,IFERROR(LOWER(TRIM(G23)),""),_xlpm.principal,IFERROR(LOWER(TRIM(H23)),""),_xlpm.orig,IFERROR(LOWER(TRIM(N23)),""),IF(OR(_xlpm.genCat="",_xlpm.principal=""),"",IF(LEFT(LOWER(G23),5)="autre","OK (Autre)",IF(OR(ISNUMBER(SEARCH(_xlpm.genCat,_xlpm.principal)),ISNUMBER(SEARCH(_xlpm.principal,_xlpm.genCat)),AND(_xlpm.orig&lt;&gt;"",OR(ISNUMBER(SEARCH(_xlpm.genCat,_xlpm.orig)),ISNUMBER(SEARCH(_xlpm.orig,_xlpm.genCat))))),"OK","⚠️ À vérifier"))))</f>
        <v>OK (Autre)</v>
      </c>
      <c r="T23" t="str">
        <f>IF(S23="","",IF(S23="OK (Autre)","Diagnostic générique = 'Autre – …'",IF(S23="OK","Concordance générique/principal","Écart entre générique et principal")))</f>
        <v>Diagnostic générique = 'Autre – …'</v>
      </c>
      <c r="U23" t="str" cm="1">
        <f t="array" ref="U23">_xlfn.LET(_xlpm.yr, A23, _xlpm.diag, IF(N23&lt;&gt;"", N23, H23), _xlpm.base, TRIM(SUBSTITUTE(SUBSTITUTE(SUBSTITUTE(SUBSTITUTE(_xlpm.diag,"•"," "),CHAR(160)," "),CHAR(10)," "),"  "," ")), LOWER(_xlpm.yr&amp;"|"&amp;_xlpm.base))</f>
        <v>2011|acido-cétose sur diabète inaugural</v>
      </c>
      <c r="V23" t="str">
        <f>IFERROR(_xlfn.XLOOKUP($AB23,'Cas 2013-2017'!$K:$K,'Cas 2013-2017'!$D:$D,""),"")</f>
        <v/>
      </c>
      <c r="W23" t="str">
        <f>IFERROR(_xlfn.XLOOKUP($AB23,'Cas 2013-2017'!$K:$K,'Cas 2013-2017'!$E:$E,""),"")</f>
        <v/>
      </c>
      <c r="X23" t="str">
        <f>IFERROR(_xlfn.XLOOKUP($AB23,'Cas 2013-2017'!$K:$K,'Cas 2013-2017'!$F:$F,""),"")</f>
        <v/>
      </c>
      <c r="Y23" t="str">
        <f>IFERROR(_xlfn.XLOOKUP($AB23,'Cas 2013-2017'!$K:$K,'Cas 2013-2017'!$G:$G,""),"")</f>
        <v/>
      </c>
      <c r="Z23" t="str">
        <f>IFERROR(_xlfn.XLOOKUP($AB23,'Cas 2013-2017'!$K:$K,'Cas 2013-2017'!$I:$I,""),"")</f>
        <v/>
      </c>
      <c r="AA23" t="str">
        <f>IFERROR(_xlfn.XLOOKUP($AB23,'Cas 2013-2017'!$K:$K,'Cas 2013-2017'!$H:$H,""),"")</f>
        <v/>
      </c>
      <c r="AB23" t="str">
        <f>LOWER($A23 &amp; "|" &amp; $AF23)</f>
        <v>2011|acido-cétose sur diabète inaugural</v>
      </c>
      <c r="AC23" t="str">
        <f>TRIM(SUBSTITUTE(SUBSTITUTE(SUBSTITUTE(SUBSTITUTE(" " &amp; LOWER(TRIM(IF($N23&lt;&gt;"", $N23, $H23))) &amp; " ", " aomi ", " arteriopathie des membres inferieurs "), " hta ", " hypertension arterielle "), " saos ", " syndrome d'apnees obstructives du sommeil "), " rgo ", " reflux gastro-oesophagien ") )</f>
        <v>acido-cétose sur diabète inaugural</v>
      </c>
      <c r="AD23" t="str">
        <f>TRIM(SUBSTITUTE(SUBSTITUTE(SUBSTITUTE(SUBSTITUTE(" " &amp; LOWER(TRIM($AC23)) &amp; " ", " oacr ", " occlusion de l'artere centrale de la retine "), " hsd ", " hematome sous-dural "), " fa ", " fibrillation auriculaire "), " ep ", " embolie pulmonaire ") )</f>
        <v>acido-cétose sur diabète inaugural</v>
      </c>
      <c r="AE23" t="str" cm="1">
        <f t="array" ref="AE23">_xlfn.LET(_xlpm.base, " " &amp; LOWER(TRIM($AD23))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acido-cétose sur diabète inaugural</v>
      </c>
      <c r="AF23" t="str" cm="1">
        <f t="array" ref="AF23">_xlfn.LET(_xlpm.base, " " &amp; LOWER(TRIM($AE23))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acido-cétose sur diabète inaugural</v>
      </c>
    </row>
    <row r="24" spans="1:32" ht="33.75">
      <c r="A24" s="8">
        <v>2011</v>
      </c>
      <c r="B24" s="10" t="s">
        <v>82</v>
      </c>
      <c r="C24" s="8" t="s">
        <v>33</v>
      </c>
      <c r="D24" s="20">
        <v>58</v>
      </c>
      <c r="E24" s="11" t="str">
        <f>IF(D24="","",IFERROR(INDEX(SSP!$E$2:$E$266, MATCH(D24, SSP!$F$2:$F$266, 0)),""))</f>
        <v>Constipation</v>
      </c>
      <c r="F24" s="11" t="str">
        <f>Feuil1!E24</f>
        <v>Constipation</v>
      </c>
      <c r="G24" s="12" t="s">
        <v>83</v>
      </c>
      <c r="H24" s="13" t="s">
        <v>127</v>
      </c>
      <c r="I24" s="13"/>
      <c r="J24" s="15" t="s">
        <v>128</v>
      </c>
      <c r="K24" s="9" t="s">
        <v>129</v>
      </c>
      <c r="L24" s="9" t="s">
        <v>33</v>
      </c>
      <c r="M24" s="9" t="s">
        <v>33</v>
      </c>
      <c r="N24" t="s">
        <v>127</v>
      </c>
      <c r="O24" t="str">
        <f>IFERROR(_xlfn.XLOOKUP($D24, SSP!$F:$F, SSP!$E:$E, "Inconnu"), "")</f>
        <v>Constipation</v>
      </c>
      <c r="P24" t="str">
        <f>IF(OR(E24="", O24=""), "", IF(LOWER(E24)=LOWER(O24), "OK", "⚠️ Libellé ≠ n°"))</f>
        <v>OK</v>
      </c>
      <c r="Q24" t="str">
        <f>IF(Feuil1!$E24="", "", IF(LOWER(Feuil1!$E24)=LOWER(E24), "Identique", "Différent"))</f>
        <v>Identique</v>
      </c>
      <c r="R24" t="str">
        <f>IF(OR(P24="⚠️ Libellé ≠ n°", O24="Inconnu"), "⚠️", IF(Q24="Différent", "ℹ️", ""))</f>
        <v/>
      </c>
      <c r="S24" t="str" cm="1">
        <f t="array" ref="S24">_xlfn.LET(_xlpm.genCat,IFERROR(LOWER(TRIM(G24)),""),_xlpm.principal,IFERROR(LOWER(TRIM(H24)),""),_xlpm.orig,IFERROR(LOWER(TRIM(N24)),""),IF(OR(_xlpm.genCat="",_xlpm.principal=""),"",IF(LEFT(LOWER(G24),5)="autre","OK (Autre)",IF(OR(ISNUMBER(SEARCH(_xlpm.genCat,_xlpm.principal)),ISNUMBER(SEARCH(_xlpm.principal,_xlpm.genCat)),AND(_xlpm.orig&lt;&gt;"",OR(ISNUMBER(SEARCH(_xlpm.genCat,_xlpm.orig)),ISNUMBER(SEARCH(_xlpm.orig,_xlpm.genCat))))),"OK","⚠️ À vérifier"))))</f>
        <v>OK (Autre)</v>
      </c>
      <c r="T24" t="str">
        <f>IF(S24="","",IF(S24="OK (Autre)","Diagnostic générique = 'Autre – …'",IF(S24="OK","Concordance générique/principal","Écart entre générique et principal")))</f>
        <v>Diagnostic générique = 'Autre – …'</v>
      </c>
      <c r="U24" t="str" cm="1">
        <f t="array" ref="U24">_xlfn.LET(_xlpm.yr, A24, _xlpm.diag, IF(N24&lt;&gt;"", N24, H24), _xlpm.base, TRIM(SUBSTITUTE(SUBSTITUTE(SUBSTITUTE(SUBSTITUTE(_xlpm.diag,"•"," "),CHAR(160)," "),CHAR(10)," "),"  "," ")), LOWER(_xlpm.yr&amp;"|"&amp;_xlpm.base))</f>
        <v>2011|mucoviscidose</v>
      </c>
      <c r="V24" t="str">
        <f>IFERROR(_xlfn.XLOOKUP($AB24,'Cas 2013-2017'!$K:$K,'Cas 2013-2017'!$D:$D,""),"")</f>
        <v/>
      </c>
      <c r="W24" t="str">
        <f>IFERROR(_xlfn.XLOOKUP($AB24,'Cas 2013-2017'!$K:$K,'Cas 2013-2017'!$E:$E,""),"")</f>
        <v/>
      </c>
      <c r="X24" t="str">
        <f>IFERROR(_xlfn.XLOOKUP($AB24,'Cas 2013-2017'!$K:$K,'Cas 2013-2017'!$F:$F,""),"")</f>
        <v/>
      </c>
      <c r="Y24" t="str">
        <f>IFERROR(_xlfn.XLOOKUP($AB24,'Cas 2013-2017'!$K:$K,'Cas 2013-2017'!$G:$G,""),"")</f>
        <v/>
      </c>
      <c r="Z24" t="str">
        <f>IFERROR(_xlfn.XLOOKUP($AB24,'Cas 2013-2017'!$K:$K,'Cas 2013-2017'!$I:$I,""),"")</f>
        <v/>
      </c>
      <c r="AA24" t="str">
        <f>IFERROR(_xlfn.XLOOKUP($AB24,'Cas 2013-2017'!$K:$K,'Cas 2013-2017'!$H:$H,""),"")</f>
        <v/>
      </c>
      <c r="AB24" t="str">
        <f>LOWER($A24 &amp; "|" &amp; $AF24)</f>
        <v>2011|mucoviscidose</v>
      </c>
      <c r="AC24" t="str">
        <f>TRIM(SUBSTITUTE(SUBSTITUTE(SUBSTITUTE(SUBSTITUTE(" " &amp; LOWER(TRIM(IF($N24&lt;&gt;"", $N24, $H24))) &amp; " ", " aomi ", " arteriopathie des membres inferieurs "), " hta ", " hypertension arterielle "), " saos ", " syndrome d'apnees obstructives du sommeil "), " rgo ", " reflux gastro-oesophagien ") )</f>
        <v>mucoviscidose</v>
      </c>
      <c r="AD24" t="str">
        <f>TRIM(SUBSTITUTE(SUBSTITUTE(SUBSTITUTE(SUBSTITUTE(" " &amp; LOWER(TRIM($AC24)) &amp; " ", " oacr ", " occlusion de l'artere centrale de la retine "), " hsd ", " hematome sous-dural "), " fa ", " fibrillation auriculaire "), " ep ", " embolie pulmonaire ") )</f>
        <v>mucoviscidose</v>
      </c>
      <c r="AE24" t="str" cm="1">
        <f t="array" ref="AE24">_xlfn.LET(_xlpm.base, " " &amp; LOWER(TRIM($AD24))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mucoviscidose</v>
      </c>
      <c r="AF24" t="str" cm="1">
        <f t="array" ref="AF24">_xlfn.LET(_xlpm.base, " " &amp; LOWER(TRIM($AE24))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mucoviscidose</v>
      </c>
    </row>
    <row r="25" spans="1:32" ht="33.75">
      <c r="A25" s="8">
        <v>2011</v>
      </c>
      <c r="B25" s="10" t="s">
        <v>82</v>
      </c>
      <c r="C25" s="8" t="s">
        <v>33</v>
      </c>
      <c r="D25" s="20">
        <v>10</v>
      </c>
      <c r="E25" s="11" t="str">
        <f>IF(D25="","",IFERROR(INDEX(SSP!$E$2:$E$266, MATCH(D25, SSP!$F$2:$F$266, 0)),""))</f>
        <v>Douleur (toutes localisations et types confondus)</v>
      </c>
      <c r="F25" s="11" t="str">
        <f>Feuil1!E25</f>
        <v>Douleur testiculaire</v>
      </c>
      <c r="G25" s="12" t="s">
        <v>83</v>
      </c>
      <c r="H25" s="13" t="s">
        <v>130</v>
      </c>
      <c r="I25" s="13"/>
      <c r="J25" s="15" t="s">
        <v>131</v>
      </c>
      <c r="K25" s="9" t="s">
        <v>132</v>
      </c>
      <c r="L25" s="9" t="s">
        <v>33</v>
      </c>
      <c r="M25" s="9" t="s">
        <v>33</v>
      </c>
      <c r="N25" t="s">
        <v>130</v>
      </c>
      <c r="O25" t="str">
        <f>IFERROR(_xlfn.XLOOKUP($D25, SSP!$F:$F, SSP!$E:$E, "Inconnu"), "")</f>
        <v>Douleur (toutes localisations et types confondus)</v>
      </c>
      <c r="P25" t="str">
        <f>IF(OR(E25="", O25=""), "", IF(LOWER(E25)=LOWER(O25), "OK", "⚠️ Libellé ≠ n°"))</f>
        <v>OK</v>
      </c>
      <c r="Q25" t="str">
        <f>IF(Feuil1!$E25="", "", IF(LOWER(Feuil1!$E25)=LOWER(E25), "Identique", "Différent"))</f>
        <v>Différent</v>
      </c>
      <c r="R25" t="str">
        <f>IF(OR(P25="⚠️ Libellé ≠ n°", O25="Inconnu"), "⚠️", IF(Q25="Différent", "ℹ️", ""))</f>
        <v>ℹ️</v>
      </c>
      <c r="S25" t="str" cm="1">
        <f t="array" ref="S25">_xlfn.LET(_xlpm.genCat,IFERROR(LOWER(TRIM(G25)),""),_xlpm.principal,IFERROR(LOWER(TRIM(H25)),""),_xlpm.orig,IFERROR(LOWER(TRIM(N25)),""),IF(OR(_xlpm.genCat="",_xlpm.principal=""),"",IF(LEFT(LOWER(G25),5)="autre","OK (Autre)",IF(OR(ISNUMBER(SEARCH(_xlpm.genCat,_xlpm.principal)),ISNUMBER(SEARCH(_xlpm.principal,_xlpm.genCat)),AND(_xlpm.orig&lt;&gt;"",OR(ISNUMBER(SEARCH(_xlpm.genCat,_xlpm.orig)),ISNUMBER(SEARCH(_xlpm.orig,_xlpm.genCat))))),"OK","⚠️ À vérifier"))))</f>
        <v>OK (Autre)</v>
      </c>
      <c r="T25" t="str">
        <f>IF(S25="","",IF(S25="OK (Autre)","Diagnostic générique = 'Autre – …'",IF(S25="OK","Concordance générique/principal","Écart entre générique et principal")))</f>
        <v>Diagnostic générique = 'Autre – …'</v>
      </c>
      <c r="U25" t="str" cm="1">
        <f t="array" ref="U25">_xlfn.LET(_xlpm.yr, A25, _xlpm.diag, IF(N25&lt;&gt;"", N25, H25), _xlpm.base, TRIM(SUBSTITUTE(SUBSTITUTE(SUBSTITUTE(SUBSTITUTE(_xlpm.diag,"•"," "),CHAR(160)," "),CHAR(10)," "),"  "," ")), LOWER(_xlpm.yr&amp;"|"&amp;_xlpm.base))</f>
        <v>2011|torsion testiculaire</v>
      </c>
      <c r="V25" t="str">
        <f>IFERROR(_xlfn.XLOOKUP($AB25,'Cas 2013-2017'!$K:$K,'Cas 2013-2017'!$D:$D,""),"")</f>
        <v/>
      </c>
      <c r="W25" t="str">
        <f>IFERROR(_xlfn.XLOOKUP($AB25,'Cas 2013-2017'!$K:$K,'Cas 2013-2017'!$E:$E,""),"")</f>
        <v/>
      </c>
      <c r="X25" t="str">
        <f>IFERROR(_xlfn.XLOOKUP($AB25,'Cas 2013-2017'!$K:$K,'Cas 2013-2017'!$F:$F,""),"")</f>
        <v/>
      </c>
      <c r="Y25" t="str">
        <f>IFERROR(_xlfn.XLOOKUP($AB25,'Cas 2013-2017'!$K:$K,'Cas 2013-2017'!$G:$G,""),"")</f>
        <v/>
      </c>
      <c r="Z25" t="str">
        <f>IFERROR(_xlfn.XLOOKUP($AB25,'Cas 2013-2017'!$K:$K,'Cas 2013-2017'!$I:$I,""),"")</f>
        <v/>
      </c>
      <c r="AA25" t="str">
        <f>IFERROR(_xlfn.XLOOKUP($AB25,'Cas 2013-2017'!$K:$K,'Cas 2013-2017'!$H:$H,""),"")</f>
        <v/>
      </c>
      <c r="AB25" t="str">
        <f>LOWER($A25 &amp; "|" &amp; $AF25)</f>
        <v>2011|torsion testiculaire</v>
      </c>
      <c r="AC25" t="str">
        <f>TRIM(SUBSTITUTE(SUBSTITUTE(SUBSTITUTE(SUBSTITUTE(" " &amp; LOWER(TRIM(IF($N25&lt;&gt;"", $N25, $H25))) &amp; " ", " aomi ", " arteriopathie des membres inferieurs "), " hta ", " hypertension arterielle "), " saos ", " syndrome d'apnees obstructives du sommeil "), " rgo ", " reflux gastro-oesophagien ") )</f>
        <v>torsion testiculaire</v>
      </c>
      <c r="AD25" t="str">
        <f>TRIM(SUBSTITUTE(SUBSTITUTE(SUBSTITUTE(SUBSTITUTE(" " &amp; LOWER(TRIM($AC25)) &amp; " ", " oacr ", " occlusion de l'artere centrale de la retine "), " hsd ", " hematome sous-dural "), " fa ", " fibrillation auriculaire "), " ep ", " embolie pulmonaire ") )</f>
        <v>torsion testiculaire</v>
      </c>
      <c r="AE25" t="str" cm="1">
        <f t="array" ref="AE25">_xlfn.LET(_xlpm.base, " " &amp; LOWER(TRIM($AD25))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torsion testiculaire</v>
      </c>
      <c r="AF25" t="str" cm="1">
        <f t="array" ref="AF25">_xlfn.LET(_xlpm.base, " " &amp; LOWER(TRIM($AE25))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torsion testiculaire</v>
      </c>
    </row>
    <row r="26" spans="1:32" ht="100.5">
      <c r="A26" s="8">
        <v>2011</v>
      </c>
      <c r="B26" s="10" t="s">
        <v>133</v>
      </c>
      <c r="C26" s="8" t="s">
        <v>33</v>
      </c>
      <c r="D26" s="20">
        <v>44</v>
      </c>
      <c r="E26" s="11" t="str">
        <f>IF(D26="","",IFERROR(INDEX(SSP!$E$2:$E$266, MATCH(D26, SSP!$F$2:$F$266, 0)),""))</f>
        <v>Douleur thoracique</v>
      </c>
      <c r="F26" s="11" t="str">
        <f>Feuil1!E26</f>
        <v>Douleur thoracique</v>
      </c>
      <c r="G26" s="12" t="s">
        <v>134</v>
      </c>
      <c r="H26" s="13" t="s">
        <v>134</v>
      </c>
      <c r="I26" s="13"/>
      <c r="J26" s="15" t="s">
        <v>135</v>
      </c>
      <c r="K26" s="9" t="s">
        <v>136</v>
      </c>
      <c r="L26" s="9" t="s">
        <v>33</v>
      </c>
      <c r="M26" s="9" t="s">
        <v>33</v>
      </c>
      <c r="N26" t="s">
        <v>134</v>
      </c>
      <c r="O26" t="str">
        <f>IFERROR(_xlfn.XLOOKUP($D26, SSP!$F:$F, SSP!$E:$E, "Inconnu"), "")</f>
        <v>Douleur thoracique</v>
      </c>
      <c r="P26" t="str">
        <f>IF(OR(E26="", O26=""), "", IF(LOWER(E26)=LOWER(O26), "OK", "⚠️ Libellé ≠ n°"))</f>
        <v>OK</v>
      </c>
      <c r="Q26" t="str">
        <f>IF(Feuil1!$E26="", "", IF(LOWER(Feuil1!$E26)=LOWER(E26), "Identique", "Différent"))</f>
        <v>Identique</v>
      </c>
      <c r="R26" t="str">
        <f>IF(OR(P26="⚠️ Libellé ≠ n°", O26="Inconnu"), "⚠️", IF(Q26="Différent", "ℹ️", ""))</f>
        <v/>
      </c>
      <c r="S26" t="str" cm="1">
        <f t="array" ref="S26">_xlfn.LET(_xlpm.genCat,IFERROR(LOWER(TRIM(G26)),""),_xlpm.principal,IFERROR(LOWER(TRIM(H26)),""),_xlpm.orig,IFERROR(LOWER(TRIM(N26)),""),IF(OR(_xlpm.genCat="",_xlpm.principal=""),"",IF(LEFT(LOWER(G26),5)="autre","OK (Autre)",IF(OR(ISNUMBER(SEARCH(_xlpm.genCat,_xlpm.principal)),ISNUMBER(SEARCH(_xlpm.principal,_xlpm.genCat)),AND(_xlpm.orig&lt;&gt;"",OR(ISNUMBER(SEARCH(_xlpm.genCat,_xlpm.orig)),ISNUMBER(SEARCH(_xlpm.orig,_xlpm.genCat))))),"OK","⚠️ À vérifier"))))</f>
        <v>OK</v>
      </c>
      <c r="T26" t="str">
        <f>IF(S26="","",IF(S26="OK (Autre)","Diagnostic générique = 'Autre – …'",IF(S26="OK","Concordance générique/principal","Écart entre générique et principal")))</f>
        <v>Concordance générique/principal</v>
      </c>
      <c r="U26" t="str" cm="1">
        <f t="array" ref="U26">_xlfn.LET(_xlpm.yr, A26, _xlpm.diag, IF(N26&lt;&gt;"", N26, H26), _xlpm.base, TRIM(SUBSTITUTE(SUBSTITUTE(SUBSTITUTE(SUBSTITUTE(_xlpm.diag,"•"," "),CHAR(160)," "),CHAR(10)," "),"  "," ")), LOWER(_xlpm.yr&amp;"|"&amp;_xlpm.base))</f>
        <v>2011|pneumothorax</v>
      </c>
      <c r="V26" t="str">
        <f>IFERROR(_xlfn.XLOOKUP($AB26,'Cas 2013-2017'!$K:$K,'Cas 2013-2017'!$D:$D,""),"")</f>
        <v/>
      </c>
      <c r="W26" t="str">
        <f>IFERROR(_xlfn.XLOOKUP($AB26,'Cas 2013-2017'!$K:$K,'Cas 2013-2017'!$E:$E,""),"")</f>
        <v/>
      </c>
      <c r="X26" t="str">
        <f>IFERROR(_xlfn.XLOOKUP($AB26,'Cas 2013-2017'!$K:$K,'Cas 2013-2017'!$F:$F,""),"")</f>
        <v/>
      </c>
      <c r="Y26" t="str">
        <f>IFERROR(_xlfn.XLOOKUP($AB26,'Cas 2013-2017'!$K:$K,'Cas 2013-2017'!$G:$G,""),"")</f>
        <v/>
      </c>
      <c r="Z26" t="str">
        <f>IFERROR(_xlfn.XLOOKUP($AB26,'Cas 2013-2017'!$K:$K,'Cas 2013-2017'!$I:$I,""),"")</f>
        <v/>
      </c>
      <c r="AA26" t="str">
        <f>IFERROR(_xlfn.XLOOKUP($AB26,'Cas 2013-2017'!$K:$K,'Cas 2013-2017'!$H:$H,""),"")</f>
        <v/>
      </c>
      <c r="AB26" t="str">
        <f>LOWER($A26 &amp; "|" &amp; $AF26)</f>
        <v>2011|pneumothorax</v>
      </c>
      <c r="AC26" t="str">
        <f>TRIM(SUBSTITUTE(SUBSTITUTE(SUBSTITUTE(SUBSTITUTE(" " &amp; LOWER(TRIM(IF($N26&lt;&gt;"", $N26, $H26))) &amp; " ", " aomi ", " arteriopathie des membres inferieurs "), " hta ", " hypertension arterielle "), " saos ", " syndrome d'apnees obstructives du sommeil "), " rgo ", " reflux gastro-oesophagien ") )</f>
        <v>pneumothorax</v>
      </c>
      <c r="AD26" t="str">
        <f>TRIM(SUBSTITUTE(SUBSTITUTE(SUBSTITUTE(SUBSTITUTE(" " &amp; LOWER(TRIM($AC26)) &amp; " ", " oacr ", " occlusion de l'artere centrale de la retine "), " hsd ", " hematome sous-dural "), " fa ", " fibrillation auriculaire "), " ep ", " embolie pulmonaire ") )</f>
        <v>pneumothorax</v>
      </c>
      <c r="AE26" t="str" cm="1">
        <f t="array" ref="AE26">_xlfn.LET(_xlpm.base, " " &amp; LOWER(TRIM($AD26))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pneumothorax</v>
      </c>
      <c r="AF26" t="str" cm="1">
        <f t="array" ref="AF26">_xlfn.LET(_xlpm.base, " " &amp; LOWER(TRIM($AE26))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pneumothorax</v>
      </c>
    </row>
    <row r="27" spans="1:32" ht="33.75">
      <c r="A27" s="8">
        <v>2011</v>
      </c>
      <c r="B27" s="10" t="s">
        <v>133</v>
      </c>
      <c r="C27" s="8" t="s">
        <v>33</v>
      </c>
      <c r="D27" s="20">
        <v>4</v>
      </c>
      <c r="E27" s="11" t="str">
        <f>IF(D27="","",IFERROR(INDEX(SSP!$E$2:$E$266, MATCH(D27, SSP!$F$2:$F$266, 0)),""))</f>
        <v>Fatigue, asthénie</v>
      </c>
      <c r="F27" s="11" t="str">
        <f>Feuil1!E27</f>
        <v>Fatigue</v>
      </c>
      <c r="G27" s="12" t="s">
        <v>137</v>
      </c>
      <c r="H27" s="13" t="s">
        <v>138</v>
      </c>
      <c r="I27" s="13"/>
      <c r="J27" s="15" t="s">
        <v>139</v>
      </c>
      <c r="K27" s="9" t="s">
        <v>33</v>
      </c>
      <c r="L27" s="9" t="s">
        <v>33</v>
      </c>
      <c r="M27" s="9" t="s">
        <v>33</v>
      </c>
      <c r="N27" t="s">
        <v>140</v>
      </c>
      <c r="O27" t="str">
        <f>IFERROR(_xlfn.XLOOKUP($D27, SSP!$F:$F, SSP!$E:$E, "Inconnu"), "")</f>
        <v>Fatigue, asthénie</v>
      </c>
      <c r="P27" t="str">
        <f>IF(OR(E27="", O27=""), "", IF(LOWER(E27)=LOWER(O27), "OK", "⚠️ Libellé ≠ n°"))</f>
        <v>OK</v>
      </c>
      <c r="Q27" t="str">
        <f>IF(Feuil1!$E27="", "", IF(LOWER(Feuil1!$E27)=LOWER(E27), "Identique", "Différent"))</f>
        <v>Différent</v>
      </c>
      <c r="R27" t="str">
        <f>IF(OR(P27="⚠️ Libellé ≠ n°", O27="Inconnu"), "⚠️", IF(Q27="Différent", "ℹ️", ""))</f>
        <v>ℹ️</v>
      </c>
      <c r="S27" t="str" cm="1">
        <f t="array" ref="S27">_xlfn.LET(_xlpm.genCat,IFERROR(LOWER(TRIM(G27)),""),_xlpm.principal,IFERROR(LOWER(TRIM(H27)),""),_xlpm.orig,IFERROR(LOWER(TRIM(N27)),""),IF(OR(_xlpm.genCat="",_xlpm.principal=""),"",IF(LEFT(LOWER(G27),5)="autre","OK (Autre)",IF(OR(ISNUMBER(SEARCH(_xlpm.genCat,_xlpm.principal)),ISNUMBER(SEARCH(_xlpm.principal,_xlpm.genCat)),AND(_xlpm.orig&lt;&gt;"",OR(ISNUMBER(SEARCH(_xlpm.genCat,_xlpm.orig)),ISNUMBER(SEARCH(_xlpm.orig,_xlpm.genCat))))),"OK","⚠️ À vérifier"))))</f>
        <v>OK (Autre)</v>
      </c>
      <c r="T27" t="str">
        <f>IF(S27="","",IF(S27="OK (Autre)","Diagnostic générique = 'Autre – …'",IF(S27="OK","Concordance générique/principal","Écart entre générique et principal")))</f>
        <v>Diagnostic générique = 'Autre – …'</v>
      </c>
      <c r="U27" t="str" cm="1">
        <f t="array" ref="U27">_xlfn.LET(_xlpm.yr, A27, _xlpm.diag, IF(N27&lt;&gt;"", N27, H27), _xlpm.base, TRIM(SUBSTITUTE(SUBSTITUTE(SUBSTITUTE(SUBSTITUTE(_xlpm.diag,"•"," "),CHAR(160)," "),CHAR(10)," "),"  "," ")), LOWER(_xlpm.yr&amp;"|"&amp;_xlpm.base))</f>
        <v>2011|saos</v>
      </c>
      <c r="V27" t="str">
        <f>IFERROR(_xlfn.XLOOKUP($AB27,'Cas 2013-2017'!$K:$K,'Cas 2013-2017'!$D:$D,""),"")</f>
        <v/>
      </c>
      <c r="W27" t="str">
        <f>IFERROR(_xlfn.XLOOKUP($AB27,'Cas 2013-2017'!$K:$K,'Cas 2013-2017'!$E:$E,""),"")</f>
        <v/>
      </c>
      <c r="X27" t="str">
        <f>IFERROR(_xlfn.XLOOKUP($AB27,'Cas 2013-2017'!$K:$K,'Cas 2013-2017'!$F:$F,""),"")</f>
        <v/>
      </c>
      <c r="Y27" t="str">
        <f>IFERROR(_xlfn.XLOOKUP($AB27,'Cas 2013-2017'!$K:$K,'Cas 2013-2017'!$G:$G,""),"")</f>
        <v/>
      </c>
      <c r="Z27" t="str">
        <f>IFERROR(_xlfn.XLOOKUP($AB27,'Cas 2013-2017'!$K:$K,'Cas 2013-2017'!$I:$I,""),"")</f>
        <v/>
      </c>
      <c r="AA27" t="str">
        <f>IFERROR(_xlfn.XLOOKUP($AB27,'Cas 2013-2017'!$K:$K,'Cas 2013-2017'!$H:$H,""),"")</f>
        <v/>
      </c>
      <c r="AB27" t="str">
        <f>LOWER($A27 &amp; "|" &amp; $AF27)</f>
        <v>2011|syndrome d'apnees obstructives du sommeil</v>
      </c>
      <c r="AC27" t="str">
        <f>TRIM(SUBSTITUTE(SUBSTITUTE(SUBSTITUTE(SUBSTITUTE(" " &amp; LOWER(TRIM(IF($N27&lt;&gt;"", $N27, $H27))) &amp; " ", " aomi ", " arteriopathie des membres inferieurs "), " hta ", " hypertension arterielle "), " saos ", " syndrome d'apnees obstructives du sommeil "), " rgo ", " reflux gastro-oesophagien ") )</f>
        <v>syndrome d'apnees obstructives du sommeil</v>
      </c>
      <c r="AD27" t="str">
        <f>TRIM(SUBSTITUTE(SUBSTITUTE(SUBSTITUTE(SUBSTITUTE(" " &amp; LOWER(TRIM($AC27)) &amp; " ", " oacr ", " occlusion de l'artere centrale de la retine "), " hsd ", " hematome sous-dural "), " fa ", " fibrillation auriculaire "), " ep ", " embolie pulmonaire ") )</f>
        <v>syndrome d'apnees obstructives du sommeil</v>
      </c>
      <c r="AE27" t="str" cm="1">
        <f t="array" ref="AE27">_xlfn.LET(_xlpm.base, " " &amp; LOWER(TRIM($AD27))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d'apnees obstructives du sommeil</v>
      </c>
      <c r="AF27" t="str" cm="1">
        <f t="array" ref="AF27">_xlfn.LET(_xlpm.base, " " &amp; LOWER(TRIM($AE27))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d'apnees obstructives du sommeil</v>
      </c>
    </row>
    <row r="28" spans="1:32" ht="33.75">
      <c r="A28" s="8">
        <v>2011</v>
      </c>
      <c r="B28" s="10" t="s">
        <v>141</v>
      </c>
      <c r="C28" s="8" t="s">
        <v>33</v>
      </c>
      <c r="D28" s="20">
        <v>119</v>
      </c>
      <c r="E28" s="11" t="str">
        <f>IF(D28="","",IFERROR(INDEX(SSP!$E$2:$E$266, MATCH(D28, SSP!$F$2:$F$266, 0)),""))</f>
        <v>Trouble du déficit de l’attention</v>
      </c>
      <c r="F28" s="11" t="str">
        <f>Feuil1!E28</f>
        <v>Trouble de l'humeur</v>
      </c>
      <c r="G28" s="12" t="s">
        <v>142</v>
      </c>
      <c r="H28" s="13" t="s">
        <v>142</v>
      </c>
      <c r="I28" s="13"/>
      <c r="J28" s="15" t="s">
        <v>143</v>
      </c>
      <c r="K28" s="9" t="s">
        <v>144</v>
      </c>
      <c r="L28" s="9" t="s">
        <v>33</v>
      </c>
      <c r="M28" s="9" t="s">
        <v>33</v>
      </c>
      <c r="N28" t="s">
        <v>142</v>
      </c>
      <c r="O28" t="str">
        <f>IFERROR(_xlfn.XLOOKUP($D28, SSP!$F:$F, SSP!$E:$E, "Inconnu"), "")</f>
        <v>Trouble du déficit de l’attention</v>
      </c>
      <c r="P28" t="str">
        <f>IF(OR(E28="", O28=""), "", IF(LOWER(E28)=LOWER(O28), "OK", "⚠️ Libellé ≠ n°"))</f>
        <v>OK</v>
      </c>
      <c r="Q28" t="str">
        <f>IF(Feuil1!$E28="", "", IF(LOWER(Feuil1!$E28)=LOWER(E28), "Identique", "Différent"))</f>
        <v>Différent</v>
      </c>
      <c r="R28" t="str">
        <f>IF(OR(P28="⚠️ Libellé ≠ n°", O28="Inconnu"), "⚠️", IF(Q28="Différent", "ℹ️", ""))</f>
        <v>ℹ️</v>
      </c>
      <c r="S28" t="str" cm="1">
        <f t="array" ref="S28">_xlfn.LET(_xlpm.genCat,IFERROR(LOWER(TRIM(G28)),""),_xlpm.principal,IFERROR(LOWER(TRIM(H28)),""),_xlpm.orig,IFERROR(LOWER(TRIM(N28)),""),IF(OR(_xlpm.genCat="",_xlpm.principal=""),"",IF(LEFT(LOWER(G28),5)="autre","OK (Autre)",IF(OR(ISNUMBER(SEARCH(_xlpm.genCat,_xlpm.principal)),ISNUMBER(SEARCH(_xlpm.principal,_xlpm.genCat)),AND(_xlpm.orig&lt;&gt;"",OR(ISNUMBER(SEARCH(_xlpm.genCat,_xlpm.orig)),ISNUMBER(SEARCH(_xlpm.orig,_xlpm.genCat))))),"OK","⚠️ À vérifier"))))</f>
        <v>OK</v>
      </c>
      <c r="T28" t="str">
        <f>IF(S28="","",IF(S28="OK (Autre)","Diagnostic générique = 'Autre – …'",IF(S28="OK","Concordance générique/principal","Écart entre générique et principal")))</f>
        <v>Concordance générique/principal</v>
      </c>
      <c r="U28" t="str" cm="1">
        <f t="array" ref="U28">_xlfn.LET(_xlpm.yr, A28, _xlpm.diag, IF(N28&lt;&gt;"", N28, H28), _xlpm.base, TRIM(SUBSTITUTE(SUBSTITUTE(SUBSTITUTE(SUBSTITUTE(_xlpm.diag,"•"," "),CHAR(160)," "),CHAR(10)," "),"  "," ")), LOWER(_xlpm.yr&amp;"|"&amp;_xlpm.base))</f>
        <v>2011|trouble bipolaire</v>
      </c>
      <c r="V28" t="str">
        <f>IFERROR(_xlfn.XLOOKUP($AB28,'Cas 2013-2017'!$K:$K,'Cas 2013-2017'!$D:$D,""),"")</f>
        <v/>
      </c>
      <c r="W28" t="str">
        <f>IFERROR(_xlfn.XLOOKUP($AB28,'Cas 2013-2017'!$K:$K,'Cas 2013-2017'!$E:$E,""),"")</f>
        <v/>
      </c>
      <c r="X28" t="str">
        <f>IFERROR(_xlfn.XLOOKUP($AB28,'Cas 2013-2017'!$K:$K,'Cas 2013-2017'!$F:$F,""),"")</f>
        <v/>
      </c>
      <c r="Y28" t="str">
        <f>IFERROR(_xlfn.XLOOKUP($AB28,'Cas 2013-2017'!$K:$K,'Cas 2013-2017'!$G:$G,""),"")</f>
        <v/>
      </c>
      <c r="Z28" t="str">
        <f>IFERROR(_xlfn.XLOOKUP($AB28,'Cas 2013-2017'!$K:$K,'Cas 2013-2017'!$I:$I,""),"")</f>
        <v/>
      </c>
      <c r="AA28" t="str">
        <f>IFERROR(_xlfn.XLOOKUP($AB28,'Cas 2013-2017'!$K:$K,'Cas 2013-2017'!$H:$H,""),"")</f>
        <v/>
      </c>
      <c r="AB28" t="str">
        <f>LOWER($A28 &amp; "|" &amp; $AF28)</f>
        <v>2011|trouble bipolaire</v>
      </c>
      <c r="AC28" t="str">
        <f>TRIM(SUBSTITUTE(SUBSTITUTE(SUBSTITUTE(SUBSTITUTE(" " &amp; LOWER(TRIM(IF($N28&lt;&gt;"", $N28, $H28))) &amp; " ", " aomi ", " arteriopathie des membres inferieurs "), " hta ", " hypertension arterielle "), " saos ", " syndrome d'apnees obstructives du sommeil "), " rgo ", " reflux gastro-oesophagien ") )</f>
        <v>trouble bipolaire</v>
      </c>
      <c r="AD28" t="str">
        <f>TRIM(SUBSTITUTE(SUBSTITUTE(SUBSTITUTE(SUBSTITUTE(" " &amp; LOWER(TRIM($AC28)) &amp; " ", " oacr ", " occlusion de l'artere centrale de la retine "), " hsd ", " hematome sous-dural "), " fa ", " fibrillation auriculaire "), " ep ", " embolie pulmonaire ") )</f>
        <v>trouble bipolaire</v>
      </c>
      <c r="AE28" t="str" cm="1">
        <f t="array" ref="AE28">_xlfn.LET(_xlpm.base, " " &amp; LOWER(TRIM($AD28))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bipolaire</v>
      </c>
      <c r="AF28" t="str" cm="1">
        <f t="array" ref="AF28">_xlfn.LET(_xlpm.base, " " &amp; LOWER(TRIM($AE28))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bipolaire</v>
      </c>
    </row>
    <row r="29" spans="1:32" ht="16.5">
      <c r="A29" s="8">
        <v>2011</v>
      </c>
      <c r="B29" s="10" t="s">
        <v>141</v>
      </c>
      <c r="C29" s="8" t="s">
        <v>33</v>
      </c>
      <c r="D29" s="20">
        <v>50</v>
      </c>
      <c r="E29" s="11" t="str">
        <f>IF(D29="","",IFERROR(INDEX(SSP!$E$2:$E$266, MATCH(D29, SSP!$F$2:$F$266, 0)),""))</f>
        <v>Palpitations</v>
      </c>
      <c r="F29" s="11" t="str">
        <f>Feuil1!E29</f>
        <v>Palpitations</v>
      </c>
      <c r="G29" s="12" t="s">
        <v>145</v>
      </c>
      <c r="H29" s="13" t="s">
        <v>146</v>
      </c>
      <c r="I29" s="13" t="s">
        <v>147</v>
      </c>
      <c r="J29" s="15" t="s">
        <v>148</v>
      </c>
      <c r="K29" s="9" t="s">
        <v>33</v>
      </c>
      <c r="L29" s="9" t="s">
        <v>33</v>
      </c>
      <c r="M29" s="9" t="s">
        <v>33</v>
      </c>
      <c r="N29" t="s">
        <v>146</v>
      </c>
      <c r="O29" t="str">
        <f>IFERROR(_xlfn.XLOOKUP($D29, SSP!$F:$F, SSP!$E:$E, "Inconnu"), "")</f>
        <v>Palpitations</v>
      </c>
      <c r="P29" t="str">
        <f>IF(OR(E29="", O29=""), "", IF(LOWER(E29)=LOWER(O29), "OK", "⚠️ Libellé ≠ n°"))</f>
        <v>OK</v>
      </c>
      <c r="Q29" t="str">
        <f>IF(Feuil1!$E29="", "", IF(LOWER(Feuil1!$E29)=LOWER(E29), "Identique", "Différent"))</f>
        <v>Identique</v>
      </c>
      <c r="R29" t="str">
        <f>IF(OR(P29="⚠️ Libellé ≠ n°", O29="Inconnu"), "⚠️", IF(Q29="Différent", "ℹ️", ""))</f>
        <v/>
      </c>
      <c r="S29" t="str" cm="1">
        <f t="array" ref="S29">_xlfn.LET(_xlpm.genCat,IFERROR(LOWER(TRIM(G29)),""),_xlpm.principal,IFERROR(LOWER(TRIM(H29)),""),_xlpm.orig,IFERROR(LOWER(TRIM(N29)),""),IF(OR(_xlpm.genCat="",_xlpm.principal=""),"",IF(LEFT(LOWER(G29),5)="autre","OK (Autre)",IF(OR(ISNUMBER(SEARCH(_xlpm.genCat,_xlpm.principal)),ISNUMBER(SEARCH(_xlpm.principal,_xlpm.genCat)),AND(_xlpm.orig&lt;&gt;"",OR(ISNUMBER(SEARCH(_xlpm.genCat,_xlpm.orig)),ISNUMBER(SEARCH(_xlpm.orig,_xlpm.genCat))))),"OK","⚠️ À vérifier"))))</f>
        <v>OK (Autre)</v>
      </c>
      <c r="T29" t="str">
        <f>IF(S29="","",IF(S29="OK (Autre)","Diagnostic générique = 'Autre – …'",IF(S29="OK","Concordance générique/principal","Écart entre générique et principal")))</f>
        <v>Diagnostic générique = 'Autre – …'</v>
      </c>
      <c r="U29" t="str" cm="1">
        <f t="array" ref="U29">_xlfn.LET(_xlpm.yr, A29, _xlpm.diag, IF(N29&lt;&gt;"", N29, H29), _xlpm.base, TRIM(SUBSTITUTE(SUBSTITUTE(SUBSTITUTE(SUBSTITUTE(_xlpm.diag,"•"," "),CHAR(160)," "),CHAR(10)," "),"  "," ")), LOWER(_xlpm.yr&amp;"|"&amp;_xlpm.base))</f>
        <v>2011|phobie sociale</v>
      </c>
      <c r="V29" t="str">
        <f>IFERROR(_xlfn.XLOOKUP($AB29,'Cas 2013-2017'!$K:$K,'Cas 2013-2017'!$D:$D,""),"")</f>
        <v/>
      </c>
      <c r="W29" t="str">
        <f>IFERROR(_xlfn.XLOOKUP($AB29,'Cas 2013-2017'!$K:$K,'Cas 2013-2017'!$E:$E,""),"")</f>
        <v/>
      </c>
      <c r="X29" t="str">
        <f>IFERROR(_xlfn.XLOOKUP($AB29,'Cas 2013-2017'!$K:$K,'Cas 2013-2017'!$F:$F,""),"")</f>
        <v/>
      </c>
      <c r="Y29" t="str">
        <f>IFERROR(_xlfn.XLOOKUP($AB29,'Cas 2013-2017'!$K:$K,'Cas 2013-2017'!$G:$G,""),"")</f>
        <v/>
      </c>
      <c r="Z29" t="str">
        <f>IFERROR(_xlfn.XLOOKUP($AB29,'Cas 2013-2017'!$K:$K,'Cas 2013-2017'!$I:$I,""),"")</f>
        <v/>
      </c>
      <c r="AA29" t="str">
        <f>IFERROR(_xlfn.XLOOKUP($AB29,'Cas 2013-2017'!$K:$K,'Cas 2013-2017'!$H:$H,""),"")</f>
        <v/>
      </c>
      <c r="AB29" t="str">
        <f>LOWER($A29 &amp; "|" &amp; $AF29)</f>
        <v>2011|phobie sociale</v>
      </c>
      <c r="AC29" t="str">
        <f>TRIM(SUBSTITUTE(SUBSTITUTE(SUBSTITUTE(SUBSTITUTE(" " &amp; LOWER(TRIM(IF($N29&lt;&gt;"", $N29, $H29))) &amp; " ", " aomi ", " arteriopathie des membres inferieurs "), " hta ", " hypertension arterielle "), " saos ", " syndrome d'apnees obstructives du sommeil "), " rgo ", " reflux gastro-oesophagien ") )</f>
        <v>phobie sociale</v>
      </c>
      <c r="AD29" t="str">
        <f>TRIM(SUBSTITUTE(SUBSTITUTE(SUBSTITUTE(SUBSTITUTE(" " &amp; LOWER(TRIM($AC29)) &amp; " ", " oacr ", " occlusion de l'artere centrale de la retine "), " hsd ", " hematome sous-dural "), " fa ", " fibrillation auriculaire "), " ep ", " embolie pulmonaire ") )</f>
        <v>phobie sociale</v>
      </c>
      <c r="AE29" t="str" cm="1">
        <f t="array" ref="AE29">_xlfn.LET(_xlpm.base, " " &amp; LOWER(TRIM($AD29))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phobie sociale</v>
      </c>
      <c r="AF29" t="str" cm="1">
        <f t="array" ref="AF29">_xlfn.LET(_xlpm.base, " " &amp; LOWER(TRIM($AE29))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phobie sociale</v>
      </c>
    </row>
    <row r="30" spans="1:32" ht="150.75">
      <c r="A30" s="8">
        <v>2011</v>
      </c>
      <c r="B30" s="10" t="s">
        <v>60</v>
      </c>
      <c r="C30" s="8" t="s">
        <v>33</v>
      </c>
      <c r="D30" s="20">
        <v>224</v>
      </c>
      <c r="E30" s="11" t="str">
        <f>IF(D30="","",IFERROR(INDEX(SSP!$E$2:$E$266, MATCH(D30, SSP!$F$2:$F$266, 0)),""))</f>
        <v>Demande de bilan de santé, d’examens radiologiques ou biologiques</v>
      </c>
      <c r="F30" s="11" t="str">
        <f>Feuil1!E30</f>
        <v>Bilan</v>
      </c>
      <c r="G30" s="12" t="s">
        <v>149</v>
      </c>
      <c r="H30" s="13" t="s">
        <v>149</v>
      </c>
      <c r="I30" s="13"/>
      <c r="J30" s="15" t="s">
        <v>150</v>
      </c>
      <c r="K30" s="9" t="s">
        <v>151</v>
      </c>
      <c r="L30" s="17"/>
      <c r="M30" s="9" t="s">
        <v>33</v>
      </c>
      <c r="N30" t="s">
        <v>149</v>
      </c>
      <c r="O30" t="str">
        <f>IFERROR(_xlfn.XLOOKUP($D30, SSP!$F:$F, SSP!$E:$E, "Inconnu"), "")</f>
        <v>Demande de bilan de santé, d’examens radiologiques ou biologiques</v>
      </c>
      <c r="P30" t="str">
        <f>IF(OR(E30="", O30=""), "", IF(LOWER(E30)=LOWER(O30), "OK", "⚠️ Libellé ≠ n°"))</f>
        <v>OK</v>
      </c>
      <c r="Q30" t="str">
        <f>IF(Feuil1!$E30="", "", IF(LOWER(Feuil1!$E30)=LOWER(E30), "Identique", "Différent"))</f>
        <v>Différent</v>
      </c>
      <c r="R30" t="str">
        <f>IF(OR(P30="⚠️ Libellé ≠ n°", O30="Inconnu"), "⚠️", IF(Q30="Différent", "ℹ️", ""))</f>
        <v>ℹ️</v>
      </c>
      <c r="S30" t="str" cm="1">
        <f t="array" ref="S30">_xlfn.LET(_xlpm.genCat,IFERROR(LOWER(TRIM(G30)),""),_xlpm.principal,IFERROR(LOWER(TRIM(H30)),""),_xlpm.orig,IFERROR(LOWER(TRIM(N30)),""),IF(OR(_xlpm.genCat="",_xlpm.principal=""),"",IF(LEFT(LOWER(G30),5)="autre","OK (Autre)",IF(OR(ISNUMBER(SEARCH(_xlpm.genCat,_xlpm.principal)),ISNUMBER(SEARCH(_xlpm.principal,_xlpm.genCat)),AND(_xlpm.orig&lt;&gt;"",OR(ISNUMBER(SEARCH(_xlpm.genCat,_xlpm.orig)),ISNUMBER(SEARCH(_xlpm.orig,_xlpm.genCat))))),"OK","⚠️ À vérifier"))))</f>
        <v>OK</v>
      </c>
      <c r="T30" t="str">
        <f>IF(S30="","",IF(S30="OK (Autre)","Diagnostic générique = 'Autre – …'",IF(S30="OK","Concordance générique/principal","Écart entre générique et principal")))</f>
        <v>Concordance générique/principal</v>
      </c>
      <c r="U30" t="str" cm="1">
        <f t="array" ref="U30">_xlfn.LET(_xlpm.yr, A30, _xlpm.diag, IF(N30&lt;&gt;"", N30, H30), _xlpm.base, TRIM(SUBSTITUTE(SUBSTITUTE(SUBSTITUTE(SUBSTITUTE(_xlpm.diag,"•"," "),CHAR(160)," "),CHAR(10)," "),"  "," ")), LOWER(_xlpm.yr&amp;"|"&amp;_xlpm.base))</f>
        <v>2011|ostéoporose</v>
      </c>
      <c r="V30" t="str">
        <f>IFERROR(_xlfn.XLOOKUP($AB30,'Cas 2013-2017'!$K:$K,'Cas 2013-2017'!$D:$D,""),"")</f>
        <v/>
      </c>
      <c r="W30" t="str">
        <f>IFERROR(_xlfn.XLOOKUP($AB30,'Cas 2013-2017'!$K:$K,'Cas 2013-2017'!$E:$E,""),"")</f>
        <v/>
      </c>
      <c r="X30" t="str">
        <f>IFERROR(_xlfn.XLOOKUP($AB30,'Cas 2013-2017'!$K:$K,'Cas 2013-2017'!$F:$F,""),"")</f>
        <v/>
      </c>
      <c r="Y30" t="str">
        <f>IFERROR(_xlfn.XLOOKUP($AB30,'Cas 2013-2017'!$K:$K,'Cas 2013-2017'!$G:$G,""),"")</f>
        <v/>
      </c>
      <c r="Z30" t="str">
        <f>IFERROR(_xlfn.XLOOKUP($AB30,'Cas 2013-2017'!$K:$K,'Cas 2013-2017'!$I:$I,""),"")</f>
        <v/>
      </c>
      <c r="AA30" t="str">
        <f>IFERROR(_xlfn.XLOOKUP($AB30,'Cas 2013-2017'!$K:$K,'Cas 2013-2017'!$H:$H,""),"")</f>
        <v/>
      </c>
      <c r="AB30" t="str">
        <f>LOWER($A30 &amp; "|" &amp; $AF30)</f>
        <v>2011|ostéoporose</v>
      </c>
      <c r="AC30" t="str">
        <f>TRIM(SUBSTITUTE(SUBSTITUTE(SUBSTITUTE(SUBSTITUTE(" " &amp; LOWER(TRIM(IF($N30&lt;&gt;"", $N30, $H30))) &amp; " ", " aomi ", " arteriopathie des membres inferieurs "), " hta ", " hypertension arterielle "), " saos ", " syndrome d'apnees obstructives du sommeil "), " rgo ", " reflux gastro-oesophagien ") )</f>
        <v>ostéoporose</v>
      </c>
      <c r="AD30" t="str">
        <f>TRIM(SUBSTITUTE(SUBSTITUTE(SUBSTITUTE(SUBSTITUTE(" " &amp; LOWER(TRIM($AC30)) &amp; " ", " oacr ", " occlusion de l'artere centrale de la retine "), " hsd ", " hematome sous-dural "), " fa ", " fibrillation auriculaire "), " ep ", " embolie pulmonaire ") )</f>
        <v>ostéoporose</v>
      </c>
      <c r="AE30" t="str" cm="1">
        <f t="array" ref="AE30">_xlfn.LET(_xlpm.base, " " &amp; LOWER(TRIM($AD30))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ostéoporose</v>
      </c>
      <c r="AF30" t="str" cm="1">
        <f t="array" ref="AF30">_xlfn.LET(_xlpm.base, " " &amp; LOWER(TRIM($AE30))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ostéoporose</v>
      </c>
    </row>
    <row r="31" spans="1:32" ht="33.75">
      <c r="A31" s="8">
        <v>2011</v>
      </c>
      <c r="B31" s="10" t="s">
        <v>87</v>
      </c>
      <c r="C31" s="8" t="s">
        <v>33</v>
      </c>
      <c r="D31" s="20">
        <v>55</v>
      </c>
      <c r="E31" s="11" t="str">
        <f>IF(D31="","",IFERROR(INDEX(SSP!$E$2:$E$266, MATCH(D31, SSP!$F$2:$F$266, 0)),""))</f>
        <v>Troubles du transit intestinal, incontinence, douleur à la défécation</v>
      </c>
      <c r="F31" s="11" t="str">
        <f>Feuil1!E31</f>
        <v>Incontinence</v>
      </c>
      <c r="G31" s="12" t="s">
        <v>152</v>
      </c>
      <c r="H31" s="13" t="s">
        <v>153</v>
      </c>
      <c r="I31" s="13" t="s">
        <v>154</v>
      </c>
      <c r="J31" s="15" t="s">
        <v>155</v>
      </c>
      <c r="K31" s="9" t="s">
        <v>156</v>
      </c>
      <c r="L31" s="9" t="s">
        <v>33</v>
      </c>
      <c r="M31" s="9" t="s">
        <v>33</v>
      </c>
      <c r="N31" t="s">
        <v>153</v>
      </c>
      <c r="O31" t="str">
        <f>IFERROR(_xlfn.XLOOKUP($D31, SSP!$F:$F, SSP!$E:$E, "Inconnu"), "")</f>
        <v>Troubles du transit intestinal, incontinence, douleur à la défécation</v>
      </c>
      <c r="P31" t="str">
        <f>IF(OR(E31="", O31=""), "", IF(LOWER(E31)=LOWER(O31), "OK", "⚠️ Libellé ≠ n°"))</f>
        <v>OK</v>
      </c>
      <c r="Q31" t="str">
        <f>IF(Feuil1!$E31="", "", IF(LOWER(Feuil1!$E31)=LOWER(E31), "Identique", "Différent"))</f>
        <v>Différent</v>
      </c>
      <c r="R31" t="str">
        <f>IF(OR(P31="⚠️ Libellé ≠ n°", O31="Inconnu"), "⚠️", IF(Q31="Différent", "ℹ️", ""))</f>
        <v>ℹ️</v>
      </c>
      <c r="S31" t="str" cm="1">
        <f t="array" ref="S31">_xlfn.LET(_xlpm.genCat,IFERROR(LOWER(TRIM(G31)),""),_xlpm.principal,IFERROR(LOWER(TRIM(H31)),""),_xlpm.orig,IFERROR(LOWER(TRIM(N31)),""),IF(OR(_xlpm.genCat="",_xlpm.principal=""),"",IF(LEFT(LOWER(G31),5)="autre","OK (Autre)",IF(OR(ISNUMBER(SEARCH(_xlpm.genCat,_xlpm.principal)),ISNUMBER(SEARCH(_xlpm.principal,_xlpm.genCat)),AND(_xlpm.orig&lt;&gt;"",OR(ISNUMBER(SEARCH(_xlpm.genCat,_xlpm.orig)),ISNUMBER(SEARCH(_xlpm.orig,_xlpm.genCat))))),"OK","⚠️ À vérifier"))))</f>
        <v>OK</v>
      </c>
      <c r="T31" t="str">
        <f>IF(S31="","",IF(S31="OK (Autre)","Diagnostic générique = 'Autre – …'",IF(S31="OK","Concordance générique/principal","Écart entre générique et principal")))</f>
        <v>Concordance générique/principal</v>
      </c>
      <c r="U31" t="str" cm="1">
        <f t="array" ref="U31">_xlfn.LET(_xlpm.yr, A31, _xlpm.diag, IF(N31&lt;&gt;"", N31, H31), _xlpm.base, TRIM(SUBSTITUTE(SUBSTITUTE(SUBSTITUTE(SUBSTITUTE(_xlpm.diag,"•"," "),CHAR(160)," "),CHAR(10)," "),"  "," ")), LOWER(_xlpm.yr&amp;"|"&amp;_xlpm.base))</f>
        <v>2011|incontinence urinaire d'effort</v>
      </c>
      <c r="V31" t="str">
        <f>IFERROR(_xlfn.XLOOKUP($AB31,'Cas 2013-2017'!$K:$K,'Cas 2013-2017'!$D:$D,""),"")</f>
        <v/>
      </c>
      <c r="W31" t="str">
        <f>IFERROR(_xlfn.XLOOKUP($AB31,'Cas 2013-2017'!$K:$K,'Cas 2013-2017'!$E:$E,""),"")</f>
        <v/>
      </c>
      <c r="X31" t="str">
        <f>IFERROR(_xlfn.XLOOKUP($AB31,'Cas 2013-2017'!$K:$K,'Cas 2013-2017'!$F:$F,""),"")</f>
        <v/>
      </c>
      <c r="Y31" t="str">
        <f>IFERROR(_xlfn.XLOOKUP($AB31,'Cas 2013-2017'!$K:$K,'Cas 2013-2017'!$G:$G,""),"")</f>
        <v/>
      </c>
      <c r="Z31" t="str">
        <f>IFERROR(_xlfn.XLOOKUP($AB31,'Cas 2013-2017'!$K:$K,'Cas 2013-2017'!$I:$I,""),"")</f>
        <v/>
      </c>
      <c r="AA31" t="str">
        <f>IFERROR(_xlfn.XLOOKUP($AB31,'Cas 2013-2017'!$K:$K,'Cas 2013-2017'!$H:$H,""),"")</f>
        <v/>
      </c>
      <c r="AB31" t="str">
        <f>LOWER($A31 &amp; "|" &amp; $AF31)</f>
        <v>2011|incontinence urinaire d'effort</v>
      </c>
      <c r="AC31" t="str">
        <f>TRIM(SUBSTITUTE(SUBSTITUTE(SUBSTITUTE(SUBSTITUTE(" " &amp; LOWER(TRIM(IF($N31&lt;&gt;"", $N31, $H31))) &amp; " ", " aomi ", " arteriopathie des membres inferieurs "), " hta ", " hypertension arterielle "), " saos ", " syndrome d'apnees obstructives du sommeil "), " rgo ", " reflux gastro-oesophagien ") )</f>
        <v>incontinence urinaire d'effort</v>
      </c>
      <c r="AD31" t="str">
        <f>TRIM(SUBSTITUTE(SUBSTITUTE(SUBSTITUTE(SUBSTITUTE(" " &amp; LOWER(TRIM($AC31)) &amp; " ", " oacr ", " occlusion de l'artere centrale de la retine "), " hsd ", " hematome sous-dural "), " fa ", " fibrillation auriculaire "), " ep ", " embolie pulmonaire ") )</f>
        <v>incontinence urinaire d'effort</v>
      </c>
      <c r="AE31" t="str" cm="1">
        <f t="array" ref="AE31">_xlfn.LET(_xlpm.base, " " &amp; LOWER(TRIM($AD31))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incontinence urinaire d'effort</v>
      </c>
      <c r="AF31" t="str" cm="1">
        <f t="array" ref="AF31">_xlfn.LET(_xlpm.base, " " &amp; LOWER(TRIM($AE31))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incontinence urinaire d'effort</v>
      </c>
    </row>
    <row r="32" spans="1:32" ht="33.75">
      <c r="A32" s="8">
        <v>2011</v>
      </c>
      <c r="B32" s="10" t="s">
        <v>82</v>
      </c>
      <c r="C32" s="8" t="s">
        <v>33</v>
      </c>
      <c r="D32" s="20">
        <v>10</v>
      </c>
      <c r="E32" s="11" t="str">
        <f>IF(D32="","",IFERROR(INDEX(SSP!$E$2:$E$266, MATCH(D32, SSP!$F$2:$F$266, 0)),""))</f>
        <v>Douleur (toutes localisations et types confondus)</v>
      </c>
      <c r="F32" s="11" t="str">
        <f>Feuil1!E32</f>
        <v>Douleur dorsale</v>
      </c>
      <c r="G32" s="12" t="s">
        <v>83</v>
      </c>
      <c r="H32" s="13" t="s">
        <v>157</v>
      </c>
      <c r="I32" s="13"/>
      <c r="J32" s="15" t="s">
        <v>158</v>
      </c>
      <c r="K32" s="9" t="s">
        <v>33</v>
      </c>
      <c r="L32" s="9" t="s">
        <v>33</v>
      </c>
      <c r="M32" s="9" t="s">
        <v>33</v>
      </c>
      <c r="N32" t="s">
        <v>159</v>
      </c>
      <c r="O32" t="str">
        <f>IFERROR(_xlfn.XLOOKUP($D32, SSP!$F:$F, SSP!$E:$E, "Inconnu"), "")</f>
        <v>Douleur (toutes localisations et types confondus)</v>
      </c>
      <c r="P32" t="str">
        <f>IF(OR(E32="", O32=""), "", IF(LOWER(E32)=LOWER(O32), "OK", "⚠️ Libellé ≠ n°"))</f>
        <v>OK</v>
      </c>
      <c r="Q32" t="str">
        <f>IF(Feuil1!$E32="", "", IF(LOWER(Feuil1!$E32)=LOWER(E32), "Identique", "Différent"))</f>
        <v>Différent</v>
      </c>
      <c r="R32" t="str">
        <f>IF(OR(P32="⚠️ Libellé ≠ n°", O32="Inconnu"), "⚠️", IF(Q32="Différent", "ℹ️", ""))</f>
        <v>ℹ️</v>
      </c>
      <c r="S32" t="str" cm="1">
        <f t="array" ref="S32">_xlfn.LET(_xlpm.genCat,IFERROR(LOWER(TRIM(G32)),""),_xlpm.principal,IFERROR(LOWER(TRIM(H32)),""),_xlpm.orig,IFERROR(LOWER(TRIM(N32)),""),IF(OR(_xlpm.genCat="",_xlpm.principal=""),"",IF(LEFT(LOWER(G32),5)="autre","OK (Autre)",IF(OR(ISNUMBER(SEARCH(_xlpm.genCat,_xlpm.principal)),ISNUMBER(SEARCH(_xlpm.principal,_xlpm.genCat)),AND(_xlpm.orig&lt;&gt;"",OR(ISNUMBER(SEARCH(_xlpm.genCat,_xlpm.orig)),ISNUMBER(SEARCH(_xlpm.orig,_xlpm.genCat))))),"OK","⚠️ À vérifier"))))</f>
        <v>OK (Autre)</v>
      </c>
      <c r="T32" t="str">
        <f>IF(S32="","",IF(S32="OK (Autre)","Diagnostic générique = 'Autre – …'",IF(S32="OK","Concordance générique/principal","Écart entre générique et principal")))</f>
        <v>Diagnostic générique = 'Autre – …'</v>
      </c>
      <c r="U32" t="str" cm="1">
        <f t="array" ref="U32">_xlfn.LET(_xlpm.yr, A32, _xlpm.diag, IF(N32&lt;&gt;"", N32, H32), _xlpm.base, TRIM(SUBSTITUTE(SUBSTITUTE(SUBSTITUTE(SUBSTITUTE(_xlpm.diag,"•"," "),CHAR(160)," "),CHAR(10)," "),"  "," ")), LOWER(_xlpm.yr&amp;"|"&amp;_xlpm.base))</f>
        <v>2011|néphrolithiase.</v>
      </c>
      <c r="V32" t="str">
        <f>IFERROR(_xlfn.XLOOKUP($AB32,'Cas 2013-2017'!$K:$K,'Cas 2013-2017'!$D:$D,""),"")</f>
        <v/>
      </c>
      <c r="W32" t="str">
        <f>IFERROR(_xlfn.XLOOKUP($AB32,'Cas 2013-2017'!$K:$K,'Cas 2013-2017'!$E:$E,""),"")</f>
        <v/>
      </c>
      <c r="X32" t="str">
        <f>IFERROR(_xlfn.XLOOKUP($AB32,'Cas 2013-2017'!$K:$K,'Cas 2013-2017'!$F:$F,""),"")</f>
        <v/>
      </c>
      <c r="Y32" t="str">
        <f>IFERROR(_xlfn.XLOOKUP($AB32,'Cas 2013-2017'!$K:$K,'Cas 2013-2017'!$G:$G,""),"")</f>
        <v/>
      </c>
      <c r="Z32" t="str">
        <f>IFERROR(_xlfn.XLOOKUP($AB32,'Cas 2013-2017'!$K:$K,'Cas 2013-2017'!$I:$I,""),"")</f>
        <v/>
      </c>
      <c r="AA32" t="str">
        <f>IFERROR(_xlfn.XLOOKUP($AB32,'Cas 2013-2017'!$K:$K,'Cas 2013-2017'!$H:$H,""),"")</f>
        <v/>
      </c>
      <c r="AB32" t="str">
        <f>LOWER($A32 &amp; "|" &amp; $AF32)</f>
        <v>2011|néphrolithiase.</v>
      </c>
      <c r="AC32" t="str">
        <f>TRIM(SUBSTITUTE(SUBSTITUTE(SUBSTITUTE(SUBSTITUTE(" " &amp; LOWER(TRIM(IF($N32&lt;&gt;"", $N32, $H32))) &amp; " ", " aomi ", " arteriopathie des membres inferieurs "), " hta ", " hypertension arterielle "), " saos ", " syndrome d'apnees obstructives du sommeil "), " rgo ", " reflux gastro-oesophagien ") )</f>
        <v>néphrolithiase.</v>
      </c>
      <c r="AD32" t="str">
        <f>TRIM(SUBSTITUTE(SUBSTITUTE(SUBSTITUTE(SUBSTITUTE(" " &amp; LOWER(TRIM($AC32)) &amp; " ", " oacr ", " occlusion de l'artere centrale de la retine "), " hsd ", " hematome sous-dural "), " fa ", " fibrillation auriculaire "), " ep ", " embolie pulmonaire ") )</f>
        <v>néphrolithiase.</v>
      </c>
      <c r="AE32" t="str" cm="1">
        <f t="array" ref="AE32">_xlfn.LET(_xlpm.base, " " &amp; LOWER(TRIM($AD32))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néphrolithiase.</v>
      </c>
      <c r="AF32" t="str" cm="1">
        <f t="array" ref="AF32">_xlfn.LET(_xlpm.base, " " &amp; LOWER(TRIM($AE32))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néphrolithiase.</v>
      </c>
    </row>
    <row r="33" spans="1:32" ht="33.75">
      <c r="A33" s="8">
        <v>2011</v>
      </c>
      <c r="B33" s="10" t="s">
        <v>91</v>
      </c>
      <c r="C33" s="8" t="s">
        <v>33</v>
      </c>
      <c r="D33" s="20">
        <v>47</v>
      </c>
      <c r="E33" s="11" t="str">
        <f>IF(D33="","",IFERROR(INDEX(SSP!$E$2:$E$266, MATCH(D33, SSP!$F$2:$F$266, 0)),""))</f>
        <v>Pyrosis (brûlures rétrosternales)</v>
      </c>
      <c r="F33" s="11" t="str">
        <f>Feuil1!E33</f>
        <v>Brûlures mictionnelles</v>
      </c>
      <c r="G33" s="12" t="s">
        <v>160</v>
      </c>
      <c r="H33" s="13" t="s">
        <v>161</v>
      </c>
      <c r="I33" s="13"/>
      <c r="J33" s="15" t="s">
        <v>162</v>
      </c>
      <c r="K33" s="9" t="s">
        <v>33</v>
      </c>
      <c r="L33" s="9" t="s">
        <v>33</v>
      </c>
      <c r="M33" s="9" t="s">
        <v>33</v>
      </c>
      <c r="N33" t="s">
        <v>161</v>
      </c>
      <c r="O33" t="str">
        <f>IFERROR(_xlfn.XLOOKUP($D33, SSP!$F:$F, SSP!$E:$E, "Inconnu"), "")</f>
        <v>Pyrosis (brûlures rétrosternales)</v>
      </c>
      <c r="P33" t="str">
        <f>IF(OR(E33="", O33=""), "", IF(LOWER(E33)=LOWER(O33), "OK", "⚠️ Libellé ≠ n°"))</f>
        <v>OK</v>
      </c>
      <c r="Q33" t="str">
        <f>IF(Feuil1!$E33="", "", IF(LOWER(Feuil1!$E33)=LOWER(E33), "Identique", "Différent"))</f>
        <v>Différent</v>
      </c>
      <c r="R33" t="str">
        <f>IF(OR(P33="⚠️ Libellé ≠ n°", O33="Inconnu"), "⚠️", IF(Q33="Différent", "ℹ️", ""))</f>
        <v>ℹ️</v>
      </c>
      <c r="S33" t="str" cm="1">
        <f t="array" ref="S33">_xlfn.LET(_xlpm.genCat,IFERROR(LOWER(TRIM(G33)),""),_xlpm.principal,IFERROR(LOWER(TRIM(H33)),""),_xlpm.orig,IFERROR(LOWER(TRIM(N33)),""),IF(OR(_xlpm.genCat="",_xlpm.principal=""),"",IF(LEFT(LOWER(G33),5)="autre","OK (Autre)",IF(OR(ISNUMBER(SEARCH(_xlpm.genCat,_xlpm.principal)),ISNUMBER(SEARCH(_xlpm.principal,_xlpm.genCat)),AND(_xlpm.orig&lt;&gt;"",OR(ISNUMBER(SEARCH(_xlpm.genCat,_xlpm.orig)),ISNUMBER(SEARCH(_xlpm.orig,_xlpm.genCat))))),"OK","⚠️ À vérifier"))))</f>
        <v>OK (Autre)</v>
      </c>
      <c r="T33" t="str">
        <f>IF(S33="","",IF(S33="OK (Autre)","Diagnostic générique = 'Autre – …'",IF(S33="OK","Concordance générique/principal","Écart entre générique et principal")))</f>
        <v>Diagnostic générique = 'Autre – …'</v>
      </c>
      <c r="U33" t="str" cm="1">
        <f t="array" ref="U33">_xlfn.LET(_xlpm.yr, A33, _xlpm.diag, IF(N33&lt;&gt;"", N33, H33), _xlpm.base, TRIM(SUBSTITUTE(SUBSTITUTE(SUBSTITUTE(SUBSTITUTE(_xlpm.diag,"•"," "),CHAR(160)," "),CHAR(10)," "),"  "," ")), LOWER(_xlpm.yr&amp;"|"&amp;_xlpm.base))</f>
        <v>2011|prostatite</v>
      </c>
      <c r="V33" t="str">
        <f>IFERROR(_xlfn.XLOOKUP($AB33,'Cas 2013-2017'!$K:$K,'Cas 2013-2017'!$D:$D,""),"")</f>
        <v/>
      </c>
      <c r="W33" t="str">
        <f>IFERROR(_xlfn.XLOOKUP($AB33,'Cas 2013-2017'!$K:$K,'Cas 2013-2017'!$E:$E,""),"")</f>
        <v/>
      </c>
      <c r="X33" t="str">
        <f>IFERROR(_xlfn.XLOOKUP($AB33,'Cas 2013-2017'!$K:$K,'Cas 2013-2017'!$F:$F,""),"")</f>
        <v/>
      </c>
      <c r="Y33" t="str">
        <f>IFERROR(_xlfn.XLOOKUP($AB33,'Cas 2013-2017'!$K:$K,'Cas 2013-2017'!$G:$G,""),"")</f>
        <v/>
      </c>
      <c r="Z33" t="str">
        <f>IFERROR(_xlfn.XLOOKUP($AB33,'Cas 2013-2017'!$K:$K,'Cas 2013-2017'!$I:$I,""),"")</f>
        <v/>
      </c>
      <c r="AA33" t="str">
        <f>IFERROR(_xlfn.XLOOKUP($AB33,'Cas 2013-2017'!$K:$K,'Cas 2013-2017'!$H:$H,""),"")</f>
        <v/>
      </c>
      <c r="AB33" t="str">
        <f>LOWER($A33 &amp; "|" &amp; $AF33)</f>
        <v>2011|prostatite</v>
      </c>
      <c r="AC33" t="str">
        <f>TRIM(SUBSTITUTE(SUBSTITUTE(SUBSTITUTE(SUBSTITUTE(" " &amp; LOWER(TRIM(IF($N33&lt;&gt;"", $N33, $H33))) &amp; " ", " aomi ", " arteriopathie des membres inferieurs "), " hta ", " hypertension arterielle "), " saos ", " syndrome d'apnees obstructives du sommeil "), " rgo ", " reflux gastro-oesophagien ") )</f>
        <v>prostatite</v>
      </c>
      <c r="AD33" t="str">
        <f>TRIM(SUBSTITUTE(SUBSTITUTE(SUBSTITUTE(SUBSTITUTE(" " &amp; LOWER(TRIM($AC33)) &amp; " ", " oacr ", " occlusion de l'artere centrale de la retine "), " hsd ", " hematome sous-dural "), " fa ", " fibrillation auriculaire "), " ep ", " embolie pulmonaire ") )</f>
        <v>prostatite</v>
      </c>
      <c r="AE33" t="str" cm="1">
        <f t="array" ref="AE33">_xlfn.LET(_xlpm.base, " " &amp; LOWER(TRIM($AD33))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prostatite</v>
      </c>
      <c r="AF33" t="str" cm="1">
        <f t="array" ref="AF33">_xlfn.LET(_xlpm.base, " " &amp; LOWER(TRIM($AE33))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prostatite</v>
      </c>
    </row>
    <row r="34" spans="1:32" ht="50.25">
      <c r="A34" s="8">
        <v>2013</v>
      </c>
      <c r="B34" s="10" t="s">
        <v>32</v>
      </c>
      <c r="C34" s="8" t="s">
        <v>33</v>
      </c>
      <c r="D34" s="20">
        <v>85</v>
      </c>
      <c r="E34" s="11" t="str">
        <f>IF(D34="","",IFERROR(INDEX(SSP!$E$2:$E$266, MATCH(D34, SSP!$F$2:$F$266, 0)),""))</f>
        <v>Douleur, sensation de brûlure, crampes ou engourdissement des extrémités</v>
      </c>
      <c r="F34" s="11" t="str">
        <f>Feuil1!E34</f>
        <v>Engourdissement / faiblesse musculaire</v>
      </c>
      <c r="G34" s="12" t="s">
        <v>34</v>
      </c>
      <c r="H34" s="13" t="s">
        <v>35</v>
      </c>
      <c r="I34" s="13"/>
      <c r="J34" s="15" t="s">
        <v>163</v>
      </c>
      <c r="K34" s="9" t="s">
        <v>33</v>
      </c>
      <c r="L34" s="9" t="s">
        <v>33</v>
      </c>
      <c r="M34" s="9" t="s">
        <v>33</v>
      </c>
      <c r="N34" t="s">
        <v>35</v>
      </c>
      <c r="O34" t="str">
        <f>IFERROR(_xlfn.XLOOKUP($D34, SSP!$F:$F, SSP!$E:$E, "Inconnu"), "")</f>
        <v>Douleur, sensation de brûlure, crampes ou engourdissement des extrémités</v>
      </c>
      <c r="P34" t="str">
        <f>IF(OR(E34="", O34=""), "", IF(LOWER(E34)=LOWER(O34), "OK", "⚠️ Libellé ≠ n°"))</f>
        <v>OK</v>
      </c>
      <c r="Q34" t="str">
        <f>IF(Feuil1!$E34="", "", IF(LOWER(Feuil1!$E34)=LOWER(E34), "Identique", "Différent"))</f>
        <v>Différent</v>
      </c>
      <c r="R34" t="str">
        <f>IF(OR(P34="⚠️ Libellé ≠ n°", O34="Inconnu"), "⚠️", IF(Q34="Différent", "ℹ️", ""))</f>
        <v>ℹ️</v>
      </c>
      <c r="S34" t="str" cm="1">
        <f t="array" ref="S34">_xlfn.LET(_xlpm.genCat,IFERROR(LOWER(TRIM(G34)),""),_xlpm.principal,IFERROR(LOWER(TRIM(H34)),""),_xlpm.orig,IFERROR(LOWER(TRIM(N34)),""),IF(OR(_xlpm.genCat="",_xlpm.principal=""),"",IF(LEFT(LOWER(G34),5)="autre","OK (Autre)",IF(OR(ISNUMBER(SEARCH(_xlpm.genCat,_xlpm.principal)),ISNUMBER(SEARCH(_xlpm.principal,_xlpm.genCat)),AND(_xlpm.orig&lt;&gt;"",OR(ISNUMBER(SEARCH(_xlpm.genCat,_xlpm.orig)),ISNUMBER(SEARCH(_xlpm.orig,_xlpm.genCat))))),"OK","⚠️ À vérifier"))))</f>
        <v>⚠️ À vérifier</v>
      </c>
      <c r="T34" t="str">
        <f>IF(S34="","",IF(S34="OK (Autre)","Diagnostic générique = 'Autre – …'",IF(S34="OK","Concordance générique/principal","Écart entre générique et principal")))</f>
        <v>Écart entre générique et principal</v>
      </c>
      <c r="U34" t="str" cm="1">
        <f t="array" ref="U34">_xlfn.LET(_xlpm.yr, A34, _xlpm.diag, IF(N34&lt;&gt;"", N34, H34), _xlpm.base, TRIM(SUBSTITUTE(SUBSTITUTE(SUBSTITUTE(SUBSTITUTE(_xlpm.diag,"•"," "),CHAR(160)," "),CHAR(10)," "),"  "," ")), LOWER(_xlpm.yr&amp;"|"&amp;_xlpm.base))</f>
        <v>2013|aomi</v>
      </c>
      <c r="V34" t="str">
        <f>IFERROR(_xlfn.XLOOKUP($AB34,'Cas 2013-2017'!$K:$K,'Cas 2013-2017'!$D:$D,""),"")</f>
        <v/>
      </c>
      <c r="W34" t="str">
        <f>IFERROR(_xlfn.XLOOKUP($AB34,'Cas 2013-2017'!$K:$K,'Cas 2013-2017'!$E:$E,""),"")</f>
        <v/>
      </c>
      <c r="X34" t="str">
        <f>IFERROR(_xlfn.XLOOKUP($AB34,'Cas 2013-2017'!$K:$K,'Cas 2013-2017'!$F:$F,""),"")</f>
        <v/>
      </c>
      <c r="Y34" t="str">
        <f>IFERROR(_xlfn.XLOOKUP($AB34,'Cas 2013-2017'!$K:$K,'Cas 2013-2017'!$G:$G,""),"")</f>
        <v/>
      </c>
      <c r="Z34" t="str">
        <f>IFERROR(_xlfn.XLOOKUP($AB34,'Cas 2013-2017'!$K:$K,'Cas 2013-2017'!$I:$I,""),"")</f>
        <v/>
      </c>
      <c r="AA34" t="str">
        <f>IFERROR(_xlfn.XLOOKUP($AB34,'Cas 2013-2017'!$K:$K,'Cas 2013-2017'!$H:$H,""),"")</f>
        <v/>
      </c>
      <c r="AB34" t="str">
        <f>LOWER($A34 &amp; "|" &amp; $AF34)</f>
        <v>2013|arteriopathie des membres inferieurs</v>
      </c>
      <c r="AC34" t="str">
        <f>TRIM(SUBSTITUTE(SUBSTITUTE(SUBSTITUTE(SUBSTITUTE(" " &amp; LOWER(TRIM(IF($N34&lt;&gt;"", $N34, $H34))) &amp; " ", " aomi ", " arteriopathie des membres inferieurs "), " hta ", " hypertension arterielle "), " saos ", " syndrome d'apnees obstructives du sommeil "), " rgo ", " reflux gastro-oesophagien ") )</f>
        <v>arteriopathie des membres inferieurs</v>
      </c>
      <c r="AD34" t="str">
        <f>TRIM(SUBSTITUTE(SUBSTITUTE(SUBSTITUTE(SUBSTITUTE(" " &amp; LOWER(TRIM($AC34)) &amp; " ", " oacr ", " occlusion de l'artere centrale de la retine "), " hsd ", " hematome sous-dural "), " fa ", " fibrillation auriculaire "), " ep ", " embolie pulmonaire ") )</f>
        <v>arteriopathie des membres inferieurs</v>
      </c>
      <c r="AE34" t="str" cm="1">
        <f t="array" ref="AE34">_xlfn.LET(_xlpm.base, " " &amp; LOWER(TRIM($AD34))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arteriopathie des membres inferieurs</v>
      </c>
      <c r="AF34" t="str" cm="1">
        <f t="array" ref="AF34">_xlfn.LET(_xlpm.base, " " &amp; LOWER(TRIM($AE34))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arteriopathie des membres inferieurs</v>
      </c>
    </row>
    <row r="35" spans="1:32" ht="16.5">
      <c r="A35" s="8">
        <v>2013</v>
      </c>
      <c r="B35" s="10" t="s">
        <v>32</v>
      </c>
      <c r="C35" s="8" t="s">
        <v>33</v>
      </c>
      <c r="D35" s="20">
        <v>6</v>
      </c>
      <c r="E35" s="11" t="str">
        <f>IF(D35="","",IFERROR(INDEX(SSP!$E$2:$E$266, MATCH(D35, SSP!$F$2:$F$266, 0)),""))</f>
        <v>Fièvre, frissons, hyperthermie</v>
      </c>
      <c r="F35" s="11" t="str">
        <f>Feuil1!E35</f>
        <v>Fièvre</v>
      </c>
      <c r="G35" s="12" t="s">
        <v>41</v>
      </c>
      <c r="H35" s="13" t="s">
        <v>164</v>
      </c>
      <c r="I35" s="13"/>
      <c r="J35" s="16" t="s">
        <v>165</v>
      </c>
      <c r="K35" s="9" t="s">
        <v>33</v>
      </c>
      <c r="L35" s="9" t="s">
        <v>33</v>
      </c>
      <c r="M35" s="9" t="s">
        <v>33</v>
      </c>
      <c r="N35" t="s">
        <v>164</v>
      </c>
      <c r="O35" t="str">
        <f>IFERROR(_xlfn.XLOOKUP($D35, SSP!$F:$F, SSP!$E:$E, "Inconnu"), "")</f>
        <v>Fièvre, frissons, hyperthermie</v>
      </c>
      <c r="P35" t="str">
        <f>IF(OR(E35="", O35=""), "", IF(LOWER(E35)=LOWER(O35), "OK", "⚠️ Libellé ≠ n°"))</f>
        <v>OK</v>
      </c>
      <c r="Q35" t="str">
        <f>IF(Feuil1!$E35="", "", IF(LOWER(Feuil1!$E35)=LOWER(E35), "Identique", "Différent"))</f>
        <v>Différent</v>
      </c>
      <c r="R35" t="str">
        <f>IF(OR(P35="⚠️ Libellé ≠ n°", O35="Inconnu"), "⚠️", IF(Q35="Différent", "ℹ️", ""))</f>
        <v>ℹ️</v>
      </c>
      <c r="S35" t="str" cm="1">
        <f t="array" ref="S35">_xlfn.LET(_xlpm.genCat,IFERROR(LOWER(TRIM(G35)),""),_xlpm.principal,IFERROR(LOWER(TRIM(H35)),""),_xlpm.orig,IFERROR(LOWER(TRIM(N35)),""),IF(OR(_xlpm.genCat="",_xlpm.principal=""),"",IF(LEFT(LOWER(G35),5)="autre","OK (Autre)",IF(OR(ISNUMBER(SEARCH(_xlpm.genCat,_xlpm.principal)),ISNUMBER(SEARCH(_xlpm.principal,_xlpm.genCat)),AND(_xlpm.orig&lt;&gt;"",OR(ISNUMBER(SEARCH(_xlpm.genCat,_xlpm.orig)),ISNUMBER(SEARCH(_xlpm.orig,_xlpm.genCat))))),"OK","⚠️ À vérifier"))))</f>
        <v>OK (Autre)</v>
      </c>
      <c r="T35" t="str">
        <f>IF(S35="","",IF(S35="OK (Autre)","Diagnostic générique = 'Autre – …'",IF(S35="OK","Concordance générique/principal","Écart entre générique et principal")))</f>
        <v>Diagnostic générique = 'Autre – …'</v>
      </c>
      <c r="U35" t="str" cm="1">
        <f t="array" ref="U35">_xlfn.LET(_xlpm.yr, A35, _xlpm.diag, IF(N35&lt;&gt;"", N35, H35), _xlpm.base, TRIM(SUBSTITUTE(SUBSTITUTE(SUBSTITUTE(SUBSTITUTE(_xlpm.diag,"•"," "),CHAR(160)," "),CHAR(10)," "),"  "," ")), LOWER(_xlpm.yr&amp;"|"&amp;_xlpm.base))</f>
        <v>2013|endocardite</v>
      </c>
      <c r="V35">
        <f>IFERROR(_xlfn.XLOOKUP($AB35,'Cas 2013-2017'!$K:$K,'Cas 2013-2017'!$D:$D,""),"")</f>
        <v>0</v>
      </c>
      <c r="W35">
        <f>IFERROR(_xlfn.XLOOKUP($AB35,'Cas 2013-2017'!$K:$K,'Cas 2013-2017'!$E:$E,""),"")</f>
        <v>0</v>
      </c>
      <c r="X35">
        <f>IFERROR(_xlfn.XLOOKUP($AB35,'Cas 2013-2017'!$K:$K,'Cas 2013-2017'!$F:$F,""),"")</f>
        <v>0</v>
      </c>
      <c r="Y35">
        <f>IFERROR(_xlfn.XLOOKUP($AB35,'Cas 2013-2017'!$K:$K,'Cas 2013-2017'!$G:$G,""),"")</f>
        <v>0</v>
      </c>
      <c r="Z35">
        <f>IFERROR(_xlfn.XLOOKUP($AB35,'Cas 2013-2017'!$K:$K,'Cas 2013-2017'!$I:$I,""),"")</f>
        <v>0</v>
      </c>
      <c r="AA35" t="str">
        <f>IFERROR(_xlfn.XLOOKUP($AB35,'Cas 2013-2017'!$K:$K,'Cas 2013-2017'!$H:$H,""),"")</f>
        <v>Hemocs + TTE/TEE</v>
      </c>
      <c r="AB35" t="str">
        <f>LOWER($A35 &amp; "|" &amp; $AF35)</f>
        <v>2013|endocardite</v>
      </c>
      <c r="AC35" t="str">
        <f>TRIM(SUBSTITUTE(SUBSTITUTE(SUBSTITUTE(SUBSTITUTE(" " &amp; LOWER(TRIM(IF($N35&lt;&gt;"", $N35, $H35))) &amp; " ", " aomi ", " arteriopathie des membres inferieurs "), " hta ", " hypertension arterielle "), " saos ", " syndrome d'apnees obstructives du sommeil "), " rgo ", " reflux gastro-oesophagien ") )</f>
        <v>endocardite</v>
      </c>
      <c r="AD35" t="str">
        <f>TRIM(SUBSTITUTE(SUBSTITUTE(SUBSTITUTE(SUBSTITUTE(" " &amp; LOWER(TRIM($AC35)) &amp; " ", " oacr ", " occlusion de l'artere centrale de la retine "), " hsd ", " hematome sous-dural "), " fa ", " fibrillation auriculaire "), " ep ", " embolie pulmonaire ") )</f>
        <v>endocardite</v>
      </c>
      <c r="AE35" t="str" cm="1">
        <f t="array" ref="AE35">_xlfn.LET(_xlpm.base, " " &amp; LOWER(TRIM($AD35))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endocardite</v>
      </c>
      <c r="AF35" t="str" cm="1">
        <f t="array" ref="AF35">_xlfn.LET(_xlpm.base, " " &amp; LOWER(TRIM($AE35))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endocardite</v>
      </c>
    </row>
    <row r="36" spans="1:32" ht="84">
      <c r="A36" s="8">
        <v>2013</v>
      </c>
      <c r="B36" s="10" t="s">
        <v>32</v>
      </c>
      <c r="C36" s="8" t="s">
        <v>33</v>
      </c>
      <c r="D36" s="20">
        <v>5</v>
      </c>
      <c r="E36" s="11" t="str">
        <f>IF(D36="","",IFERROR(INDEX(SSP!$E$2:$E$266, MATCH(D36, SSP!$F$2:$F$266, 0)),""))</f>
        <v>Sensation de malaise, altération de l’état général</v>
      </c>
      <c r="F36" s="11" t="str">
        <f>Feuil1!E36</f>
        <v>Malaise</v>
      </c>
      <c r="G36" s="12" t="s">
        <v>166</v>
      </c>
      <c r="H36" s="13" t="s">
        <v>167</v>
      </c>
      <c r="I36" s="13"/>
      <c r="J36" s="15" t="s">
        <v>168</v>
      </c>
      <c r="K36" s="9" t="s">
        <v>169</v>
      </c>
      <c r="L36" s="9" t="s">
        <v>33</v>
      </c>
      <c r="M36" s="9" t="s">
        <v>33</v>
      </c>
      <c r="N36" t="s">
        <v>167</v>
      </c>
      <c r="O36" t="str">
        <f>IFERROR(_xlfn.XLOOKUP($D36, SSP!$F:$F, SSP!$E:$E, "Inconnu"), "")</f>
        <v>Sensation de malaise, altération de l’état général</v>
      </c>
      <c r="P36" t="str">
        <f>IF(OR(E36="", O36=""), "", IF(LOWER(E36)=LOWER(O36), "OK", "⚠️ Libellé ≠ n°"))</f>
        <v>OK</v>
      </c>
      <c r="Q36" t="str">
        <f>IF(Feuil1!$E36="", "", IF(LOWER(Feuil1!$E36)=LOWER(E36), "Identique", "Différent"))</f>
        <v>Différent</v>
      </c>
      <c r="R36" t="str">
        <f>IF(OR(P36="⚠️ Libellé ≠ n°", O36="Inconnu"), "⚠️", IF(Q36="Différent", "ℹ️", ""))</f>
        <v>ℹ️</v>
      </c>
      <c r="S36" t="str" cm="1">
        <f t="array" ref="S36">_xlfn.LET(_xlpm.genCat,IFERROR(LOWER(TRIM(G36)),""),_xlpm.principal,IFERROR(LOWER(TRIM(H36)),""),_xlpm.orig,IFERROR(LOWER(TRIM(N36)),""),IF(OR(_xlpm.genCat="",_xlpm.principal=""),"",IF(LEFT(LOWER(G36),5)="autre","OK (Autre)",IF(OR(ISNUMBER(SEARCH(_xlpm.genCat,_xlpm.principal)),ISNUMBER(SEARCH(_xlpm.principal,_xlpm.genCat)),AND(_xlpm.orig&lt;&gt;"",OR(ISNUMBER(SEARCH(_xlpm.genCat,_xlpm.orig)),ISNUMBER(SEARCH(_xlpm.orig,_xlpm.genCat))))),"OK","⚠️ À vérifier"))))</f>
        <v>⚠️ À vérifier</v>
      </c>
      <c r="T36" t="str">
        <f>IF(S36="","",IF(S36="OK (Autre)","Diagnostic générique = 'Autre – …'",IF(S36="OK","Concordance générique/principal","Écart entre générique et principal")))</f>
        <v>Écart entre générique et principal</v>
      </c>
      <c r="U36" t="str" cm="1">
        <f t="array" ref="U36">_xlfn.LET(_xlpm.yr, A36, _xlpm.diag, IF(N36&lt;&gt;"", N36, H36), _xlpm.base, TRIM(SUBSTITUTE(SUBSTITUTE(SUBSTITUTE(SUBSTITUTE(_xlpm.diag,"•"," "),CHAR(160)," "),CHAR(10)," "),"  "," ")), LOWER(_xlpm.yr&amp;"|"&amp;_xlpm.base))</f>
        <v>2013|infarctus du myocarde</v>
      </c>
      <c r="V36" t="str">
        <f>IFERROR(_xlfn.XLOOKUP($AB36,'Cas 2013-2017'!$K:$K,'Cas 2013-2017'!$D:$D,""),"")</f>
        <v/>
      </c>
      <c r="W36" t="str">
        <f>IFERROR(_xlfn.XLOOKUP($AB36,'Cas 2013-2017'!$K:$K,'Cas 2013-2017'!$E:$E,""),"")</f>
        <v/>
      </c>
      <c r="X36" t="str">
        <f>IFERROR(_xlfn.XLOOKUP($AB36,'Cas 2013-2017'!$K:$K,'Cas 2013-2017'!$F:$F,""),"")</f>
        <v/>
      </c>
      <c r="Y36" t="str">
        <f>IFERROR(_xlfn.XLOOKUP($AB36,'Cas 2013-2017'!$K:$K,'Cas 2013-2017'!$G:$G,""),"")</f>
        <v/>
      </c>
      <c r="Z36" t="str">
        <f>IFERROR(_xlfn.XLOOKUP($AB36,'Cas 2013-2017'!$K:$K,'Cas 2013-2017'!$I:$I,""),"")</f>
        <v/>
      </c>
      <c r="AA36" t="str">
        <f>IFERROR(_xlfn.XLOOKUP($AB36,'Cas 2013-2017'!$K:$K,'Cas 2013-2017'!$H:$H,""),"")</f>
        <v/>
      </c>
      <c r="AB36" t="str">
        <f>LOWER($A36 &amp; "|" &amp; $AF36)</f>
        <v>2013|infarctus du myocarde</v>
      </c>
      <c r="AC36" t="str">
        <f>TRIM(SUBSTITUTE(SUBSTITUTE(SUBSTITUTE(SUBSTITUTE(" " &amp; LOWER(TRIM(IF($N36&lt;&gt;"", $N36, $H36))) &amp; " ", " aomi ", " arteriopathie des membres inferieurs "), " hta ", " hypertension arterielle "), " saos ", " syndrome d'apnees obstructives du sommeil "), " rgo ", " reflux gastro-oesophagien ") )</f>
        <v>infarctus du myocarde</v>
      </c>
      <c r="AD36" t="str">
        <f>TRIM(SUBSTITUTE(SUBSTITUTE(SUBSTITUTE(SUBSTITUTE(" " &amp; LOWER(TRIM($AC36)) &amp; " ", " oacr ", " occlusion de l'artere centrale de la retine "), " hsd ", " hematome sous-dural "), " fa ", " fibrillation auriculaire "), " ep ", " embolie pulmonaire ") )</f>
        <v>infarctus du myocarde</v>
      </c>
      <c r="AE36" t="str" cm="1">
        <f t="array" ref="AE36">_xlfn.LET(_xlpm.base, " " &amp; LOWER(TRIM($AD36))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infarctus du myocarde</v>
      </c>
      <c r="AF36" t="str" cm="1">
        <f t="array" ref="AF36">_xlfn.LET(_xlpm.base, " " &amp; LOWER(TRIM($AE36))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infarctus du myocarde</v>
      </c>
    </row>
    <row r="37" spans="1:32" ht="150.75">
      <c r="A37" s="8">
        <v>2013</v>
      </c>
      <c r="B37" s="10" t="s">
        <v>32</v>
      </c>
      <c r="C37" s="8" t="s">
        <v>33</v>
      </c>
      <c r="D37" s="20">
        <v>4</v>
      </c>
      <c r="E37" s="11" t="str">
        <f>IF(D37="","",IFERROR(INDEX(SSP!$E$2:$E$266, MATCH(D37, SSP!$F$2:$F$266, 0)),""))</f>
        <v>Fatigue, asthénie</v>
      </c>
      <c r="F37" s="11" t="str">
        <f>Feuil1!E37</f>
        <v>Fatigue</v>
      </c>
      <c r="G37" s="12" t="s">
        <v>170</v>
      </c>
      <c r="H37" s="13" t="s">
        <v>170</v>
      </c>
      <c r="I37" s="13" t="s">
        <v>171</v>
      </c>
      <c r="J37" s="15" t="s">
        <v>172</v>
      </c>
      <c r="K37" s="9" t="s">
        <v>173</v>
      </c>
      <c r="L37" s="9" t="s">
        <v>174</v>
      </c>
      <c r="M37" s="9" t="s">
        <v>175</v>
      </c>
      <c r="N37" t="s">
        <v>170</v>
      </c>
      <c r="O37" t="str">
        <f>IFERROR(_xlfn.XLOOKUP($D37, SSP!$F:$F, SSP!$E:$E, "Inconnu"), "")</f>
        <v>Fatigue, asthénie</v>
      </c>
      <c r="P37" t="str">
        <f>IF(OR(E37="", O37=""), "", IF(LOWER(E37)=LOWER(O37), "OK", "⚠️ Libellé ≠ n°"))</f>
        <v>OK</v>
      </c>
      <c r="Q37" t="str">
        <f>IF(Feuil1!$E37="", "", IF(LOWER(Feuil1!$E37)=LOWER(E37), "Identique", "Différent"))</f>
        <v>Différent</v>
      </c>
      <c r="R37" t="str">
        <f>IF(OR(P37="⚠️ Libellé ≠ n°", O37="Inconnu"), "⚠️", IF(Q37="Différent", "ℹ️", ""))</f>
        <v>ℹ️</v>
      </c>
      <c r="S37" t="str" cm="1">
        <f t="array" ref="S37">_xlfn.LET(_xlpm.genCat,IFERROR(LOWER(TRIM(G37)),""),_xlpm.principal,IFERROR(LOWER(TRIM(H37)),""),_xlpm.orig,IFERROR(LOWER(TRIM(N37)),""),IF(OR(_xlpm.genCat="",_xlpm.principal=""),"",IF(LEFT(LOWER(G37),5)="autre","OK (Autre)",IF(OR(ISNUMBER(SEARCH(_xlpm.genCat,_xlpm.principal)),ISNUMBER(SEARCH(_xlpm.principal,_xlpm.genCat)),AND(_xlpm.orig&lt;&gt;"",OR(ISNUMBER(SEARCH(_xlpm.genCat,_xlpm.orig)),ISNUMBER(SEARCH(_xlpm.orig,_xlpm.genCat))))),"OK","⚠️ À vérifier"))))</f>
        <v>OK</v>
      </c>
      <c r="T37" t="str">
        <f>IF(S37="","",IF(S37="OK (Autre)","Diagnostic générique = 'Autre – …'",IF(S37="OK","Concordance générique/principal","Écart entre générique et principal")))</f>
        <v>Concordance générique/principal</v>
      </c>
      <c r="U37" t="str" cm="1">
        <f t="array" ref="U37">_xlfn.LET(_xlpm.yr, A37, _xlpm.diag, IF(N37&lt;&gt;"", N37, H37), _xlpm.base, TRIM(SUBSTITUTE(SUBSTITUTE(SUBSTITUTE(SUBSTITUTE(_xlpm.diag,"•"," "),CHAR(160)," "),CHAR(10)," "),"  "," ")), LOWER(_xlpm.yr&amp;"|"&amp;_xlpm.base))</f>
        <v>2013|insuffisance cardiaque</v>
      </c>
      <c r="V37" t="str">
        <f>IFERROR(_xlfn.XLOOKUP($AB37,'Cas 2013-2017'!$K:$K,'Cas 2013-2017'!$D:$D,""),"")</f>
        <v>femme avec fatigue, arythmie, oedème prenant le godet, dyspnée</v>
      </c>
      <c r="W37" t="str">
        <f>IFERROR(_xlfn.XLOOKUP($AB37,'Cas 2013-2017'!$K:$K,'Cas 2013-2017'!$E:$E,""),"")</f>
        <v>dyspnée nouvelle ? progression ? facteur aggravant soulageant ? angor ? orthopnée ? dyspnée paroxystique nocturne? Prise de poids? oedème ? quand ? Nycturie ? fatigue ? FRCV tabac-OH • Voyage, néoplasie, op, varices, COC, ATCD de MTE, oedème, douleur, AF...</v>
      </c>
      <c r="X37" t="str">
        <f>IFERROR(_xlfn.XLOOKUP($AB37,'Cas 2013-2017'!$K:$K,'Cas 2013-2017'!$F:$F,""),"")</f>
        <v>CV (ne pas oublier reflux hépatojugulaire, oedèmes!, auscultation carotides) • Homans • Palpation mollets Pulmonaire</v>
      </c>
      <c r="Y37" t="str">
        <f>IFERROR(_xlfn.XLOOKUP($AB37,'Cas 2013-2017'!$K:$K,'Cas 2013-2017'!$G:$G,""),"")</f>
        <v>EP • Insuffisance rénale • Insuffisance hépatique</v>
      </c>
      <c r="Z37" t="str">
        <f>IFERROR(_xlfn.XLOOKUP($AB37,'Cas 2013-2017'!$K:$K,'Cas 2013-2017'!$I:$I,""),"")</f>
        <v>Hospitalisation si décompensation→ O2, position assise, Morphine, Nitroglycérinesi oedème poumon et pas d’hypotension, furosémide iv. Si stable chgt habitudes de vie (diète pauvre en sel, réduction poids, restriction hydrique,diminuer OH et nicotine) Médics: IECA, Bbloquant, Diurétique, evt antago aldostérone</v>
      </c>
      <c r="AA37" t="str">
        <f>IFERROR(_xlfn.XLOOKUP($AB37,'Cas 2013-2017'!$K:$K,'Cas 2013-2017'!$H:$H,""),"")</f>
        <v>ECG • Gazométrie • Sat02% • FSS, BNP, pro-BNP • US cardio • Rx thorax (cardiomégalie, gros VG, congestion pulmonaire voir œdème pulmo)</v>
      </c>
      <c r="AB37" t="str">
        <f>LOWER($A37 &amp; "|" &amp; $AF37)</f>
        <v>2013|insuffisance cardiaque</v>
      </c>
      <c r="AC37" t="str">
        <f>TRIM(SUBSTITUTE(SUBSTITUTE(SUBSTITUTE(SUBSTITUTE(" " &amp; LOWER(TRIM(IF($N37&lt;&gt;"", $N37, $H37))) &amp; " ", " aomi ", " arteriopathie des membres inferieurs "), " hta ", " hypertension arterielle "), " saos ", " syndrome d'apnees obstructives du sommeil "), " rgo ", " reflux gastro-oesophagien ") )</f>
        <v>insuffisance cardiaque</v>
      </c>
      <c r="AD37" t="str">
        <f>TRIM(SUBSTITUTE(SUBSTITUTE(SUBSTITUTE(SUBSTITUTE(" " &amp; LOWER(TRIM($AC37)) &amp; " ", " oacr ", " occlusion de l'artere centrale de la retine "), " hsd ", " hematome sous-dural "), " fa ", " fibrillation auriculaire "), " ep ", " embolie pulmonaire ") )</f>
        <v>insuffisance cardiaque</v>
      </c>
      <c r="AE37" t="str" cm="1">
        <f t="array" ref="AE37">_xlfn.LET(_xlpm.base, " " &amp; LOWER(TRIM($AD37))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insuffisance cardiaque</v>
      </c>
      <c r="AF37" t="str" cm="1">
        <f t="array" ref="AF37">_xlfn.LET(_xlpm.base, " " &amp; LOWER(TRIM($AE37))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insuffisance cardiaque</v>
      </c>
    </row>
    <row r="38" spans="1:32" ht="84">
      <c r="A38" s="8">
        <v>2013</v>
      </c>
      <c r="B38" s="10" t="s">
        <v>51</v>
      </c>
      <c r="C38" s="8" t="s">
        <v>33</v>
      </c>
      <c r="D38" s="20">
        <v>10</v>
      </c>
      <c r="E38" s="11" t="str">
        <f>IF(D38="","",IFERROR(INDEX(SSP!$E$2:$E$266, MATCH(D38, SSP!$F$2:$F$266, 0)),""))</f>
        <v>Douleur (toutes localisations et types confondus)</v>
      </c>
      <c r="F38" s="11" t="str">
        <f>Feuil1!E38</f>
        <v>Douleur jambe</v>
      </c>
      <c r="G38" s="12" t="s">
        <v>176</v>
      </c>
      <c r="H38" s="13" t="s">
        <v>177</v>
      </c>
      <c r="I38" s="13" t="s">
        <v>178</v>
      </c>
      <c r="J38" s="15" t="s">
        <v>179</v>
      </c>
      <c r="K38" s="9" t="s">
        <v>180</v>
      </c>
      <c r="L38" s="9" t="s">
        <v>181</v>
      </c>
      <c r="M38" s="9" t="s">
        <v>182</v>
      </c>
      <c r="N38" t="s">
        <v>177</v>
      </c>
      <c r="O38" t="str">
        <f>IFERROR(_xlfn.XLOOKUP($D38, SSP!$F:$F, SSP!$E:$E, "Inconnu"), "")</f>
        <v>Douleur (toutes localisations et types confondus)</v>
      </c>
      <c r="P38" t="str">
        <f>IF(OR(E38="", O38=""), "", IF(LOWER(E38)=LOWER(O38), "OK", "⚠️ Libellé ≠ n°"))</f>
        <v>OK</v>
      </c>
      <c r="Q38" t="str">
        <f>IF(Feuil1!$E38="", "", IF(LOWER(Feuil1!$E38)=LOWER(E38), "Identique", "Différent"))</f>
        <v>Différent</v>
      </c>
      <c r="R38" t="str">
        <f>IF(OR(P38="⚠️ Libellé ≠ n°", O38="Inconnu"), "⚠️", IF(Q38="Différent", "ℹ️", ""))</f>
        <v>ℹ️</v>
      </c>
      <c r="S38" t="str" cm="1">
        <f t="array" ref="S38">_xlfn.LET(_xlpm.genCat,IFERROR(LOWER(TRIM(G38)),""),_xlpm.principal,IFERROR(LOWER(TRIM(H38)),""),_xlpm.orig,IFERROR(LOWER(TRIM(N38)),""),IF(OR(_xlpm.genCat="",_xlpm.principal=""),"",IF(LEFT(LOWER(G38),5)="autre","OK (Autre)",IF(OR(ISNUMBER(SEARCH(_xlpm.genCat,_xlpm.principal)),ISNUMBER(SEARCH(_xlpm.principal,_xlpm.genCat)),AND(_xlpm.orig&lt;&gt;"",OR(ISNUMBER(SEARCH(_xlpm.genCat,_xlpm.orig)),ISNUMBER(SEARCH(_xlpm.orig,_xlpm.genCat))))),"OK","⚠️ À vérifier"))))</f>
        <v>⚠️ À vérifier</v>
      </c>
      <c r="T38" t="str">
        <f>IF(S38="","",IF(S38="OK (Autre)","Diagnostic générique = 'Autre – …'",IF(S38="OK","Concordance générique/principal","Écart entre générique et principal")))</f>
        <v>Écart entre générique et principal</v>
      </c>
      <c r="U38" t="str" cm="1">
        <f t="array" ref="U38">_xlfn.LET(_xlpm.yr, A38, _xlpm.diag, IF(N38&lt;&gt;"", N38, H38), _xlpm.base, TRIM(SUBSTITUTE(SUBSTITUTE(SUBSTITUTE(SUBSTITUTE(_xlpm.diag,"•"," "),CHAR(160)," "),CHAR(10)," "),"  "," ")), LOWER(_xlpm.yr&amp;"|"&amp;_xlpm.base))</f>
        <v>2013|dermohypodermite</v>
      </c>
      <c r="V38" t="str">
        <f>IFERROR(_xlfn.XLOOKUP($AB38,'Cas 2013-2017'!$K:$K,'Cas 2013-2017'!$D:$D,""),"")</f>
        <v>Femme 65 ans qui vient pour douleur et rougeur de la jambe depuis 2J avec EF, œdème et ADP fémorale</v>
      </c>
      <c r="W38" t="str">
        <f>IFERROR(_xlfn.XLOOKUP($AB38,'Cas 2013-2017'!$K:$K,'Cas 2013-2017'!$E:$E,""),"")</f>
        <v>Anamnèse : • Localisation ? • Étendue ? • Évolution ? • Douleur ? Chaleur ? Rougeur ? • Œdème ? • FIEVRE ? Frissons ? • Blessures (porte d’entrée) • Immunosuppression ? Diabète ? Hygiène ?</v>
      </c>
      <c r="X38" t="str">
        <f>IFERROR(_xlfn.XLOOKUP($AB38,'Cas 2013-2017'!$K:$K,'Cas 2013-2017'!$F:$F,""),"")</f>
        <v>Inspection, palpation (y.c ganglions !) • Rougeur-chaleur-œdème-douleur • Marquer la lésion pour voir la réponse aux ATB • Regarder entre les orteils pour porte d’entrée</v>
      </c>
      <c r="Y38" t="str">
        <f>IFERROR(_xlfn.XLOOKUP($AB38,'Cas 2013-2017'!$K:$K,'Cas 2013-2017'!$G:$G,""),"")</f>
        <v>Eczéma de contact allergique aigu • Thrombophlébite • Acrodermatite chronique atrophiante • Fasciite nécrosante</v>
      </c>
      <c r="Z38" t="str">
        <f>IFERROR(_xlfn.XLOOKUP($AB38,'Cas 2013-2017'!$K:$K,'Cas 2013-2017'!$I:$I,""),"")</f>
        <v>Si visage : • Hospitalisation • Risque de thrombose du sinus caverneux • Mise au repos • Surélévation • Pansement frais et humide • Co-Amox 10j</v>
      </c>
      <c r="AA38" t="str">
        <f>IFERROR(_xlfn.XLOOKUP($AB38,'Cas 2013-2017'!$K:$K,'Cas 2013-2017'!$H:$H,""),"")</f>
        <v>Labo : VS, CRP leuco • US si suspicion de thrombose • Frottis bactério au niveau de la porte d’entrée probable • Hémocultures si fièvre</v>
      </c>
      <c r="AB38" t="str">
        <f>LOWER($A38 &amp; "|" &amp; $AF38)</f>
        <v>2013|dermohypodermite</v>
      </c>
      <c r="AC38" t="str">
        <f>TRIM(SUBSTITUTE(SUBSTITUTE(SUBSTITUTE(SUBSTITUTE(" " &amp; LOWER(TRIM(IF($N38&lt;&gt;"", $N38, $H38))) &amp; " ", " aomi ", " arteriopathie des membres inferieurs "), " hta ", " hypertension arterielle "), " saos ", " syndrome d'apnees obstructives du sommeil "), " rgo ", " reflux gastro-oesophagien ") )</f>
        <v>dermohypodermite</v>
      </c>
      <c r="AD38" t="str">
        <f>TRIM(SUBSTITUTE(SUBSTITUTE(SUBSTITUTE(SUBSTITUTE(" " &amp; LOWER(TRIM($AC38)) &amp; " ", " oacr ", " occlusion de l'artere centrale de la retine "), " hsd ", " hematome sous-dural "), " fa ", " fibrillation auriculaire "), " ep ", " embolie pulmonaire ") )</f>
        <v>dermohypodermite</v>
      </c>
      <c r="AE38" t="str" cm="1">
        <f t="array" ref="AE38">_xlfn.LET(_xlpm.base, " " &amp; LOWER(TRIM($AD38))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dermohypodermite</v>
      </c>
      <c r="AF38" t="str" cm="1">
        <f t="array" ref="AF38">_xlfn.LET(_xlpm.base, " " &amp; LOWER(TRIM($AE38))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dermohypodermite</v>
      </c>
    </row>
    <row r="39" spans="1:32" ht="134.25">
      <c r="A39" s="8">
        <v>2013</v>
      </c>
      <c r="B39" s="10" t="s">
        <v>51</v>
      </c>
      <c r="C39" s="8" t="s">
        <v>33</v>
      </c>
      <c r="D39" s="20">
        <v>93</v>
      </c>
      <c r="E39" s="11" t="str">
        <f>IF(D39="","",IFERROR(INDEX(SSP!$E$2:$E$266, MATCH(D39, SSP!$F$2:$F$266, 0)),""))</f>
        <v>Macules, papules, pustules, vésicules, ulcères, abcès, bulles, épaississement cutané, nécrose, tumeur cutanée</v>
      </c>
      <c r="F39" s="11" t="str">
        <f>Feuil1!E39</f>
        <v>Éruption cutanée</v>
      </c>
      <c r="G39" s="12" t="s">
        <v>183</v>
      </c>
      <c r="H39" s="13" t="s">
        <v>184</v>
      </c>
      <c r="I39" s="13" t="s">
        <v>185</v>
      </c>
      <c r="J39" s="16" t="s">
        <v>165</v>
      </c>
      <c r="K39" s="9" t="s">
        <v>186</v>
      </c>
      <c r="L39" s="9" t="s">
        <v>187</v>
      </c>
      <c r="M39" s="9" t="s">
        <v>188</v>
      </c>
      <c r="N39" t="s">
        <v>184</v>
      </c>
      <c r="O39" t="str">
        <f>IFERROR(_xlfn.XLOOKUP($D39, SSP!$F:$F, SSP!$E:$E, "Inconnu"), "")</f>
        <v>Macules, papules, pustules, vésicules, ulcères, abcès, bulles, épaississement cutané, nécrose, tumeur cutanée</v>
      </c>
      <c r="P39" t="str">
        <f>IF(OR(E39="", O39=""), "", IF(LOWER(E39)=LOWER(O39), "OK", "⚠️ Libellé ≠ n°"))</f>
        <v>OK</v>
      </c>
      <c r="Q39" t="str">
        <f>IF(Feuil1!$E39="", "", IF(LOWER(Feuil1!$E39)=LOWER(E39), "Identique", "Différent"))</f>
        <v>Différent</v>
      </c>
      <c r="R39" t="str">
        <f>IF(OR(P39="⚠️ Libellé ≠ n°", O39="Inconnu"), "⚠️", IF(Q39="Différent", "ℹ️", ""))</f>
        <v>ℹ️</v>
      </c>
      <c r="S39" t="str" cm="1">
        <f t="array" ref="S39">_xlfn.LET(_xlpm.genCat,IFERROR(LOWER(TRIM(G39)),""),_xlpm.principal,IFERROR(LOWER(TRIM(H39)),""),_xlpm.orig,IFERROR(LOWER(TRIM(N39)),""),IF(OR(_xlpm.genCat="",_xlpm.principal=""),"",IF(LEFT(LOWER(G39),5)="autre","OK (Autre)",IF(OR(ISNUMBER(SEARCH(_xlpm.genCat,_xlpm.principal)),ISNUMBER(SEARCH(_xlpm.principal,_xlpm.genCat)),AND(_xlpm.orig&lt;&gt;"",OR(ISNUMBER(SEARCH(_xlpm.genCat,_xlpm.orig)),ISNUMBER(SEARCH(_xlpm.orig,_xlpm.genCat))))),"OK","⚠️ À vérifier"))))</f>
        <v>OK</v>
      </c>
      <c r="T39" t="str">
        <f>IF(S39="","",IF(S39="OK (Autre)","Diagnostic générique = 'Autre – …'",IF(S39="OK","Concordance générique/principal","Écart entre générique et principal")))</f>
        <v>Concordance générique/principal</v>
      </c>
      <c r="U39" t="str" cm="1">
        <f t="array" ref="U39">_xlfn.LET(_xlpm.yr, A39, _xlpm.diag, IF(N39&lt;&gt;"", N39, H39), _xlpm.base, TRIM(SUBSTITUTE(SUBSTITUTE(SUBSTITUTE(SUBSTITUTE(_xlpm.diag,"•"," "),CHAR(160)," "),CHAR(10)," "),"  "," ")), LOWER(_xlpm.yr&amp;"|"&amp;_xlpm.base))</f>
        <v>2013|eczéma</v>
      </c>
      <c r="V39" t="str">
        <f>IFERROR(_xlfn.XLOOKUP($AB39,'Cas 2013-2017'!$K:$K,'Cas 2013-2017'!$D:$D,""),"")</f>
        <v>Enfant de 10 ans avec lésions dans les plis des coudes</v>
      </c>
      <c r="W39" t="str">
        <f>IFERROR(_xlfn.XLOOKUP($AB39,'Cas 2013-2017'!$K:$K,'Cas 2013-2017'!$E:$E,""),"")</f>
        <v>Anamnèse : • Localisation ? • Évolution ? • Caractère migratoire et éphémère ? • Facteur déclenchant/aggravant/soulageant ? • Épisode précédent ? • Symptôme associé ? Douleur ? Prurit ? • Anamnèse familiale (atopie) • Allergie ? • Asthme, Rhinoconjonctivite ou autres ?</v>
      </c>
      <c r="X39" t="str">
        <f>IFERROR(_xlfn.XLOOKUP($AB39,'Cas 2013-2017'!$K:$K,'Cas 2013-2017'!$F:$F,""),"")</f>
        <v>Cf autres cas, bien regarder dans plis, derrière genou etc… • Xérose cutanée • Chéilite sèche • Dermographisme blanc • Signe de Hertoghe : Perte tier externe des sourcils (aussi dans hypothyroïdie • Pli de Dennie-Morgan : Doubles plis sous palpébraux augmenté</v>
      </c>
      <c r="Y39" t="str">
        <f>IFERROR(_xlfn.XLOOKUP($AB39,'Cas 2013-2017'!$K:$K,'Cas 2013-2017'!$G:$G,""),"")</f>
        <v>Dermatite séborrhéique • Eczéma de contact allergique • Gale</v>
      </c>
      <c r="Z39" t="str">
        <f>IFERROR(_xlfn.XLOOKUP($AB39,'Cas 2013-2017'!$K:$K,'Cas 2013-2017'!$I:$I,""),"")</f>
        <v>Émollients, • Produits non irritants pour hygiène de la peau • Poussées : • Dermocorticoïdes • Immunomodulateurs topiques • Cas graves : • Photothérapie • Corticoïdes systémique courte durée</v>
      </c>
      <c r="AA39" t="str">
        <f>IFERROR(_xlfn.XLOOKUP($AB39,'Cas 2013-2017'!$K:$K,'Cas 2013-2017'!$H:$H,""),"")</f>
        <v>IgE totaux • Prick tests • Tests épicutanés avec allergènes respiratoires</v>
      </c>
      <c r="AB39" t="str">
        <f>LOWER($A39 &amp; "|" &amp; $AF39)</f>
        <v>2013|eczéma</v>
      </c>
      <c r="AC39" t="str">
        <f>TRIM(SUBSTITUTE(SUBSTITUTE(SUBSTITUTE(SUBSTITUTE(" " &amp; LOWER(TRIM(IF($N39&lt;&gt;"", $N39, $H39))) &amp; " ", " aomi ", " arteriopathie des membres inferieurs "), " hta ", " hypertension arterielle "), " saos ", " syndrome d'apnees obstructives du sommeil "), " rgo ", " reflux gastro-oesophagien ") )</f>
        <v>eczéma</v>
      </c>
      <c r="AD39" t="str">
        <f>TRIM(SUBSTITUTE(SUBSTITUTE(SUBSTITUTE(SUBSTITUTE(" " &amp; LOWER(TRIM($AC39)) &amp; " ", " oacr ", " occlusion de l'artere centrale de la retine "), " hsd ", " hematome sous-dural "), " fa ", " fibrillation auriculaire "), " ep ", " embolie pulmonaire ") )</f>
        <v>eczéma</v>
      </c>
      <c r="AE39" t="str" cm="1">
        <f t="array" ref="AE39">_xlfn.LET(_xlpm.base, " " &amp; LOWER(TRIM($AD39))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eczéma</v>
      </c>
      <c r="AF39" t="str" cm="1">
        <f t="array" ref="AF39">_xlfn.LET(_xlpm.base, " " &amp; LOWER(TRIM($AE39))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eczéma</v>
      </c>
    </row>
    <row r="40" spans="1:32" ht="50.25">
      <c r="A40" s="8">
        <v>2013</v>
      </c>
      <c r="B40" s="10" t="s">
        <v>51</v>
      </c>
      <c r="C40" s="8" t="s">
        <v>33</v>
      </c>
      <c r="D40" s="20">
        <v>9</v>
      </c>
      <c r="E40" s="11" t="str">
        <f>IF(D40="","",IFERROR(INDEX(SSP!$E$2:$E$266, MATCH(D40, SSP!$F$2:$F$266, 0)),""))</f>
        <v>Prurit</v>
      </c>
      <c r="F40" s="11" t="str">
        <f>Feuil1!E40</f>
        <v>Prurit</v>
      </c>
      <c r="G40" s="12" t="s">
        <v>189</v>
      </c>
      <c r="H40" s="13" t="s">
        <v>190</v>
      </c>
      <c r="I40" s="13" t="s">
        <v>184</v>
      </c>
      <c r="J40" s="15" t="s">
        <v>191</v>
      </c>
      <c r="K40" s="9" t="s">
        <v>192</v>
      </c>
      <c r="L40" s="9" t="s">
        <v>33</v>
      </c>
      <c r="M40" s="9" t="s">
        <v>33</v>
      </c>
      <c r="N40" t="s">
        <v>190</v>
      </c>
      <c r="O40" t="str">
        <f>IFERROR(_xlfn.XLOOKUP($D40, SSP!$F:$F, SSP!$E:$E, "Inconnu"), "")</f>
        <v>Prurit</v>
      </c>
      <c r="P40" t="str">
        <f>IF(OR(E40="", O40=""), "", IF(LOWER(E40)=LOWER(O40), "OK", "⚠️ Libellé ≠ n°"))</f>
        <v>OK</v>
      </c>
      <c r="Q40" t="str">
        <f>IF(Feuil1!$E40="", "", IF(LOWER(Feuil1!$E40)=LOWER(E40), "Identique", "Différent"))</f>
        <v>Identique</v>
      </c>
      <c r="R40" t="str">
        <f>IF(OR(P40="⚠️ Libellé ≠ n°", O40="Inconnu"), "⚠️", IF(Q40="Différent", "ℹ️", ""))</f>
        <v/>
      </c>
      <c r="S40" t="str" cm="1">
        <f t="array" ref="S40">_xlfn.LET(_xlpm.genCat,IFERROR(LOWER(TRIM(G40)),""),_xlpm.principal,IFERROR(LOWER(TRIM(H40)),""),_xlpm.orig,IFERROR(LOWER(TRIM(N40)),""),IF(OR(_xlpm.genCat="",_xlpm.principal=""),"",IF(LEFT(LOWER(G40),5)="autre","OK (Autre)",IF(OR(ISNUMBER(SEARCH(_xlpm.genCat,_xlpm.principal)),ISNUMBER(SEARCH(_xlpm.principal,_xlpm.genCat)),AND(_xlpm.orig&lt;&gt;"",OR(ISNUMBER(SEARCH(_xlpm.genCat,_xlpm.orig)),ISNUMBER(SEARCH(_xlpm.orig,_xlpm.genCat))))),"OK","⚠️ À vérifier"))))</f>
        <v>OK</v>
      </c>
      <c r="T40" t="str">
        <f>IF(S40="","",IF(S40="OK (Autre)","Diagnostic générique = 'Autre – …'",IF(S40="OK","Concordance générique/principal","Écart entre générique et principal")))</f>
        <v>Concordance générique/principal</v>
      </c>
      <c r="U40" t="str" cm="1">
        <f t="array" ref="U40">_xlfn.LET(_xlpm.yr, A40, _xlpm.diag, IF(N40&lt;&gt;"", N40, H40), _xlpm.base, TRIM(SUBSTITUTE(SUBSTITUTE(SUBSTITUTE(SUBSTITUTE(_xlpm.diag,"•"," "),CHAR(160)," "),CHAR(10)," "),"  "," ")), LOWER(_xlpm.yr&amp;"|"&amp;_xlpm.base))</f>
        <v>2013|urticaire allergique</v>
      </c>
      <c r="V40" t="str">
        <f>IFERROR(_xlfn.XLOOKUP($AB40,'Cas 2013-2017'!$K:$K,'Cas 2013-2017'!$D:$D,""),"")</f>
        <v/>
      </c>
      <c r="W40" t="str">
        <f>IFERROR(_xlfn.XLOOKUP($AB40,'Cas 2013-2017'!$K:$K,'Cas 2013-2017'!$E:$E,""),"")</f>
        <v/>
      </c>
      <c r="X40" t="str">
        <f>IFERROR(_xlfn.XLOOKUP($AB40,'Cas 2013-2017'!$K:$K,'Cas 2013-2017'!$F:$F,""),"")</f>
        <v/>
      </c>
      <c r="Y40" t="str">
        <f>IFERROR(_xlfn.XLOOKUP($AB40,'Cas 2013-2017'!$K:$K,'Cas 2013-2017'!$G:$G,""),"")</f>
        <v/>
      </c>
      <c r="Z40" t="str">
        <f>IFERROR(_xlfn.XLOOKUP($AB40,'Cas 2013-2017'!$K:$K,'Cas 2013-2017'!$I:$I,""),"")</f>
        <v/>
      </c>
      <c r="AA40" t="str">
        <f>IFERROR(_xlfn.XLOOKUP($AB40,'Cas 2013-2017'!$K:$K,'Cas 2013-2017'!$H:$H,""),"")</f>
        <v/>
      </c>
      <c r="AB40" t="str">
        <f>LOWER($A40 &amp; "|" &amp; $AF40)</f>
        <v>2013|urticaire allergique</v>
      </c>
      <c r="AC40" t="str">
        <f>TRIM(SUBSTITUTE(SUBSTITUTE(SUBSTITUTE(SUBSTITUTE(" " &amp; LOWER(TRIM(IF($N40&lt;&gt;"", $N40, $H40))) &amp; " ", " aomi ", " arteriopathie des membres inferieurs "), " hta ", " hypertension arterielle "), " saos ", " syndrome d'apnees obstructives du sommeil "), " rgo ", " reflux gastro-oesophagien ") )</f>
        <v>urticaire allergique</v>
      </c>
      <c r="AD40" t="str">
        <f>TRIM(SUBSTITUTE(SUBSTITUTE(SUBSTITUTE(SUBSTITUTE(" " &amp; LOWER(TRIM($AC40)) &amp; " ", " oacr ", " occlusion de l'artere centrale de la retine "), " hsd ", " hematome sous-dural "), " fa ", " fibrillation auriculaire "), " ep ", " embolie pulmonaire ") )</f>
        <v>urticaire allergique</v>
      </c>
      <c r="AE40" t="str" cm="1">
        <f t="array" ref="AE40">_xlfn.LET(_xlpm.base, " " &amp; LOWER(TRIM($AD40))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urticaire allergique</v>
      </c>
      <c r="AF40" t="str" cm="1">
        <f t="array" ref="AF40">_xlfn.LET(_xlpm.base, " " &amp; LOWER(TRIM($AE40))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urticaire allergique</v>
      </c>
    </row>
    <row r="41" spans="1:32" ht="117">
      <c r="A41" s="8">
        <v>2013</v>
      </c>
      <c r="B41" s="10" t="s">
        <v>82</v>
      </c>
      <c r="C41" s="8" t="s">
        <v>55</v>
      </c>
      <c r="D41" s="20">
        <v>224</v>
      </c>
      <c r="E41" s="11" t="str">
        <f>IF(D41="","",IFERROR(INDEX(SSP!$E$2:$E$266, MATCH(D41, SSP!$F$2:$F$266, 0)),""))</f>
        <v>Demande de bilan de santé, d’examens radiologiques ou biologiques</v>
      </c>
      <c r="F41" s="11" t="str">
        <f>Feuil1!E41</f>
        <v>Bilan</v>
      </c>
      <c r="G41" s="12" t="s">
        <v>83</v>
      </c>
      <c r="H41" s="13"/>
      <c r="I41" s="13"/>
      <c r="J41" s="15" t="s">
        <v>193</v>
      </c>
      <c r="K41" s="9" t="s">
        <v>194</v>
      </c>
      <c r="L41" s="9" t="s">
        <v>33</v>
      </c>
      <c r="M41" s="9" t="s">
        <v>33</v>
      </c>
      <c r="N41" t="s">
        <v>33</v>
      </c>
      <c r="O41" t="str">
        <f>IFERROR(_xlfn.XLOOKUP($D41, SSP!$F:$F, SSP!$E:$E, "Inconnu"), "")</f>
        <v>Demande de bilan de santé, d’examens radiologiques ou biologiques</v>
      </c>
      <c r="P41" t="str">
        <f>IF(OR(E41="", O41=""), "", IF(LOWER(E41)=LOWER(O41), "OK", "⚠️ Libellé ≠ n°"))</f>
        <v>OK</v>
      </c>
      <c r="Q41" t="str">
        <f>IF(Feuil1!$E41="", "", IF(LOWER(Feuil1!$E41)=LOWER(E41), "Identique", "Différent"))</f>
        <v>Différent</v>
      </c>
      <c r="R41" t="str">
        <f>IF(OR(P41="⚠️ Libellé ≠ n°", O41="Inconnu"), "⚠️", IF(Q41="Différent", "ℹ️", ""))</f>
        <v>ℹ️</v>
      </c>
      <c r="S41" t="str" cm="1">
        <f t="array" ref="S41">_xlfn.LET(_xlpm.genCat,IFERROR(LOWER(TRIM(G41)),""),_xlpm.principal,IFERROR(LOWER(TRIM(H41)),""),_xlpm.orig,IFERROR(LOWER(TRIM(N41)),""),IF(OR(_xlpm.genCat="",_xlpm.principal=""),"",IF(LEFT(LOWER(G41),5)="autre","OK (Autre)",IF(OR(ISNUMBER(SEARCH(_xlpm.genCat,_xlpm.principal)),ISNUMBER(SEARCH(_xlpm.principal,_xlpm.genCat)),AND(_xlpm.orig&lt;&gt;"",OR(ISNUMBER(SEARCH(_xlpm.genCat,_xlpm.orig)),ISNUMBER(SEARCH(_xlpm.orig,_xlpm.genCat))))),"OK","⚠️ À vérifier"))))</f>
        <v/>
      </c>
      <c r="T41" t="str">
        <f>IF(S41="","",IF(S41="OK (Autre)","Diagnostic générique = 'Autre – …'",IF(S41="OK","Concordance générique/principal","Écart entre générique et principal")))</f>
        <v/>
      </c>
      <c r="U41" t="str" cm="1">
        <f t="array" ref="U41">_xlfn.LET(_xlpm.yr, A41, _xlpm.diag, IF(N41&lt;&gt;"", N41, H41), _xlpm.base, TRIM(SUBSTITUTE(SUBSTITUTE(SUBSTITUTE(SUBSTITUTE(_xlpm.diag,"•"," "),CHAR(160)," "),CHAR(10)," "),"  "," ")), LOWER(_xlpm.yr&amp;"|"&amp;_xlpm.base))</f>
        <v>2013|</v>
      </c>
      <c r="V41" t="str">
        <f>IFERROR(_xlfn.XLOOKUP($AB41,'Cas 2013-2017'!$K:$K,'Cas 2013-2017'!$D:$D,""),"")</f>
        <v/>
      </c>
      <c r="W41" t="str">
        <f>IFERROR(_xlfn.XLOOKUP($AB41,'Cas 2013-2017'!$K:$K,'Cas 2013-2017'!$E:$E,""),"")</f>
        <v/>
      </c>
      <c r="X41" t="str">
        <f>IFERROR(_xlfn.XLOOKUP($AB41,'Cas 2013-2017'!$K:$K,'Cas 2013-2017'!$F:$F,""),"")</f>
        <v/>
      </c>
      <c r="Y41" t="str">
        <f>IFERROR(_xlfn.XLOOKUP($AB41,'Cas 2013-2017'!$K:$K,'Cas 2013-2017'!$G:$G,""),"")</f>
        <v/>
      </c>
      <c r="Z41" t="str">
        <f>IFERROR(_xlfn.XLOOKUP($AB41,'Cas 2013-2017'!$K:$K,'Cas 2013-2017'!$I:$I,""),"")</f>
        <v/>
      </c>
      <c r="AA41" t="str">
        <f>IFERROR(_xlfn.XLOOKUP($AB41,'Cas 2013-2017'!$K:$K,'Cas 2013-2017'!$H:$H,""),"")</f>
        <v/>
      </c>
      <c r="AB41" t="str">
        <f>LOWER($A41 &amp; "|" &amp; $AF41)</f>
        <v>2013| </v>
      </c>
      <c r="AC41" t="str">
        <f>TRIM(SUBSTITUTE(SUBSTITUTE(SUBSTITUTE(SUBSTITUTE(" " &amp; LOWER(TRIM(IF($N41&lt;&gt;"", $N41, $H41))) &amp; " ", " aomi ", " arteriopathie des membres inferieurs "), " hta ", " hypertension arterielle "), " saos ", " syndrome d'apnees obstructives du sommeil "), " rgo ", " reflux gastro-oesophagien ") )</f>
        <v> </v>
      </c>
      <c r="AD41" t="str">
        <f>TRIM(SUBSTITUTE(SUBSTITUTE(SUBSTITUTE(SUBSTITUTE(" " &amp; LOWER(TRIM($AC41)) &amp; " ", " oacr ", " occlusion de l'artere centrale de la retine "), " hsd ", " hematome sous-dural "), " fa ", " fibrillation auriculaire "), " ep ", " embolie pulmonaire ") )</f>
        <v> </v>
      </c>
      <c r="AE41" t="str" cm="1">
        <f t="array" ref="AE41">_xlfn.LET(_xlpm.base, " " &amp; LOWER(TRIM($AD41))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41" t="str" cm="1">
        <f t="array" ref="AF41">_xlfn.LET(_xlpm.base, " " &amp; LOWER(TRIM($AE41))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42" spans="1:32" ht="50.25">
      <c r="A42" s="8">
        <v>2013</v>
      </c>
      <c r="B42" s="10" t="s">
        <v>82</v>
      </c>
      <c r="C42" s="8" t="s">
        <v>55</v>
      </c>
      <c r="D42" s="20">
        <v>224</v>
      </c>
      <c r="E42" s="11" t="str">
        <f>IF(D42="","",IFERROR(INDEX(SSP!$E$2:$E$266, MATCH(D42, SSP!$F$2:$F$266, 0)),""))</f>
        <v>Demande de bilan de santé, d’examens radiologiques ou biologiques</v>
      </c>
      <c r="F42" s="11" t="str">
        <f>Feuil1!E42</f>
        <v>Bilan</v>
      </c>
      <c r="G42" s="12" t="s">
        <v>83</v>
      </c>
      <c r="H42" s="13"/>
      <c r="I42" s="13"/>
      <c r="J42" s="15" t="s">
        <v>195</v>
      </c>
      <c r="K42" s="9" t="s">
        <v>33</v>
      </c>
      <c r="L42" s="9" t="s">
        <v>33</v>
      </c>
      <c r="M42" s="9" t="s">
        <v>33</v>
      </c>
      <c r="N42" t="s">
        <v>33</v>
      </c>
      <c r="O42" t="str">
        <f>IFERROR(_xlfn.XLOOKUP($D42, SSP!$F:$F, SSP!$E:$E, "Inconnu"), "")</f>
        <v>Demande de bilan de santé, d’examens radiologiques ou biologiques</v>
      </c>
      <c r="P42" t="str">
        <f>IF(OR(E42="", O42=""), "", IF(LOWER(E42)=LOWER(O42), "OK", "⚠️ Libellé ≠ n°"))</f>
        <v>OK</v>
      </c>
      <c r="Q42" t="str">
        <f>IF(Feuil1!$E42="", "", IF(LOWER(Feuil1!$E42)=LOWER(E42), "Identique", "Différent"))</f>
        <v>Différent</v>
      </c>
      <c r="R42" t="str">
        <f>IF(OR(P42="⚠️ Libellé ≠ n°", O42="Inconnu"), "⚠️", IF(Q42="Différent", "ℹ️", ""))</f>
        <v>ℹ️</v>
      </c>
      <c r="S42" t="str" cm="1">
        <f t="array" ref="S42">_xlfn.LET(_xlpm.genCat,IFERROR(LOWER(TRIM(G42)),""),_xlpm.principal,IFERROR(LOWER(TRIM(H42)),""),_xlpm.orig,IFERROR(LOWER(TRIM(N42)),""),IF(OR(_xlpm.genCat="",_xlpm.principal=""),"",IF(LEFT(LOWER(G42),5)="autre","OK (Autre)",IF(OR(ISNUMBER(SEARCH(_xlpm.genCat,_xlpm.principal)),ISNUMBER(SEARCH(_xlpm.principal,_xlpm.genCat)),AND(_xlpm.orig&lt;&gt;"",OR(ISNUMBER(SEARCH(_xlpm.genCat,_xlpm.orig)),ISNUMBER(SEARCH(_xlpm.orig,_xlpm.genCat))))),"OK","⚠️ À vérifier"))))</f>
        <v/>
      </c>
      <c r="T42" t="str">
        <f>IF(S42="","",IF(S42="OK (Autre)","Diagnostic générique = 'Autre – …'",IF(S42="OK","Concordance générique/principal","Écart entre générique et principal")))</f>
        <v/>
      </c>
      <c r="U42" t="str" cm="1">
        <f t="array" ref="U42">_xlfn.LET(_xlpm.yr, A42, _xlpm.diag, IF(N42&lt;&gt;"", N42, H42), _xlpm.base, TRIM(SUBSTITUTE(SUBSTITUTE(SUBSTITUTE(SUBSTITUTE(_xlpm.diag,"•"," "),CHAR(160)," "),CHAR(10)," "),"  "," ")), LOWER(_xlpm.yr&amp;"|"&amp;_xlpm.base))</f>
        <v>2013|</v>
      </c>
      <c r="V42" t="str">
        <f>IFERROR(_xlfn.XLOOKUP($AB42,'Cas 2013-2017'!$K:$K,'Cas 2013-2017'!$D:$D,""),"")</f>
        <v/>
      </c>
      <c r="W42" t="str">
        <f>IFERROR(_xlfn.XLOOKUP($AB42,'Cas 2013-2017'!$K:$K,'Cas 2013-2017'!$E:$E,""),"")</f>
        <v/>
      </c>
      <c r="X42" t="str">
        <f>IFERROR(_xlfn.XLOOKUP($AB42,'Cas 2013-2017'!$K:$K,'Cas 2013-2017'!$F:$F,""),"")</f>
        <v/>
      </c>
      <c r="Y42" t="str">
        <f>IFERROR(_xlfn.XLOOKUP($AB42,'Cas 2013-2017'!$K:$K,'Cas 2013-2017'!$G:$G,""),"")</f>
        <v/>
      </c>
      <c r="Z42" t="str">
        <f>IFERROR(_xlfn.XLOOKUP($AB42,'Cas 2013-2017'!$K:$K,'Cas 2013-2017'!$I:$I,""),"")</f>
        <v/>
      </c>
      <c r="AA42" t="str">
        <f>IFERROR(_xlfn.XLOOKUP($AB42,'Cas 2013-2017'!$K:$K,'Cas 2013-2017'!$H:$H,""),"")</f>
        <v/>
      </c>
      <c r="AB42" t="str">
        <f>LOWER($A42 &amp; "|" &amp; $AF42)</f>
        <v>2013| </v>
      </c>
      <c r="AC42" t="str">
        <f>TRIM(SUBSTITUTE(SUBSTITUTE(SUBSTITUTE(SUBSTITUTE(" " &amp; LOWER(TRIM(IF($N42&lt;&gt;"", $N42, $H42))) &amp; " ", " aomi ", " arteriopathie des membres inferieurs "), " hta ", " hypertension arterielle "), " saos ", " syndrome d'apnees obstructives du sommeil "), " rgo ", " reflux gastro-oesophagien ") )</f>
        <v> </v>
      </c>
      <c r="AD42" t="str">
        <f>TRIM(SUBSTITUTE(SUBSTITUTE(SUBSTITUTE(SUBSTITUTE(" " &amp; LOWER(TRIM($AC42)) &amp; " ", " oacr ", " occlusion de l'artere centrale de la retine "), " hsd ", " hematome sous-dural "), " fa ", " fibrillation auriculaire "), " ep ", " embolie pulmonaire ") )</f>
        <v> </v>
      </c>
      <c r="AE42" t="str" cm="1">
        <f t="array" ref="AE42">_xlfn.LET(_xlpm.base, " " &amp; LOWER(TRIM($AD42))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42" t="str" cm="1">
        <f t="array" ref="AF42">_xlfn.LET(_xlpm.base, " " &amp; LOWER(TRIM($AE42))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43" spans="1:32" ht="117">
      <c r="A43" s="8">
        <v>2013</v>
      </c>
      <c r="B43" s="10" t="s">
        <v>60</v>
      </c>
      <c r="C43" s="8" t="s">
        <v>33</v>
      </c>
      <c r="D43" s="20">
        <v>4</v>
      </c>
      <c r="E43" s="11" t="str">
        <f>IF(D43="","",IFERROR(INDEX(SSP!$E$2:$E$266, MATCH(D43, SSP!$F$2:$F$266, 0)),""))</f>
        <v>Fatigue, asthénie</v>
      </c>
      <c r="F43" s="11" t="str">
        <f>Feuil1!E43</f>
        <v>Fatigue</v>
      </c>
      <c r="G43" s="12" t="s">
        <v>43</v>
      </c>
      <c r="H43" s="13" t="s">
        <v>43</v>
      </c>
      <c r="I43" s="13"/>
      <c r="J43" s="15" t="s">
        <v>196</v>
      </c>
      <c r="K43" s="9" t="s">
        <v>197</v>
      </c>
      <c r="L43" s="9" t="s">
        <v>33</v>
      </c>
      <c r="M43" s="9" t="s">
        <v>33</v>
      </c>
      <c r="N43" t="s">
        <v>198</v>
      </c>
      <c r="O43" t="str">
        <f>IFERROR(_xlfn.XLOOKUP($D43, SSP!$F:$F, SSP!$E:$E, "Inconnu"), "")</f>
        <v>Fatigue, asthénie</v>
      </c>
      <c r="P43" t="str">
        <f>IF(OR(E43="", O43=""), "", IF(LOWER(E43)=LOWER(O43), "OK", "⚠️ Libellé ≠ n°"))</f>
        <v>OK</v>
      </c>
      <c r="Q43" t="str">
        <f>IF(Feuil1!$E43="", "", IF(LOWER(Feuil1!$E43)=LOWER(E43), "Identique", "Différent"))</f>
        <v>Différent</v>
      </c>
      <c r="R43" t="str">
        <f>IF(OR(P43="⚠️ Libellé ≠ n°", O43="Inconnu"), "⚠️", IF(Q43="Différent", "ℹ️", ""))</f>
        <v>ℹ️</v>
      </c>
      <c r="S43" t="str" cm="1">
        <f t="array" ref="S43">_xlfn.LET(_xlpm.genCat,IFERROR(LOWER(TRIM(G43)),""),_xlpm.principal,IFERROR(LOWER(TRIM(H43)),""),_xlpm.orig,IFERROR(LOWER(TRIM(N43)),""),IF(OR(_xlpm.genCat="",_xlpm.principal=""),"",IF(LEFT(LOWER(G43),5)="autre","OK (Autre)",IF(OR(ISNUMBER(SEARCH(_xlpm.genCat,_xlpm.principal)),ISNUMBER(SEARCH(_xlpm.principal,_xlpm.genCat)),AND(_xlpm.orig&lt;&gt;"",OR(ISNUMBER(SEARCH(_xlpm.genCat,_xlpm.orig)),ISNUMBER(SEARCH(_xlpm.orig,_xlpm.genCat))))),"OK","⚠️ À vérifier"))))</f>
        <v>OK</v>
      </c>
      <c r="T43" t="str">
        <f>IF(S43="","",IF(S43="OK (Autre)","Diagnostic générique = 'Autre – …'",IF(S43="OK","Concordance générique/principal","Écart entre générique et principal")))</f>
        <v>Concordance générique/principal</v>
      </c>
      <c r="U43" t="str" cm="1">
        <f t="array" ref="U43">_xlfn.LET(_xlpm.yr, A43, _xlpm.diag, IF(N43&lt;&gt;"", N43, H43), _xlpm.base, TRIM(SUBSTITUTE(SUBSTITUTE(SUBSTITUTE(SUBSTITUTE(_xlpm.diag,"•"," "),CHAR(160)," "),CHAR(10)," "),"  "," ")), LOWER(_xlpm.yr&amp;"|"&amp;_xlpm.base))</f>
        <v>2013|hyperthyroidie</v>
      </c>
      <c r="V43" t="str">
        <f>IFERROR(_xlfn.XLOOKUP($AB43,'Cas 2013-2017'!$K:$K,'Cas 2013-2017'!$D:$D,""),"")</f>
        <v/>
      </c>
      <c r="W43" t="str">
        <f>IFERROR(_xlfn.XLOOKUP($AB43,'Cas 2013-2017'!$K:$K,'Cas 2013-2017'!$E:$E,""),"")</f>
        <v/>
      </c>
      <c r="X43" t="str">
        <f>IFERROR(_xlfn.XLOOKUP($AB43,'Cas 2013-2017'!$K:$K,'Cas 2013-2017'!$F:$F,""),"")</f>
        <v/>
      </c>
      <c r="Y43" t="str">
        <f>IFERROR(_xlfn.XLOOKUP($AB43,'Cas 2013-2017'!$K:$K,'Cas 2013-2017'!$G:$G,""),"")</f>
        <v/>
      </c>
      <c r="Z43" t="str">
        <f>IFERROR(_xlfn.XLOOKUP($AB43,'Cas 2013-2017'!$K:$K,'Cas 2013-2017'!$I:$I,""),"")</f>
        <v/>
      </c>
      <c r="AA43" t="str">
        <f>IFERROR(_xlfn.XLOOKUP($AB43,'Cas 2013-2017'!$K:$K,'Cas 2013-2017'!$H:$H,""),"")</f>
        <v/>
      </c>
      <c r="AB43" t="str">
        <f>LOWER($A43 &amp; "|" &amp; $AF43)</f>
        <v>2013|hyperthyroidie</v>
      </c>
      <c r="AC43" t="str">
        <f>TRIM(SUBSTITUTE(SUBSTITUTE(SUBSTITUTE(SUBSTITUTE(" " &amp; LOWER(TRIM(IF($N43&lt;&gt;"", $N43, $H43))) &amp; " ", " aomi ", " arteriopathie des membres inferieurs "), " hta ", " hypertension arterielle "), " saos ", " syndrome d'apnees obstructives du sommeil "), " rgo ", " reflux gastro-oesophagien ") )</f>
        <v>hyperthyroidie</v>
      </c>
      <c r="AD43" t="str">
        <f>TRIM(SUBSTITUTE(SUBSTITUTE(SUBSTITUTE(SUBSTITUTE(" " &amp; LOWER(TRIM($AC43)) &amp; " ", " oacr ", " occlusion de l'artere centrale de la retine "), " hsd ", " hematome sous-dural "), " fa ", " fibrillation auriculaire "), " ep ", " embolie pulmonaire ") )</f>
        <v>hyperthyroidie</v>
      </c>
      <c r="AE43" t="str" cm="1">
        <f t="array" ref="AE43">_xlfn.LET(_xlpm.base, " " &amp; LOWER(TRIM($AD43))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hyperthyroidie</v>
      </c>
      <c r="AF43" t="str" cm="1">
        <f t="array" ref="AF43">_xlfn.LET(_xlpm.base, " " &amp; LOWER(TRIM($AE43))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hyperthyroidie</v>
      </c>
    </row>
    <row r="44" spans="1:32" ht="66.75">
      <c r="A44" s="8">
        <v>2013</v>
      </c>
      <c r="B44" s="10" t="s">
        <v>82</v>
      </c>
      <c r="C44" s="8" t="s">
        <v>33</v>
      </c>
      <c r="D44" s="20">
        <v>52</v>
      </c>
      <c r="E44" s="11" t="str">
        <f>IF(D44="","",IFERROR(INDEX(SSP!$E$2:$E$266, MATCH(D44, SSP!$F$2:$F$266, 0)),""))</f>
        <v>Douleur abdominale ou épigastrique</v>
      </c>
      <c r="F44" s="11" t="str">
        <f>Feuil1!E44</f>
        <v>Douleur abdominale</v>
      </c>
      <c r="G44" s="12" t="s">
        <v>83</v>
      </c>
      <c r="H44" s="13" t="s">
        <v>199</v>
      </c>
      <c r="I44" s="13"/>
      <c r="J44" s="15" t="s">
        <v>200</v>
      </c>
      <c r="K44" s="9" t="s">
        <v>201</v>
      </c>
      <c r="L44" s="9" t="s">
        <v>33</v>
      </c>
      <c r="M44" s="9" t="s">
        <v>33</v>
      </c>
      <c r="N44" t="s">
        <v>199</v>
      </c>
      <c r="O44" t="str">
        <f>IFERROR(_xlfn.XLOOKUP($D44, SSP!$F:$F, SSP!$E:$E, "Inconnu"), "")</f>
        <v>Douleur abdominale ou épigastrique</v>
      </c>
      <c r="P44" t="str">
        <f>IF(OR(E44="", O44=""), "", IF(LOWER(E44)=LOWER(O44), "OK", "⚠️ Libellé ≠ n°"))</f>
        <v>OK</v>
      </c>
      <c r="Q44" t="str">
        <f>IF(Feuil1!$E44="", "", IF(LOWER(Feuil1!$E44)=LOWER(E44), "Identique", "Différent"))</f>
        <v>Différent</v>
      </c>
      <c r="R44" t="str">
        <f>IF(OR(P44="⚠️ Libellé ≠ n°", O44="Inconnu"), "⚠️", IF(Q44="Différent", "ℹ️", ""))</f>
        <v>ℹ️</v>
      </c>
      <c r="S44" t="str" cm="1">
        <f t="array" ref="S44">_xlfn.LET(_xlpm.genCat,IFERROR(LOWER(TRIM(G44)),""),_xlpm.principal,IFERROR(LOWER(TRIM(H44)),""),_xlpm.orig,IFERROR(LOWER(TRIM(N44)),""),IF(OR(_xlpm.genCat="",_xlpm.principal=""),"",IF(LEFT(LOWER(G44),5)="autre","OK (Autre)",IF(OR(ISNUMBER(SEARCH(_xlpm.genCat,_xlpm.principal)),ISNUMBER(SEARCH(_xlpm.principal,_xlpm.genCat)),AND(_xlpm.orig&lt;&gt;"",OR(ISNUMBER(SEARCH(_xlpm.genCat,_xlpm.orig)),ISNUMBER(SEARCH(_xlpm.orig,_xlpm.genCat))))),"OK","⚠️ À vérifier"))))</f>
        <v>OK (Autre)</v>
      </c>
      <c r="T44" t="str">
        <f>IF(S44="","",IF(S44="OK (Autre)","Diagnostic générique = 'Autre – …'",IF(S44="OK","Concordance générique/principal","Écart entre générique et principal")))</f>
        <v>Diagnostic générique = 'Autre – …'</v>
      </c>
      <c r="U44" t="str" cm="1">
        <f t="array" ref="U44">_xlfn.LET(_xlpm.yr, A44, _xlpm.diag, IF(N44&lt;&gt;"", N44, H44), _xlpm.base, TRIM(SUBSTITUTE(SUBSTITUTE(SUBSTITUTE(SUBSTITUTE(_xlpm.diag,"•"," "),CHAR(160)," "),CHAR(10)," "),"  "," ")), LOWER(_xlpm.yr&amp;"|"&amp;_xlpm.base))</f>
        <v>2013|diverticulites</v>
      </c>
      <c r="V44" t="str">
        <f>IFERROR(_xlfn.XLOOKUP($AB44,'Cas 2013-2017'!$K:$K,'Cas 2013-2017'!$D:$D,""),"")</f>
        <v/>
      </c>
      <c r="W44" t="str">
        <f>IFERROR(_xlfn.XLOOKUP($AB44,'Cas 2013-2017'!$K:$K,'Cas 2013-2017'!$E:$E,""),"")</f>
        <v/>
      </c>
      <c r="X44" t="str">
        <f>IFERROR(_xlfn.XLOOKUP($AB44,'Cas 2013-2017'!$K:$K,'Cas 2013-2017'!$F:$F,""),"")</f>
        <v/>
      </c>
      <c r="Y44" t="str">
        <f>IFERROR(_xlfn.XLOOKUP($AB44,'Cas 2013-2017'!$K:$K,'Cas 2013-2017'!$G:$G,""),"")</f>
        <v/>
      </c>
      <c r="Z44" t="str">
        <f>IFERROR(_xlfn.XLOOKUP($AB44,'Cas 2013-2017'!$K:$K,'Cas 2013-2017'!$I:$I,""),"")</f>
        <v/>
      </c>
      <c r="AA44" t="str">
        <f>IFERROR(_xlfn.XLOOKUP($AB44,'Cas 2013-2017'!$K:$K,'Cas 2013-2017'!$H:$H,""),"")</f>
        <v/>
      </c>
      <c r="AB44" t="str">
        <f>LOWER($A44 &amp; "|" &amp; $AF44)</f>
        <v>2013|diverticulites</v>
      </c>
      <c r="AC44" t="str">
        <f>TRIM(SUBSTITUTE(SUBSTITUTE(SUBSTITUTE(SUBSTITUTE(" " &amp; LOWER(TRIM(IF($N44&lt;&gt;"", $N44, $H44))) &amp; " ", " aomi ", " arteriopathie des membres inferieurs "), " hta ", " hypertension arterielle "), " saos ", " syndrome d'apnees obstructives du sommeil "), " rgo ", " reflux gastro-oesophagien ") )</f>
        <v>diverticulites</v>
      </c>
      <c r="AD44" t="str">
        <f>TRIM(SUBSTITUTE(SUBSTITUTE(SUBSTITUTE(SUBSTITUTE(" " &amp; LOWER(TRIM($AC44)) &amp; " ", " oacr ", " occlusion de l'artere centrale de la retine "), " hsd ", " hematome sous-dural "), " fa ", " fibrillation auriculaire "), " ep ", " embolie pulmonaire ") )</f>
        <v>diverticulites</v>
      </c>
      <c r="AE44" t="str" cm="1">
        <f t="array" ref="AE44">_xlfn.LET(_xlpm.base, " " &amp; LOWER(TRIM($AD44))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diverticulites</v>
      </c>
      <c r="AF44" t="str" cm="1">
        <f t="array" ref="AF44">_xlfn.LET(_xlpm.base, " " &amp; LOWER(TRIM($AE44))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diverticulites</v>
      </c>
    </row>
    <row r="45" spans="1:32" ht="50.25">
      <c r="A45" s="8">
        <v>2013</v>
      </c>
      <c r="B45" s="10" t="s">
        <v>68</v>
      </c>
      <c r="C45" s="8" t="s">
        <v>33</v>
      </c>
      <c r="D45" s="20">
        <v>52</v>
      </c>
      <c r="E45" s="11" t="str">
        <f>IF(D45="","",IFERROR(INDEX(SSP!$E$2:$E$266, MATCH(D45, SSP!$F$2:$F$266, 0)),""))</f>
        <v>Douleur abdominale ou épigastrique</v>
      </c>
      <c r="F45" s="11" t="str">
        <f>Feuil1!E45</f>
        <v>Douleur abdominale</v>
      </c>
      <c r="G45" s="12" t="s">
        <v>202</v>
      </c>
      <c r="H45" s="13" t="s">
        <v>203</v>
      </c>
      <c r="I45" s="13"/>
      <c r="J45" s="15" t="s">
        <v>204</v>
      </c>
      <c r="K45" s="9" t="s">
        <v>205</v>
      </c>
      <c r="L45" s="9" t="s">
        <v>206</v>
      </c>
      <c r="M45" s="9" t="s">
        <v>207</v>
      </c>
      <c r="N45" t="s">
        <v>203</v>
      </c>
      <c r="O45" t="str">
        <f>IFERROR(_xlfn.XLOOKUP($D45, SSP!$F:$F, SSP!$E:$E, "Inconnu"), "")</f>
        <v>Douleur abdominale ou épigastrique</v>
      </c>
      <c r="P45" t="str">
        <f>IF(OR(E45="", O45=""), "", IF(LOWER(E45)=LOWER(O45), "OK", "⚠️ Libellé ≠ n°"))</f>
        <v>OK</v>
      </c>
      <c r="Q45" t="str">
        <f>IF(Feuil1!$E45="", "", IF(LOWER(Feuil1!$E45)=LOWER(E45), "Identique", "Différent"))</f>
        <v>Différent</v>
      </c>
      <c r="R45" t="str">
        <f>IF(OR(P45="⚠️ Libellé ≠ n°", O45="Inconnu"), "⚠️", IF(Q45="Différent", "ℹ️", ""))</f>
        <v>ℹ️</v>
      </c>
      <c r="S45" t="str" cm="1">
        <f t="array" ref="S45">_xlfn.LET(_xlpm.genCat,IFERROR(LOWER(TRIM(G45)),""),_xlpm.principal,IFERROR(LOWER(TRIM(H45)),""),_xlpm.orig,IFERROR(LOWER(TRIM(N45)),""),IF(OR(_xlpm.genCat="",_xlpm.principal=""),"",IF(LEFT(LOWER(G45),5)="autre","OK (Autre)",IF(OR(ISNUMBER(SEARCH(_xlpm.genCat,_xlpm.principal)),ISNUMBER(SEARCH(_xlpm.principal,_xlpm.genCat)),AND(_xlpm.orig&lt;&gt;"",OR(ISNUMBER(SEARCH(_xlpm.genCat,_xlpm.orig)),ISNUMBER(SEARCH(_xlpm.orig,_xlpm.genCat))))),"OK","⚠️ À vérifier"))))</f>
        <v>OK</v>
      </c>
      <c r="T45" t="str">
        <f>IF(S45="","",IF(S45="OK (Autre)","Diagnostic générique = 'Autre – …'",IF(S45="OK","Concordance générique/principal","Écart entre générique et principal")))</f>
        <v>Concordance générique/principal</v>
      </c>
      <c r="U45" t="str" cm="1">
        <f t="array" ref="U45">_xlfn.LET(_xlpm.yr, A45, _xlpm.diag, IF(N45&lt;&gt;"", N45, H45), _xlpm.base, TRIM(SUBSTITUTE(SUBSTITUTE(SUBSTITUTE(SUBSTITUTE(_xlpm.diag,"•"," "),CHAR(160)," "),CHAR(10)," "),"  "," ")), LOWER(_xlpm.yr&amp;"|"&amp;_xlpm.base))</f>
        <v>2013|pancréatite biliaire</v>
      </c>
      <c r="V45">
        <f>IFERROR(_xlfn.XLOOKUP($AB45,'Cas 2013-2017'!$K:$K,'Cas 2013-2017'!$D:$D,""),"")</f>
        <v>0</v>
      </c>
      <c r="W45" t="str">
        <f>IFERROR(_xlfn.XLOOKUP($AB45,'Cas 2013-2017'!$K:$K,'Cas 2013-2017'!$E:$E,""),"")</f>
        <v>lithiase biliaire • Alcool • Chirurgie récente • Douleur en ceinture typique, irradiant au dos, pire après les repas et couché, amélioré si se penche en avant. • N/V • Ictère</v>
      </c>
      <c r="X45" t="str">
        <f>IFERROR(_xlfn.XLOOKUP($AB45,'Cas 2013-2017'!$K:$K,'Cas 2013-2017'!$F:$F,""),"")</f>
        <v>Dlr épigastrique, distension, ileus→ baisse des bruits abdo • Examen de la peau → ictère, signe de Cullen...</v>
      </c>
      <c r="Y45">
        <f>IFERROR(_xlfn.XLOOKUP($AB45,'Cas 2013-2017'!$K:$K,'Cas 2013-2017'!$G:$G,""),"")</f>
        <v>0</v>
      </c>
      <c r="Z45" t="str">
        <f>IFERROR(_xlfn.XLOOKUP($AB45,'Cas 2013-2017'!$K:$K,'Cas 2013-2017'!$I:$I,""),"")</f>
        <v>Hosp. • Fluides (cristalloïdes), analgésie • Bowel rest • ERCP + cholecystectomie</v>
      </c>
      <c r="AA45" t="str">
        <f>IFERROR(_xlfn.XLOOKUP($AB45,'Cas 2013-2017'!$K:$K,'Cas 2013-2017'!$H:$H,""),"")</f>
        <v>Labo: FSS, urée, CRP, créat, ALAT, ASAT, PA, bili, Ca, TG, amylase, lipase • Lipases augmentée 3x! • US (CT rarement utilisé) • ERCP</v>
      </c>
      <c r="AB45" t="str">
        <f>LOWER($A45 &amp; "|" &amp; $AF45)</f>
        <v>2013|pancréatite biliaire</v>
      </c>
      <c r="AC45" t="str">
        <f>TRIM(SUBSTITUTE(SUBSTITUTE(SUBSTITUTE(SUBSTITUTE(" " &amp; LOWER(TRIM(IF($N45&lt;&gt;"", $N45, $H45))) &amp; " ", " aomi ", " arteriopathie des membres inferieurs "), " hta ", " hypertension arterielle "), " saos ", " syndrome d'apnees obstructives du sommeil "), " rgo ", " reflux gastro-oesophagien ") )</f>
        <v>pancréatite biliaire</v>
      </c>
      <c r="AD45" t="str">
        <f>TRIM(SUBSTITUTE(SUBSTITUTE(SUBSTITUTE(SUBSTITUTE(" " &amp; LOWER(TRIM($AC45)) &amp; " ", " oacr ", " occlusion de l'artere centrale de la retine "), " hsd ", " hematome sous-dural "), " fa ", " fibrillation auriculaire "), " ep ", " embolie pulmonaire ") )</f>
        <v>pancréatite biliaire</v>
      </c>
      <c r="AE45" t="str" cm="1">
        <f t="array" ref="AE45">_xlfn.LET(_xlpm.base, " " &amp; LOWER(TRIM($AD45))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pancréatite biliaire</v>
      </c>
      <c r="AF45" t="str" cm="1">
        <f t="array" ref="AF45">_xlfn.LET(_xlpm.base, " " &amp; LOWER(TRIM($AE45))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pancréatite biliaire</v>
      </c>
    </row>
    <row r="46" spans="1:32" ht="33.75">
      <c r="A46" s="8">
        <v>2013</v>
      </c>
      <c r="B46" s="10" t="s">
        <v>87</v>
      </c>
      <c r="C46" s="8" t="s">
        <v>33</v>
      </c>
      <c r="D46" s="20">
        <v>69</v>
      </c>
      <c r="E46" s="11" t="str">
        <f>IF(D46="","",IFERROR(INDEX(SSP!$E$2:$E$266, MATCH(D46, SSP!$F$2:$F$266, 0)),""))</f>
        <v>Demande de contraception, contraception d’urgence</v>
      </c>
      <c r="F46" s="11" t="str">
        <f>Feuil1!E46</f>
        <v>Contraception</v>
      </c>
      <c r="G46" s="12" t="s">
        <v>208</v>
      </c>
      <c r="H46" s="13" t="s">
        <v>209</v>
      </c>
      <c r="I46" s="13"/>
      <c r="J46" s="15" t="s">
        <v>210</v>
      </c>
      <c r="K46" s="9" t="s">
        <v>211</v>
      </c>
      <c r="L46" s="9" t="s">
        <v>33</v>
      </c>
      <c r="M46" s="9" t="s">
        <v>33</v>
      </c>
      <c r="N46" t="s">
        <v>209</v>
      </c>
      <c r="O46" t="str">
        <f>IFERROR(_xlfn.XLOOKUP($D46, SSP!$F:$F, SSP!$E:$E, "Inconnu"), "")</f>
        <v>Demande de contraception, contraception d’urgence</v>
      </c>
      <c r="P46" t="str">
        <f>IF(OR(E46="", O46=""), "", IF(LOWER(E46)=LOWER(O46), "OK", "⚠️ Libellé ≠ n°"))</f>
        <v>OK</v>
      </c>
      <c r="Q46" t="str">
        <f>IF(Feuil1!$E46="", "", IF(LOWER(Feuil1!$E46)=LOWER(E46), "Identique", "Différent"))</f>
        <v>Différent</v>
      </c>
      <c r="R46" t="str">
        <f>IF(OR(P46="⚠️ Libellé ≠ n°", O46="Inconnu"), "⚠️", IF(Q46="Différent", "ℹ️", ""))</f>
        <v>ℹ️</v>
      </c>
      <c r="S46" t="str" cm="1">
        <f t="array" ref="S46">_xlfn.LET(_xlpm.genCat,IFERROR(LOWER(TRIM(G46)),""),_xlpm.principal,IFERROR(LOWER(TRIM(H46)),""),_xlpm.orig,IFERROR(LOWER(TRIM(N46)),""),IF(OR(_xlpm.genCat="",_xlpm.principal=""),"",IF(LEFT(LOWER(G46),5)="autre","OK (Autre)",IF(OR(ISNUMBER(SEARCH(_xlpm.genCat,_xlpm.principal)),ISNUMBER(SEARCH(_xlpm.principal,_xlpm.genCat)),AND(_xlpm.orig&lt;&gt;"",OR(ISNUMBER(SEARCH(_xlpm.genCat,_xlpm.orig)),ISNUMBER(SEARCH(_xlpm.orig,_xlpm.genCat))))),"OK","⚠️ À vérifier"))))</f>
        <v>⚠️ À vérifier</v>
      </c>
      <c r="T46" t="str">
        <f>IF(S46="","",IF(S46="OK (Autre)","Diagnostic générique = 'Autre – …'",IF(S46="OK","Concordance générique/principal","Écart entre générique et principal")))</f>
        <v>Écart entre générique et principal</v>
      </c>
      <c r="U46" t="str" cm="1">
        <f t="array" ref="U46">_xlfn.LET(_xlpm.yr, A46, _xlpm.diag, IF(N46&lt;&gt;"", N46, H46), _xlpm.base, TRIM(SUBSTITUTE(SUBSTITUTE(SUBSTITUTE(SUBSTITUTE(_xlpm.diag,"•"," "),CHAR(160)," "),CHAR(10)," "),"  "," ")), LOWER(_xlpm.yr&amp;"|"&amp;_xlpm.base))</f>
        <v>2013|grossesse (conseils)</v>
      </c>
      <c r="V46" t="str">
        <f>IFERROR(_xlfn.XLOOKUP($AB46,'Cas 2013-2017'!$K:$K,'Cas 2013-2017'!$D:$D,""),"")</f>
        <v/>
      </c>
      <c r="W46" t="str">
        <f>IFERROR(_xlfn.XLOOKUP($AB46,'Cas 2013-2017'!$K:$K,'Cas 2013-2017'!$E:$E,""),"")</f>
        <v/>
      </c>
      <c r="X46" t="str">
        <f>IFERROR(_xlfn.XLOOKUP($AB46,'Cas 2013-2017'!$K:$K,'Cas 2013-2017'!$F:$F,""),"")</f>
        <v/>
      </c>
      <c r="Y46" t="str">
        <f>IFERROR(_xlfn.XLOOKUP($AB46,'Cas 2013-2017'!$K:$K,'Cas 2013-2017'!$G:$G,""),"")</f>
        <v/>
      </c>
      <c r="Z46" t="str">
        <f>IFERROR(_xlfn.XLOOKUP($AB46,'Cas 2013-2017'!$K:$K,'Cas 2013-2017'!$I:$I,""),"")</f>
        <v/>
      </c>
      <c r="AA46" t="str">
        <f>IFERROR(_xlfn.XLOOKUP($AB46,'Cas 2013-2017'!$K:$K,'Cas 2013-2017'!$H:$H,""),"")</f>
        <v/>
      </c>
      <c r="AB46" t="str">
        <f>LOWER($A46 &amp; "|" &amp; $AF46)</f>
        <v>2013|grossesse (conseils)</v>
      </c>
      <c r="AC46" t="str">
        <f>TRIM(SUBSTITUTE(SUBSTITUTE(SUBSTITUTE(SUBSTITUTE(" " &amp; LOWER(TRIM(IF($N46&lt;&gt;"", $N46, $H46))) &amp; " ", " aomi ", " arteriopathie des membres inferieurs "), " hta ", " hypertension arterielle "), " saos ", " syndrome d'apnees obstructives du sommeil "), " rgo ", " reflux gastro-oesophagien ") )</f>
        <v>grossesse (conseils)</v>
      </c>
      <c r="AD46" t="str">
        <f>TRIM(SUBSTITUTE(SUBSTITUTE(SUBSTITUTE(SUBSTITUTE(" " &amp; LOWER(TRIM($AC46)) &amp; " ", " oacr ", " occlusion de l'artere centrale de la retine "), " hsd ", " hematome sous-dural "), " fa ", " fibrillation auriculaire "), " ep ", " embolie pulmonaire ") )</f>
        <v>grossesse (conseils)</v>
      </c>
      <c r="AE46" t="str" cm="1">
        <f t="array" ref="AE46">_xlfn.LET(_xlpm.base, " " &amp; LOWER(TRIM($AD46))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grossesse (conseils)</v>
      </c>
      <c r="AF46" t="str" cm="1">
        <f t="array" ref="AF46">_xlfn.LET(_xlpm.base, " " &amp; LOWER(TRIM($AE46))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grossesse (conseils)</v>
      </c>
    </row>
    <row r="47" spans="1:32" ht="33.75">
      <c r="A47" s="8">
        <v>2013</v>
      </c>
      <c r="B47" s="10" t="s">
        <v>87</v>
      </c>
      <c r="C47" s="8" t="s">
        <v>33</v>
      </c>
      <c r="D47" s="20">
        <v>207</v>
      </c>
      <c r="E47" s="11" t="str">
        <f>IF(D47="","",IFERROR(INDEX(SSP!$E$2:$E$266, MATCH(D47, SSP!$F$2:$F$266, 0)),""))</f>
        <v>Céphalée aiguë intense, syndrome méningé</v>
      </c>
      <c r="F47" s="11" t="str">
        <f>Feuil1!E47</f>
        <v>Céphalée</v>
      </c>
      <c r="G47" s="12" t="s">
        <v>212</v>
      </c>
      <c r="H47" s="13" t="s">
        <v>213</v>
      </c>
      <c r="I47" s="13"/>
      <c r="J47" s="15" t="s">
        <v>214</v>
      </c>
      <c r="K47" s="9" t="s">
        <v>33</v>
      </c>
      <c r="L47" s="9" t="s">
        <v>33</v>
      </c>
      <c r="M47" s="9" t="s">
        <v>33</v>
      </c>
      <c r="N47" t="s">
        <v>213</v>
      </c>
      <c r="O47" t="str">
        <f>IFERROR(_xlfn.XLOOKUP($D47, SSP!$F:$F, SSP!$E:$E, "Inconnu"), "")</f>
        <v>Céphalée aiguë intense, syndrome méningé</v>
      </c>
      <c r="P47" t="str">
        <f>IF(OR(E47="", O47=""), "", IF(LOWER(E47)=LOWER(O47), "OK", "⚠️ Libellé ≠ n°"))</f>
        <v>OK</v>
      </c>
      <c r="Q47" t="str">
        <f>IF(Feuil1!$E47="", "", IF(LOWER(Feuil1!$E47)=LOWER(E47), "Identique", "Différent"))</f>
        <v>Différent</v>
      </c>
      <c r="R47" t="str">
        <f>IF(OR(P47="⚠️ Libellé ≠ n°", O47="Inconnu"), "⚠️", IF(Q47="Différent", "ℹ️", ""))</f>
        <v>ℹ️</v>
      </c>
      <c r="S47" t="str" cm="1">
        <f t="array" ref="S47">_xlfn.LET(_xlpm.genCat,IFERROR(LOWER(TRIM(G47)),""),_xlpm.principal,IFERROR(LOWER(TRIM(H47)),""),_xlpm.orig,IFERROR(LOWER(TRIM(N47)),""),IF(OR(_xlpm.genCat="",_xlpm.principal=""),"",IF(LEFT(LOWER(G47),5)="autre","OK (Autre)",IF(OR(ISNUMBER(SEARCH(_xlpm.genCat,_xlpm.principal)),ISNUMBER(SEARCH(_xlpm.principal,_xlpm.genCat)),AND(_xlpm.orig&lt;&gt;"",OR(ISNUMBER(SEARCH(_xlpm.genCat,_xlpm.orig)),ISNUMBER(SEARCH(_xlpm.orig,_xlpm.genCat))))),"OK","⚠️ À vérifier"))))</f>
        <v>OK (Autre)</v>
      </c>
      <c r="T47" t="str">
        <f>IF(S47="","",IF(S47="OK (Autre)","Diagnostic générique = 'Autre – …'",IF(S47="OK","Concordance générique/principal","Écart entre générique et principal")))</f>
        <v>Diagnostic générique = 'Autre – …'</v>
      </c>
      <c r="U47" t="str" cm="1">
        <f t="array" ref="U47">_xlfn.LET(_xlpm.yr, A47, _xlpm.diag, IF(N47&lt;&gt;"", N47, H47), _xlpm.base, TRIM(SUBSTITUTE(SUBSTITUTE(SUBSTITUTE(SUBSTITUTE(_xlpm.diag,"•"," "),CHAR(160)," "),CHAR(10)," "),"  "," ")), LOWER(_xlpm.yr&amp;"|"&amp;_xlpm.base))</f>
        <v>2013|prééclampsie</v>
      </c>
      <c r="V47" t="str">
        <f>IFERROR(_xlfn.XLOOKUP($AB47,'Cas 2013-2017'!$K:$K,'Cas 2013-2017'!$D:$D,""),"")</f>
        <v/>
      </c>
      <c r="W47" t="str">
        <f>IFERROR(_xlfn.XLOOKUP($AB47,'Cas 2013-2017'!$K:$K,'Cas 2013-2017'!$E:$E,""),"")</f>
        <v/>
      </c>
      <c r="X47" t="str">
        <f>IFERROR(_xlfn.XLOOKUP($AB47,'Cas 2013-2017'!$K:$K,'Cas 2013-2017'!$F:$F,""),"")</f>
        <v/>
      </c>
      <c r="Y47" t="str">
        <f>IFERROR(_xlfn.XLOOKUP($AB47,'Cas 2013-2017'!$K:$K,'Cas 2013-2017'!$G:$G,""),"")</f>
        <v/>
      </c>
      <c r="Z47" t="str">
        <f>IFERROR(_xlfn.XLOOKUP($AB47,'Cas 2013-2017'!$K:$K,'Cas 2013-2017'!$I:$I,""),"")</f>
        <v/>
      </c>
      <c r="AA47" t="str">
        <f>IFERROR(_xlfn.XLOOKUP($AB47,'Cas 2013-2017'!$K:$K,'Cas 2013-2017'!$H:$H,""),"")</f>
        <v/>
      </c>
      <c r="AB47" t="str">
        <f>LOWER($A47 &amp; "|" &amp; $AF47)</f>
        <v>2013|prééclampsie</v>
      </c>
      <c r="AC47" t="str">
        <f>TRIM(SUBSTITUTE(SUBSTITUTE(SUBSTITUTE(SUBSTITUTE(" " &amp; LOWER(TRIM(IF($N47&lt;&gt;"", $N47, $H47))) &amp; " ", " aomi ", " arteriopathie des membres inferieurs "), " hta ", " hypertension arterielle "), " saos ", " syndrome d'apnees obstructives du sommeil "), " rgo ", " reflux gastro-oesophagien ") )</f>
        <v>prééclampsie</v>
      </c>
      <c r="AD47" t="str">
        <f>TRIM(SUBSTITUTE(SUBSTITUTE(SUBSTITUTE(SUBSTITUTE(" " &amp; LOWER(TRIM($AC47)) &amp; " ", " oacr ", " occlusion de l'artere centrale de la retine "), " hsd ", " hematome sous-dural "), " fa ", " fibrillation auriculaire "), " ep ", " embolie pulmonaire ") )</f>
        <v>prééclampsie</v>
      </c>
      <c r="AE47" t="str" cm="1">
        <f t="array" ref="AE47">_xlfn.LET(_xlpm.base, " " &amp; LOWER(TRIM($AD47))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prééclampsie</v>
      </c>
      <c r="AF47" t="str" cm="1">
        <f t="array" ref="AF47">_xlfn.LET(_xlpm.base, " " &amp; LOWER(TRIM($AE47))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prééclampsie</v>
      </c>
    </row>
    <row r="48" spans="1:32" ht="33.75">
      <c r="A48" s="8">
        <v>2013</v>
      </c>
      <c r="B48" s="10" t="s">
        <v>133</v>
      </c>
      <c r="C48" s="8" t="s">
        <v>33</v>
      </c>
      <c r="D48" s="20">
        <v>45</v>
      </c>
      <c r="E48" s="11" t="str">
        <f>IF(D48="","",IFERROR(INDEX(SSP!$E$2:$E$266, MATCH(D48, SSP!$F$2:$F$266, 0)),""))</f>
        <v>Toux, expectoration, hémoptysie</v>
      </c>
      <c r="F48" s="11" t="str">
        <f>Feuil1!E48</f>
        <v>Toux</v>
      </c>
      <c r="G48" s="12" t="s">
        <v>215</v>
      </c>
      <c r="H48" s="13" t="s">
        <v>215</v>
      </c>
      <c r="I48" s="13"/>
      <c r="J48" s="15" t="s">
        <v>216</v>
      </c>
      <c r="K48" s="9" t="s">
        <v>217</v>
      </c>
      <c r="L48" s="9" t="s">
        <v>33</v>
      </c>
      <c r="M48" s="9" t="s">
        <v>33</v>
      </c>
      <c r="N48" t="s">
        <v>215</v>
      </c>
      <c r="O48" t="str">
        <f>IFERROR(_xlfn.XLOOKUP($D48, SSP!$F:$F, SSP!$E:$E, "Inconnu"), "")</f>
        <v>Toux, expectoration, hémoptysie</v>
      </c>
      <c r="P48" t="str">
        <f>IF(OR(E48="", O48=""), "", IF(LOWER(E48)=LOWER(O48), "OK", "⚠️ Libellé ≠ n°"))</f>
        <v>OK</v>
      </c>
      <c r="Q48" t="str">
        <f>IF(Feuil1!$E48="", "", IF(LOWER(Feuil1!$E48)=LOWER(E48), "Identique", "Différent"))</f>
        <v>Différent</v>
      </c>
      <c r="R48" t="str">
        <f>IF(OR(P48="⚠️ Libellé ≠ n°", O48="Inconnu"), "⚠️", IF(Q48="Différent", "ℹ️", ""))</f>
        <v>ℹ️</v>
      </c>
      <c r="S48" t="str" cm="1">
        <f t="array" ref="S48">_xlfn.LET(_xlpm.genCat,IFERROR(LOWER(TRIM(G48)),""),_xlpm.principal,IFERROR(LOWER(TRIM(H48)),""),_xlpm.orig,IFERROR(LOWER(TRIM(N48)),""),IF(OR(_xlpm.genCat="",_xlpm.principal=""),"",IF(LEFT(LOWER(G48),5)="autre","OK (Autre)",IF(OR(ISNUMBER(SEARCH(_xlpm.genCat,_xlpm.principal)),ISNUMBER(SEARCH(_xlpm.principal,_xlpm.genCat)),AND(_xlpm.orig&lt;&gt;"",OR(ISNUMBER(SEARCH(_xlpm.genCat,_xlpm.orig)),ISNUMBER(SEARCH(_xlpm.orig,_xlpm.genCat))))),"OK","⚠️ À vérifier"))))</f>
        <v>OK</v>
      </c>
      <c r="T48" t="str">
        <f>IF(S48="","",IF(S48="OK (Autre)","Diagnostic générique = 'Autre – …'",IF(S48="OK","Concordance générique/principal","Écart entre générique et principal")))</f>
        <v>Concordance générique/principal</v>
      </c>
      <c r="U48" t="str" cm="1">
        <f t="array" ref="U48">_xlfn.LET(_xlpm.yr, A48, _xlpm.diag, IF(N48&lt;&gt;"", N48, H48), _xlpm.base, TRIM(SUBSTITUTE(SUBSTITUTE(SUBSTITUTE(SUBSTITUTE(_xlpm.diag,"•"," "),CHAR(160)," "),CHAR(10)," "),"  "," ")), LOWER(_xlpm.yr&amp;"|"&amp;_xlpm.base))</f>
        <v>2013|tuberculose</v>
      </c>
      <c r="V48" t="str">
        <f>IFERROR(_xlfn.XLOOKUP($AB48,'Cas 2013-2017'!$K:$K,'Cas 2013-2017'!$D:$D,""),"")</f>
        <v/>
      </c>
      <c r="W48" t="str">
        <f>IFERROR(_xlfn.XLOOKUP($AB48,'Cas 2013-2017'!$K:$K,'Cas 2013-2017'!$E:$E,""),"")</f>
        <v/>
      </c>
      <c r="X48" t="str">
        <f>IFERROR(_xlfn.XLOOKUP($AB48,'Cas 2013-2017'!$K:$K,'Cas 2013-2017'!$F:$F,""),"")</f>
        <v/>
      </c>
      <c r="Y48" t="str">
        <f>IFERROR(_xlfn.XLOOKUP($AB48,'Cas 2013-2017'!$K:$K,'Cas 2013-2017'!$G:$G,""),"")</f>
        <v/>
      </c>
      <c r="Z48" t="str">
        <f>IFERROR(_xlfn.XLOOKUP($AB48,'Cas 2013-2017'!$K:$K,'Cas 2013-2017'!$I:$I,""),"")</f>
        <v/>
      </c>
      <c r="AA48" t="str">
        <f>IFERROR(_xlfn.XLOOKUP($AB48,'Cas 2013-2017'!$K:$K,'Cas 2013-2017'!$H:$H,""),"")</f>
        <v/>
      </c>
      <c r="AB48" t="str">
        <f>LOWER($A48 &amp; "|" &amp; $AF48)</f>
        <v>2013|tuberculose</v>
      </c>
      <c r="AC48" t="str">
        <f>TRIM(SUBSTITUTE(SUBSTITUTE(SUBSTITUTE(SUBSTITUTE(" " &amp; LOWER(TRIM(IF($N48&lt;&gt;"", $N48, $H48))) &amp; " ", " aomi ", " arteriopathie des membres inferieurs "), " hta ", " hypertension arterielle "), " saos ", " syndrome d'apnees obstructives du sommeil "), " rgo ", " reflux gastro-oesophagien ") )</f>
        <v>tuberculose</v>
      </c>
      <c r="AD48" t="str">
        <f>TRIM(SUBSTITUTE(SUBSTITUTE(SUBSTITUTE(SUBSTITUTE(" " &amp; LOWER(TRIM($AC48)) &amp; " ", " oacr ", " occlusion de l'artere centrale de la retine "), " hsd ", " hematome sous-dural "), " fa ", " fibrillation auriculaire "), " ep ", " embolie pulmonaire ") )</f>
        <v>tuberculose</v>
      </c>
      <c r="AE48" t="str" cm="1">
        <f t="array" ref="AE48">_xlfn.LET(_xlpm.base, " " &amp; LOWER(TRIM($AD48))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tuberculose</v>
      </c>
      <c r="AF48" t="str" cm="1">
        <f t="array" ref="AF48">_xlfn.LET(_xlpm.base, " " &amp; LOWER(TRIM($AE48))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tuberculose</v>
      </c>
    </row>
    <row r="49" spans="1:32" ht="50.25">
      <c r="A49" s="8">
        <v>2013</v>
      </c>
      <c r="B49" s="10" t="s">
        <v>64</v>
      </c>
      <c r="C49" s="8" t="s">
        <v>33</v>
      </c>
      <c r="D49" s="20">
        <v>224</v>
      </c>
      <c r="E49" s="11" t="str">
        <f>IF(D49="","",IFERROR(INDEX(SSP!$E$2:$E$266, MATCH(D49, SSP!$F$2:$F$266, 0)),""))</f>
        <v>Demande de bilan de santé, d’examens radiologiques ou biologiques</v>
      </c>
      <c r="F49" s="11" t="str">
        <f>Feuil1!E49</f>
        <v>Bilan</v>
      </c>
      <c r="G49" s="12" t="s">
        <v>218</v>
      </c>
      <c r="H49" s="13" t="s">
        <v>218</v>
      </c>
      <c r="I49" s="13"/>
      <c r="J49" s="15" t="s">
        <v>219</v>
      </c>
      <c r="K49" s="9" t="s">
        <v>220</v>
      </c>
      <c r="L49" s="9" t="s">
        <v>33</v>
      </c>
      <c r="M49" s="9" t="s">
        <v>33</v>
      </c>
      <c r="N49" t="s">
        <v>218</v>
      </c>
      <c r="O49" t="str">
        <f>IFERROR(_xlfn.XLOOKUP($D49, SSP!$F:$F, SSP!$E:$E, "Inconnu"), "")</f>
        <v>Demande de bilan de santé, d’examens radiologiques ou biologiques</v>
      </c>
      <c r="P49" t="str">
        <f>IF(OR(E49="", O49=""), "", IF(LOWER(E49)=LOWER(O49), "OK", "⚠️ Libellé ≠ n°"))</f>
        <v>OK</v>
      </c>
      <c r="Q49" t="str">
        <f>IF(Feuil1!$E49="", "", IF(LOWER(Feuil1!$E49)=LOWER(E49), "Identique", "Différent"))</f>
        <v>Différent</v>
      </c>
      <c r="R49" t="str">
        <f>IF(OR(P49="⚠️ Libellé ≠ n°", O49="Inconnu"), "⚠️", IF(Q49="Différent", "ℹ️", ""))</f>
        <v>ℹ️</v>
      </c>
      <c r="S49" t="str" cm="1">
        <f t="array" ref="S49">_xlfn.LET(_xlpm.genCat,IFERROR(LOWER(TRIM(G49)),""),_xlpm.principal,IFERROR(LOWER(TRIM(H49)),""),_xlpm.orig,IFERROR(LOWER(TRIM(N49)),""),IF(OR(_xlpm.genCat="",_xlpm.principal=""),"",IF(LEFT(LOWER(G49),5)="autre","OK (Autre)",IF(OR(ISNUMBER(SEARCH(_xlpm.genCat,_xlpm.principal)),ISNUMBER(SEARCH(_xlpm.principal,_xlpm.genCat)),AND(_xlpm.orig&lt;&gt;"",OR(ISNUMBER(SEARCH(_xlpm.genCat,_xlpm.orig)),ISNUMBER(SEARCH(_xlpm.orig,_xlpm.genCat))))),"OK","⚠️ À vérifier"))))</f>
        <v>OK</v>
      </c>
      <c r="T49" t="str">
        <f>IF(S49="","",IF(S49="OK (Autre)","Diagnostic générique = 'Autre – …'",IF(S49="OK","Concordance générique/principal","Écart entre générique et principal")))</f>
        <v>Concordance générique/principal</v>
      </c>
      <c r="U49" t="str" cm="1">
        <f t="array" ref="U49">_xlfn.LET(_xlpm.yr, A49, _xlpm.diag, IF(N49&lt;&gt;"", N49, H49), _xlpm.base, TRIM(SUBSTITUTE(SUBSTITUTE(SUBSTITUTE(SUBSTITUTE(_xlpm.diag,"•"," "),CHAR(160)," "),CHAR(10)," "),"  "," ")), LOWER(_xlpm.yr&amp;"|"&amp;_xlpm.base))</f>
        <v>2013|anémie</v>
      </c>
      <c r="V49" t="str">
        <f>IFERROR(_xlfn.XLOOKUP($AB49,'Cas 2013-2017'!$K:$K,'Cas 2013-2017'!$D:$D,""),"")</f>
        <v/>
      </c>
      <c r="W49" t="str">
        <f>IFERROR(_xlfn.XLOOKUP($AB49,'Cas 2013-2017'!$K:$K,'Cas 2013-2017'!$E:$E,""),"")</f>
        <v/>
      </c>
      <c r="X49" t="str">
        <f>IFERROR(_xlfn.XLOOKUP($AB49,'Cas 2013-2017'!$K:$K,'Cas 2013-2017'!$F:$F,""),"")</f>
        <v/>
      </c>
      <c r="Y49" t="str">
        <f>IFERROR(_xlfn.XLOOKUP($AB49,'Cas 2013-2017'!$K:$K,'Cas 2013-2017'!$G:$G,""),"")</f>
        <v/>
      </c>
      <c r="Z49" t="str">
        <f>IFERROR(_xlfn.XLOOKUP($AB49,'Cas 2013-2017'!$K:$K,'Cas 2013-2017'!$I:$I,""),"")</f>
        <v/>
      </c>
      <c r="AA49" t="str">
        <f>IFERROR(_xlfn.XLOOKUP($AB49,'Cas 2013-2017'!$K:$K,'Cas 2013-2017'!$H:$H,""),"")</f>
        <v/>
      </c>
      <c r="AB49" t="str">
        <f>LOWER($A49 &amp; "|" &amp; $AF49)</f>
        <v>2013|anémie</v>
      </c>
      <c r="AC49" t="str">
        <f>TRIM(SUBSTITUTE(SUBSTITUTE(SUBSTITUTE(SUBSTITUTE(" " &amp; LOWER(TRIM(IF($N49&lt;&gt;"", $N49, $H49))) &amp; " ", " aomi ", " arteriopathie des membres inferieurs "), " hta ", " hypertension arterielle "), " saos ", " syndrome d'apnees obstructives du sommeil "), " rgo ", " reflux gastro-oesophagien ") )</f>
        <v>anémie</v>
      </c>
      <c r="AD49" t="str">
        <f>TRIM(SUBSTITUTE(SUBSTITUTE(SUBSTITUTE(SUBSTITUTE(" " &amp; LOWER(TRIM($AC49)) &amp; " ", " oacr ", " occlusion de l'artere centrale de la retine "), " hsd ", " hematome sous-dural "), " fa ", " fibrillation auriculaire "), " ep ", " embolie pulmonaire ") )</f>
        <v>anémie</v>
      </c>
      <c r="AE49" t="str" cm="1">
        <f t="array" ref="AE49">_xlfn.LET(_xlpm.base, " " &amp; LOWER(TRIM($AD49))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anémie</v>
      </c>
      <c r="AF49" t="str" cm="1">
        <f t="array" ref="AF49">_xlfn.LET(_xlpm.base, " " &amp; LOWER(TRIM($AE49))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anémie</v>
      </c>
    </row>
    <row r="50" spans="1:32" ht="50.25">
      <c r="A50" s="8">
        <v>2013</v>
      </c>
      <c r="B50" s="10" t="s">
        <v>221</v>
      </c>
      <c r="C50" s="8" t="s">
        <v>33</v>
      </c>
      <c r="D50" s="20">
        <v>10</v>
      </c>
      <c r="E50" s="11" t="str">
        <f>IF(D50="","",IFERROR(INDEX(SSP!$E$2:$E$266, MATCH(D50, SSP!$F$2:$F$266, 0)),""))</f>
        <v>Douleur (toutes localisations et types confondus)</v>
      </c>
      <c r="F50" s="11" t="str">
        <f>Feuil1!E50</f>
        <v>Douleur dorsale</v>
      </c>
      <c r="G50" s="12" t="s">
        <v>222</v>
      </c>
      <c r="H50" s="13" t="s">
        <v>223</v>
      </c>
      <c r="I50" s="13"/>
      <c r="J50" s="15" t="s">
        <v>224</v>
      </c>
      <c r="K50" s="9" t="s">
        <v>225</v>
      </c>
      <c r="L50" s="9" t="s">
        <v>33</v>
      </c>
      <c r="M50" s="9" t="s">
        <v>33</v>
      </c>
      <c r="N50" t="s">
        <v>223</v>
      </c>
      <c r="O50" t="str">
        <f>IFERROR(_xlfn.XLOOKUP($D50, SSP!$F:$F, SSP!$E:$E, "Inconnu"), "")</f>
        <v>Douleur (toutes localisations et types confondus)</v>
      </c>
      <c r="P50" t="str">
        <f>IF(OR(E50="", O50=""), "", IF(LOWER(E50)=LOWER(O50), "OK", "⚠️ Libellé ≠ n°"))</f>
        <v>OK</v>
      </c>
      <c r="Q50" t="str">
        <f>IF(Feuil1!$E50="", "", IF(LOWER(Feuil1!$E50)=LOWER(E50), "Identique", "Différent"))</f>
        <v>Différent</v>
      </c>
      <c r="R50" t="str">
        <f>IF(OR(P50="⚠️ Libellé ≠ n°", O50="Inconnu"), "⚠️", IF(Q50="Différent", "ℹ️", ""))</f>
        <v>ℹ️</v>
      </c>
      <c r="S50" t="str" cm="1">
        <f t="array" ref="S50">_xlfn.LET(_xlpm.genCat,IFERROR(LOWER(TRIM(G50)),""),_xlpm.principal,IFERROR(LOWER(TRIM(H50)),""),_xlpm.orig,IFERROR(LOWER(TRIM(N50)),""),IF(OR(_xlpm.genCat="",_xlpm.principal=""),"",IF(LEFT(LOWER(G50),5)="autre","OK (Autre)",IF(OR(ISNUMBER(SEARCH(_xlpm.genCat,_xlpm.principal)),ISNUMBER(SEARCH(_xlpm.principal,_xlpm.genCat)),AND(_xlpm.orig&lt;&gt;"",OR(ISNUMBER(SEARCH(_xlpm.genCat,_xlpm.orig)),ISNUMBER(SEARCH(_xlpm.orig,_xlpm.genCat))))),"OK","⚠️ À vérifier"))))</f>
        <v>OK</v>
      </c>
      <c r="T50" t="str">
        <f>IF(S50="","",IF(S50="OK (Autre)","Diagnostic générique = 'Autre – …'",IF(S50="OK","Concordance générique/principal","Écart entre générique et principal")))</f>
        <v>Concordance générique/principal</v>
      </c>
      <c r="U50" t="str" cm="1">
        <f t="array" ref="U50">_xlfn.LET(_xlpm.yr, A50, _xlpm.diag, IF(N50&lt;&gt;"", N50, H50), _xlpm.base, TRIM(SUBSTITUTE(SUBSTITUTE(SUBSTITUTE(SUBSTITUTE(_xlpm.diag,"•"," "),CHAR(160)," "),CHAR(10)," "),"  "," ")), LOWER(_xlpm.yr&amp;"|"&amp;_xlpm.base))</f>
        <v>2013|fracture vertébrale ostéoporotique</v>
      </c>
      <c r="V50" t="str">
        <f>IFERROR(_xlfn.XLOOKUP($AB50,'Cas 2013-2017'!$K:$K,'Cas 2013-2017'!$D:$D,""),"")</f>
        <v/>
      </c>
      <c r="W50" t="str">
        <f>IFERROR(_xlfn.XLOOKUP($AB50,'Cas 2013-2017'!$K:$K,'Cas 2013-2017'!$E:$E,""),"")</f>
        <v/>
      </c>
      <c r="X50" t="str">
        <f>IFERROR(_xlfn.XLOOKUP($AB50,'Cas 2013-2017'!$K:$K,'Cas 2013-2017'!$F:$F,""),"")</f>
        <v/>
      </c>
      <c r="Y50" t="str">
        <f>IFERROR(_xlfn.XLOOKUP($AB50,'Cas 2013-2017'!$K:$K,'Cas 2013-2017'!$G:$G,""),"")</f>
        <v/>
      </c>
      <c r="Z50" t="str">
        <f>IFERROR(_xlfn.XLOOKUP($AB50,'Cas 2013-2017'!$K:$K,'Cas 2013-2017'!$I:$I,""),"")</f>
        <v/>
      </c>
      <c r="AA50" t="str">
        <f>IFERROR(_xlfn.XLOOKUP($AB50,'Cas 2013-2017'!$K:$K,'Cas 2013-2017'!$H:$H,""),"")</f>
        <v/>
      </c>
      <c r="AB50" t="str">
        <f>LOWER($A50 &amp; "|" &amp; $AF50)</f>
        <v>2013|fracture vertébrale ostéoporotique</v>
      </c>
      <c r="AC50" t="str">
        <f>TRIM(SUBSTITUTE(SUBSTITUTE(SUBSTITUTE(SUBSTITUTE(" " &amp; LOWER(TRIM(IF($N50&lt;&gt;"", $N50, $H50))) &amp; " ", " aomi ", " arteriopathie des membres inferieurs "), " hta ", " hypertension arterielle "), " saos ", " syndrome d'apnees obstructives du sommeil "), " rgo ", " reflux gastro-oesophagien ") )</f>
        <v>fracture vertébrale ostéoporotique</v>
      </c>
      <c r="AD50" t="str">
        <f>TRIM(SUBSTITUTE(SUBSTITUTE(SUBSTITUTE(SUBSTITUTE(" " &amp; LOWER(TRIM($AC50)) &amp; " ", " oacr ", " occlusion de l'artere centrale de la retine "), " hsd ", " hematome sous-dural "), " fa ", " fibrillation auriculaire "), " ep ", " embolie pulmonaire ") )</f>
        <v>fracture vertébrale ostéoporotique</v>
      </c>
      <c r="AE50" t="str" cm="1">
        <f t="array" ref="AE50">_xlfn.LET(_xlpm.base, " " &amp; LOWER(TRIM($AD50))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fracture vertébrale ostéoporotique</v>
      </c>
      <c r="AF50" t="str" cm="1">
        <f t="array" ref="AF50">_xlfn.LET(_xlpm.base, " " &amp; LOWER(TRIM($AE50))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fracture vertébrale ostéoporotique</v>
      </c>
    </row>
    <row r="51" spans="1:32" ht="84">
      <c r="A51" s="8">
        <v>2013</v>
      </c>
      <c r="B51" s="10" t="s">
        <v>221</v>
      </c>
      <c r="C51" s="8" t="s">
        <v>33</v>
      </c>
      <c r="D51" s="20">
        <v>10</v>
      </c>
      <c r="E51" s="11" t="str">
        <f>IF(D51="","",IFERROR(INDEX(SSP!$E$2:$E$266, MATCH(D51, SSP!$F$2:$F$266, 0)),""))</f>
        <v>Douleur (toutes localisations et types confondus)</v>
      </c>
      <c r="F51" s="11" t="str">
        <f>Feuil1!E51</f>
        <v>Douleur épaule</v>
      </c>
      <c r="G51" s="12" t="s">
        <v>226</v>
      </c>
      <c r="H51" s="13" t="s">
        <v>227</v>
      </c>
      <c r="I51" s="14"/>
      <c r="J51" s="15" t="s">
        <v>228</v>
      </c>
      <c r="K51" s="9" t="s">
        <v>229</v>
      </c>
      <c r="L51" s="9" t="s">
        <v>33</v>
      </c>
      <c r="M51" s="9" t="s">
        <v>33</v>
      </c>
      <c r="N51" t="s">
        <v>227</v>
      </c>
      <c r="O51" t="str">
        <f>IFERROR(_xlfn.XLOOKUP($D51, SSP!$F:$F, SSP!$E:$E, "Inconnu"), "")</f>
        <v>Douleur (toutes localisations et types confondus)</v>
      </c>
      <c r="P51" t="str">
        <f>IF(OR(E51="", O51=""), "", IF(LOWER(E51)=LOWER(O51), "OK", "⚠️ Libellé ≠ n°"))</f>
        <v>OK</v>
      </c>
      <c r="Q51" t="str">
        <f>IF(Feuil1!$E51="", "", IF(LOWER(Feuil1!$E51)=LOWER(E51), "Identique", "Différent"))</f>
        <v>Différent</v>
      </c>
      <c r="R51" t="str">
        <f>IF(OR(P51="⚠️ Libellé ≠ n°", O51="Inconnu"), "⚠️", IF(Q51="Différent", "ℹ️", ""))</f>
        <v>ℹ️</v>
      </c>
      <c r="S51" t="str" cm="1">
        <f t="array" ref="S51">_xlfn.LET(_xlpm.genCat,IFERROR(LOWER(TRIM(G51)),""),_xlpm.principal,IFERROR(LOWER(TRIM(H51)),""),_xlpm.orig,IFERROR(LOWER(TRIM(N51)),""),IF(OR(_xlpm.genCat="",_xlpm.principal=""),"",IF(LEFT(LOWER(G51),5)="autre","OK (Autre)",IF(OR(ISNUMBER(SEARCH(_xlpm.genCat,_xlpm.principal)),ISNUMBER(SEARCH(_xlpm.principal,_xlpm.genCat)),AND(_xlpm.orig&lt;&gt;"",OR(ISNUMBER(SEARCH(_xlpm.genCat,_xlpm.orig)),ISNUMBER(SEARCH(_xlpm.orig,_xlpm.genCat))))),"OK","⚠️ À vérifier"))))</f>
        <v>OK (Autre)</v>
      </c>
      <c r="T51" t="str">
        <f>IF(S51="","",IF(S51="OK (Autre)","Diagnostic générique = 'Autre – …'",IF(S51="OK","Concordance générique/principal","Écart entre générique et principal")))</f>
        <v>Diagnostic générique = 'Autre – …'</v>
      </c>
      <c r="U51" t="str" cm="1">
        <f t="array" ref="U51">_xlfn.LET(_xlpm.yr, A51, _xlpm.diag, IF(N51&lt;&gt;"", N51, H51), _xlpm.base, TRIM(SUBSTITUTE(SUBSTITUTE(SUBSTITUTE(SUBSTITUTE(_xlpm.diag,"•"," "),CHAR(160)," "),CHAR(10)," "),"  "," ")), LOWER(_xlpm.yr&amp;"|"&amp;_xlpm.base))</f>
        <v>2013|lésion de la coiffe des rotateurs (mouvement passif de l'épaule conservé)</v>
      </c>
      <c r="V51" t="str">
        <f>IFERROR(_xlfn.XLOOKUP($AB51,'Cas 2013-2017'!$K:$K,'Cas 2013-2017'!$D:$D,""),"")</f>
        <v/>
      </c>
      <c r="W51" t="str">
        <f>IFERROR(_xlfn.XLOOKUP($AB51,'Cas 2013-2017'!$K:$K,'Cas 2013-2017'!$E:$E,""),"")</f>
        <v/>
      </c>
      <c r="X51" t="str">
        <f>IFERROR(_xlfn.XLOOKUP($AB51,'Cas 2013-2017'!$K:$K,'Cas 2013-2017'!$F:$F,""),"")</f>
        <v/>
      </c>
      <c r="Y51" t="str">
        <f>IFERROR(_xlfn.XLOOKUP($AB51,'Cas 2013-2017'!$K:$K,'Cas 2013-2017'!$G:$G,""),"")</f>
        <v/>
      </c>
      <c r="Z51" t="str">
        <f>IFERROR(_xlfn.XLOOKUP($AB51,'Cas 2013-2017'!$K:$K,'Cas 2013-2017'!$I:$I,""),"")</f>
        <v/>
      </c>
      <c r="AA51" t="str">
        <f>IFERROR(_xlfn.XLOOKUP($AB51,'Cas 2013-2017'!$K:$K,'Cas 2013-2017'!$H:$H,""),"")</f>
        <v/>
      </c>
      <c r="AB51" t="str">
        <f>LOWER($A51 &amp; "|" &amp; $AF51)</f>
        <v>2013|lésion de la coiffe des rotateurs (mouvement passif de l'épaule conservé)</v>
      </c>
      <c r="AC51" t="str">
        <f>TRIM(SUBSTITUTE(SUBSTITUTE(SUBSTITUTE(SUBSTITUTE(" " &amp; LOWER(TRIM(IF($N51&lt;&gt;"", $N51, $H51))) &amp; " ", " aomi ", " arteriopathie des membres inferieurs "), " hta ", " hypertension arterielle "), " saos ", " syndrome d'apnees obstructives du sommeil "), " rgo ", " reflux gastro-oesophagien ") )</f>
        <v>lésion de la coiffe des rotateurs (mouvement passif de l'épaule conservé)</v>
      </c>
      <c r="AD51" t="str">
        <f>TRIM(SUBSTITUTE(SUBSTITUTE(SUBSTITUTE(SUBSTITUTE(" " &amp; LOWER(TRIM($AC51)) &amp; " ", " oacr ", " occlusion de l'artere centrale de la retine "), " hsd ", " hematome sous-dural "), " fa ", " fibrillation auriculaire "), " ep ", " embolie pulmonaire ") )</f>
        <v>lésion de la coiffe des rotateurs (mouvement passif de l'épaule conservé)</v>
      </c>
      <c r="AE51" t="str" cm="1">
        <f t="array" ref="AE51">_xlfn.LET(_xlpm.base, " " &amp; LOWER(TRIM($AD51))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lésion de la coiffe des rotateurs (mouvement passif de l'épaule conservé)</v>
      </c>
      <c r="AF51" t="str" cm="1">
        <f t="array" ref="AF51">_xlfn.LET(_xlpm.base, " " &amp; LOWER(TRIM($AE51))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lésion de la coiffe des rotateurs (mouvement passif de l'épaule conservé)</v>
      </c>
    </row>
    <row r="52" spans="1:32" ht="66.75">
      <c r="A52" s="8">
        <v>2013</v>
      </c>
      <c r="B52" s="10" t="s">
        <v>133</v>
      </c>
      <c r="C52" s="8" t="s">
        <v>33</v>
      </c>
      <c r="D52" s="20">
        <v>44</v>
      </c>
      <c r="E52" s="11" t="str">
        <f>IF(D52="","",IFERROR(INDEX(SSP!$E$2:$E$266, MATCH(D52, SSP!$F$2:$F$266, 0)),""))</f>
        <v>Douleur thoracique</v>
      </c>
      <c r="F52" s="11" t="str">
        <f>Feuil1!E52</f>
        <v>Douleur thoracique</v>
      </c>
      <c r="G52" s="12" t="s">
        <v>134</v>
      </c>
      <c r="H52" s="13" t="s">
        <v>230</v>
      </c>
      <c r="I52" s="13"/>
      <c r="J52" s="15" t="s">
        <v>231</v>
      </c>
      <c r="K52" s="9" t="s">
        <v>232</v>
      </c>
      <c r="L52" s="9" t="s">
        <v>33</v>
      </c>
      <c r="M52" s="9" t="s">
        <v>33</v>
      </c>
      <c r="N52" t="s">
        <v>230</v>
      </c>
      <c r="O52" t="str">
        <f>IFERROR(_xlfn.XLOOKUP($D52, SSP!$F:$F, SSP!$E:$E, "Inconnu"), "")</f>
        <v>Douleur thoracique</v>
      </c>
      <c r="P52" t="str">
        <f>IF(OR(E52="", O52=""), "", IF(LOWER(E52)=LOWER(O52), "OK", "⚠️ Libellé ≠ n°"))</f>
        <v>OK</v>
      </c>
      <c r="Q52" t="str">
        <f>IF(Feuil1!$E52="", "", IF(LOWER(Feuil1!$E52)=LOWER(E52), "Identique", "Différent"))</f>
        <v>Identique</v>
      </c>
      <c r="R52" t="str">
        <f>IF(OR(P52="⚠️ Libellé ≠ n°", O52="Inconnu"), "⚠️", IF(Q52="Différent", "ℹ️", ""))</f>
        <v/>
      </c>
      <c r="S52" t="str" cm="1">
        <f t="array" ref="S52">_xlfn.LET(_xlpm.genCat,IFERROR(LOWER(TRIM(G52)),""),_xlpm.principal,IFERROR(LOWER(TRIM(H52)),""),_xlpm.orig,IFERROR(LOWER(TRIM(N52)),""),IF(OR(_xlpm.genCat="",_xlpm.principal=""),"",IF(LEFT(LOWER(G52),5)="autre","OK (Autre)",IF(OR(ISNUMBER(SEARCH(_xlpm.genCat,_xlpm.principal)),ISNUMBER(SEARCH(_xlpm.principal,_xlpm.genCat)),AND(_xlpm.orig&lt;&gt;"",OR(ISNUMBER(SEARCH(_xlpm.genCat,_xlpm.orig)),ISNUMBER(SEARCH(_xlpm.orig,_xlpm.genCat))))),"OK","⚠️ À vérifier"))))</f>
        <v>OK</v>
      </c>
      <c r="T52" t="str">
        <f>IF(S52="","",IF(S52="OK (Autre)","Diagnostic générique = 'Autre – …'",IF(S52="OK","Concordance générique/principal","Écart entre générique et principal")))</f>
        <v>Concordance générique/principal</v>
      </c>
      <c r="U52" t="str" cm="1">
        <f t="array" ref="U52">_xlfn.LET(_xlpm.yr, A52, _xlpm.diag, IF(N52&lt;&gt;"", N52, H52), _xlpm.base, TRIM(SUBSTITUTE(SUBSTITUTE(SUBSTITUTE(SUBSTITUTE(_xlpm.diag,"•"," "),CHAR(160)," "),CHAR(10)," "),"  "," ")), LOWER(_xlpm.yr&amp;"|"&amp;_xlpm.base))</f>
        <v>2013|polytrauma (fx de côte, rupture de rate, pneumothorax)</v>
      </c>
      <c r="V52" t="str">
        <f>IFERROR(_xlfn.XLOOKUP($AB52,'Cas 2013-2017'!$K:$K,'Cas 2013-2017'!$D:$D,""),"")</f>
        <v/>
      </c>
      <c r="W52" t="str">
        <f>IFERROR(_xlfn.XLOOKUP($AB52,'Cas 2013-2017'!$K:$K,'Cas 2013-2017'!$E:$E,""),"")</f>
        <v/>
      </c>
      <c r="X52" t="str">
        <f>IFERROR(_xlfn.XLOOKUP($AB52,'Cas 2013-2017'!$K:$K,'Cas 2013-2017'!$F:$F,""),"")</f>
        <v/>
      </c>
      <c r="Y52" t="str">
        <f>IFERROR(_xlfn.XLOOKUP($AB52,'Cas 2013-2017'!$K:$K,'Cas 2013-2017'!$G:$G,""),"")</f>
        <v/>
      </c>
      <c r="Z52" t="str">
        <f>IFERROR(_xlfn.XLOOKUP($AB52,'Cas 2013-2017'!$K:$K,'Cas 2013-2017'!$I:$I,""),"")</f>
        <v/>
      </c>
      <c r="AA52" t="str">
        <f>IFERROR(_xlfn.XLOOKUP($AB52,'Cas 2013-2017'!$K:$K,'Cas 2013-2017'!$H:$H,""),"")</f>
        <v/>
      </c>
      <c r="AB52" t="str">
        <f>LOWER($A52 &amp; "|" &amp; $AF52)</f>
        <v>2013|polytrauma (fx de côte, rupture de rate, pneumothorax)</v>
      </c>
      <c r="AC52" t="str">
        <f>TRIM(SUBSTITUTE(SUBSTITUTE(SUBSTITUTE(SUBSTITUTE(" " &amp; LOWER(TRIM(IF($N52&lt;&gt;"", $N52, $H52))) &amp; " ", " aomi ", " arteriopathie des membres inferieurs "), " hta ", " hypertension arterielle "), " saos ", " syndrome d'apnees obstructives du sommeil "), " rgo ", " reflux gastro-oesophagien ") )</f>
        <v>polytrauma (fx de côte, rupture de rate, pneumothorax)</v>
      </c>
      <c r="AD52" t="str">
        <f>TRIM(SUBSTITUTE(SUBSTITUTE(SUBSTITUTE(SUBSTITUTE(" " &amp; LOWER(TRIM($AC52)) &amp; " ", " oacr ", " occlusion de l'artere centrale de la retine "), " hsd ", " hematome sous-dural "), " fa ", " fibrillation auriculaire "), " ep ", " embolie pulmonaire ") )</f>
        <v>polytrauma (fx de côte, rupture de rate, pneumothorax)</v>
      </c>
      <c r="AE52" t="str" cm="1">
        <f t="array" ref="AE52">_xlfn.LET(_xlpm.base, " " &amp; LOWER(TRIM($AD52))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polytrauma (fx de côte, rupture de rate, pneumothorax)</v>
      </c>
      <c r="AF52" t="str" cm="1">
        <f t="array" ref="AF52">_xlfn.LET(_xlpm.base, " " &amp; LOWER(TRIM($AE52))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polytrauma (fx de côte, rupture de rate, pneumothorax)</v>
      </c>
    </row>
    <row r="53" spans="1:32" ht="33.75">
      <c r="A53" s="8">
        <v>2013</v>
      </c>
      <c r="B53" s="10" t="s">
        <v>100</v>
      </c>
      <c r="C53" s="8" t="s">
        <v>33</v>
      </c>
      <c r="D53" s="20">
        <v>207</v>
      </c>
      <c r="E53" s="11" t="str">
        <f>IF(D53="","",IFERROR(INDEX(SSP!$E$2:$E$266, MATCH(D53, SSP!$F$2:$F$266, 0)),""))</f>
        <v>Céphalée aiguë intense, syndrome méningé</v>
      </c>
      <c r="F53" s="11" t="str">
        <f>Feuil1!E53</f>
        <v>Céphalée</v>
      </c>
      <c r="G53" s="12" t="s">
        <v>233</v>
      </c>
      <c r="H53" s="13" t="s">
        <v>234</v>
      </c>
      <c r="I53" s="13"/>
      <c r="J53" s="15" t="s">
        <v>235</v>
      </c>
      <c r="K53" s="9" t="s">
        <v>33</v>
      </c>
      <c r="L53" s="9" t="s">
        <v>33</v>
      </c>
      <c r="M53" s="9" t="s">
        <v>33</v>
      </c>
      <c r="N53" t="s">
        <v>234</v>
      </c>
      <c r="O53" t="str">
        <f>IFERROR(_xlfn.XLOOKUP($D53, SSP!$F:$F, SSP!$E:$E, "Inconnu"), "")</f>
        <v>Céphalée aiguë intense, syndrome méningé</v>
      </c>
      <c r="P53" t="str">
        <f>IF(OR(E53="", O53=""), "", IF(LOWER(E53)=LOWER(O53), "OK", "⚠️ Libellé ≠ n°"))</f>
        <v>OK</v>
      </c>
      <c r="Q53" t="str">
        <f>IF(Feuil1!$E53="", "", IF(LOWER(Feuil1!$E53)=LOWER(E53), "Identique", "Différent"))</f>
        <v>Différent</v>
      </c>
      <c r="R53" t="str">
        <f>IF(OR(P53="⚠️ Libellé ≠ n°", O53="Inconnu"), "⚠️", IF(Q53="Différent", "ℹ️", ""))</f>
        <v>ℹ️</v>
      </c>
      <c r="S53" t="str" cm="1">
        <f t="array" ref="S53">_xlfn.LET(_xlpm.genCat,IFERROR(LOWER(TRIM(G53)),""),_xlpm.principal,IFERROR(LOWER(TRIM(H53)),""),_xlpm.orig,IFERROR(LOWER(TRIM(N53)),""),IF(OR(_xlpm.genCat="",_xlpm.principal=""),"",IF(LEFT(LOWER(G53),5)="autre","OK (Autre)",IF(OR(ISNUMBER(SEARCH(_xlpm.genCat,_xlpm.principal)),ISNUMBER(SEARCH(_xlpm.principal,_xlpm.genCat)),AND(_xlpm.orig&lt;&gt;"",OR(ISNUMBER(SEARCH(_xlpm.genCat,_xlpm.orig)),ISNUMBER(SEARCH(_xlpm.orig,_xlpm.genCat))))),"OK","⚠️ À vérifier"))))</f>
        <v>OK (Autre)</v>
      </c>
      <c r="T53" t="str">
        <f>IF(S53="","",IF(S53="OK (Autre)","Diagnostic générique = 'Autre – …'",IF(S53="OK","Concordance générique/principal","Écart entre générique et principal")))</f>
        <v>Diagnostic générique = 'Autre – …'</v>
      </c>
      <c r="U53" t="str" cm="1">
        <f t="array" ref="U53">_xlfn.LET(_xlpm.yr, A53, _xlpm.diag, IF(N53&lt;&gt;"", N53, H53), _xlpm.base, TRIM(SUBSTITUTE(SUBSTITUTE(SUBSTITUTE(SUBSTITUTE(_xlpm.diag,"•"," "),CHAR(160)," "),CHAR(10)," "),"  "," ")), LOWER(_xlpm.yr&amp;"|"&amp;_xlpm.base))</f>
        <v>2013|céphalées sur probable thrombose</v>
      </c>
      <c r="V53" t="str">
        <f>IFERROR(_xlfn.XLOOKUP($AB53,'Cas 2013-2017'!$K:$K,'Cas 2013-2017'!$D:$D,""),"")</f>
        <v/>
      </c>
      <c r="W53" t="str">
        <f>IFERROR(_xlfn.XLOOKUP($AB53,'Cas 2013-2017'!$K:$K,'Cas 2013-2017'!$E:$E,""),"")</f>
        <v/>
      </c>
      <c r="X53" t="str">
        <f>IFERROR(_xlfn.XLOOKUP($AB53,'Cas 2013-2017'!$K:$K,'Cas 2013-2017'!$F:$F,""),"")</f>
        <v/>
      </c>
      <c r="Y53" t="str">
        <f>IFERROR(_xlfn.XLOOKUP($AB53,'Cas 2013-2017'!$K:$K,'Cas 2013-2017'!$G:$G,""),"")</f>
        <v/>
      </c>
      <c r="Z53" t="str">
        <f>IFERROR(_xlfn.XLOOKUP($AB53,'Cas 2013-2017'!$K:$K,'Cas 2013-2017'!$I:$I,""),"")</f>
        <v/>
      </c>
      <c r="AA53" t="str">
        <f>IFERROR(_xlfn.XLOOKUP($AB53,'Cas 2013-2017'!$K:$K,'Cas 2013-2017'!$H:$H,""),"")</f>
        <v/>
      </c>
      <c r="AB53" t="str">
        <f>LOWER($A53 &amp; "|" &amp; $AF53)</f>
        <v>2013|céphalées sur probable thrombose</v>
      </c>
      <c r="AC53" t="str">
        <f>TRIM(SUBSTITUTE(SUBSTITUTE(SUBSTITUTE(SUBSTITUTE(" " &amp; LOWER(TRIM(IF($N53&lt;&gt;"", $N53, $H53))) &amp; " ", " aomi ", " arteriopathie des membres inferieurs "), " hta ", " hypertension arterielle "), " saos ", " syndrome d'apnees obstructives du sommeil "), " rgo ", " reflux gastro-oesophagien ") )</f>
        <v>céphalées sur probable thrombose</v>
      </c>
      <c r="AD53" t="str">
        <f>TRIM(SUBSTITUTE(SUBSTITUTE(SUBSTITUTE(SUBSTITUTE(" " &amp; LOWER(TRIM($AC53)) &amp; " ", " oacr ", " occlusion de l'artere centrale de la retine "), " hsd ", " hematome sous-dural "), " fa ", " fibrillation auriculaire "), " ep ", " embolie pulmonaire ") )</f>
        <v>céphalées sur probable thrombose</v>
      </c>
      <c r="AE53" t="str" cm="1">
        <f t="array" ref="AE53">_xlfn.LET(_xlpm.base, " " &amp; LOWER(TRIM($AD53))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céphalées sur probable thrombose</v>
      </c>
      <c r="AF53" t="str" cm="1">
        <f t="array" ref="AF53">_xlfn.LET(_xlpm.base, " " &amp; LOWER(TRIM($AE53))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céphalées sur probable thrombose</v>
      </c>
    </row>
    <row r="54" spans="1:32" ht="84">
      <c r="A54" s="8">
        <v>2013</v>
      </c>
      <c r="B54" s="10" t="s">
        <v>100</v>
      </c>
      <c r="C54" s="8" t="s">
        <v>33</v>
      </c>
      <c r="D54" s="20">
        <v>220</v>
      </c>
      <c r="E54" s="11" t="str">
        <f>IF(D54="","",IFERROR(INDEX(SSP!$E$2:$E$266, MATCH(D54, SSP!$F$2:$F$266, 0)),""))</f>
        <v>Traumatisme simple et bénin</v>
      </c>
      <c r="F54" s="11" t="str">
        <f>Feuil1!E54</f>
        <v>Chute / traumatisme</v>
      </c>
      <c r="G54" s="12" t="s">
        <v>233</v>
      </c>
      <c r="H54" s="13" t="s">
        <v>236</v>
      </c>
      <c r="I54" s="13"/>
      <c r="J54" s="15" t="s">
        <v>237</v>
      </c>
      <c r="K54" s="9" t="s">
        <v>238</v>
      </c>
      <c r="L54" s="9" t="s">
        <v>33</v>
      </c>
      <c r="M54" s="9" t="s">
        <v>33</v>
      </c>
      <c r="N54" t="s">
        <v>239</v>
      </c>
      <c r="O54" t="str">
        <f>IFERROR(_xlfn.XLOOKUP($D54, SSP!$F:$F, SSP!$E:$E, "Inconnu"), "")</f>
        <v>Traumatisme simple et bénin</v>
      </c>
      <c r="P54" t="str">
        <f>IF(OR(E54="", O54=""), "", IF(LOWER(E54)=LOWER(O54), "OK", "⚠️ Libellé ≠ n°"))</f>
        <v>OK</v>
      </c>
      <c r="Q54" t="str">
        <f>IF(Feuil1!$E54="", "", IF(LOWER(Feuil1!$E54)=LOWER(E54), "Identique", "Différent"))</f>
        <v>Différent</v>
      </c>
      <c r="R54" t="str">
        <f>IF(OR(P54="⚠️ Libellé ≠ n°", O54="Inconnu"), "⚠️", IF(Q54="Différent", "ℹ️", ""))</f>
        <v>ℹ️</v>
      </c>
      <c r="S54" t="str" cm="1">
        <f t="array" ref="S54">_xlfn.LET(_xlpm.genCat,IFERROR(LOWER(TRIM(G54)),""),_xlpm.principal,IFERROR(LOWER(TRIM(H54)),""),_xlpm.orig,IFERROR(LOWER(TRIM(N54)),""),IF(OR(_xlpm.genCat="",_xlpm.principal=""),"",IF(LEFT(LOWER(G54),5)="autre","OK (Autre)",IF(OR(ISNUMBER(SEARCH(_xlpm.genCat,_xlpm.principal)),ISNUMBER(SEARCH(_xlpm.principal,_xlpm.genCat)),AND(_xlpm.orig&lt;&gt;"",OR(ISNUMBER(SEARCH(_xlpm.genCat,_xlpm.orig)),ISNUMBER(SEARCH(_xlpm.orig,_xlpm.genCat))))),"OK","⚠️ À vérifier"))))</f>
        <v>OK (Autre)</v>
      </c>
      <c r="T54" t="str">
        <f>IF(S54="","",IF(S54="OK (Autre)","Diagnostic générique = 'Autre – …'",IF(S54="OK","Concordance générique/principal","Écart entre générique et principal")))</f>
        <v>Diagnostic générique = 'Autre – …'</v>
      </c>
      <c r="U54" t="str" cm="1">
        <f t="array" ref="U54">_xlfn.LET(_xlpm.yr, A54, _xlpm.diag, IF(N54&lt;&gt;"", N54, H54), _xlpm.base, TRIM(SUBSTITUTE(SUBSTITUTE(SUBSTITUTE(SUBSTITUTE(_xlpm.diag,"•"," "),CHAR(160)," "),CHAR(10)," "),"  "," ")), LOWER(_xlpm.yr&amp;"|"&amp;_xlpm.base))</f>
        <v>2013|hsd (tcc)</v>
      </c>
      <c r="V54" t="str">
        <f>IFERROR(_xlfn.XLOOKUP($AB54,'Cas 2013-2017'!$K:$K,'Cas 2013-2017'!$D:$D,""),"")</f>
        <v/>
      </c>
      <c r="W54" t="str">
        <f>IFERROR(_xlfn.XLOOKUP($AB54,'Cas 2013-2017'!$K:$K,'Cas 2013-2017'!$E:$E,""),"")</f>
        <v/>
      </c>
      <c r="X54" t="str">
        <f>IFERROR(_xlfn.XLOOKUP($AB54,'Cas 2013-2017'!$K:$K,'Cas 2013-2017'!$F:$F,""),"")</f>
        <v/>
      </c>
      <c r="Y54" t="str">
        <f>IFERROR(_xlfn.XLOOKUP($AB54,'Cas 2013-2017'!$K:$K,'Cas 2013-2017'!$G:$G,""),"")</f>
        <v/>
      </c>
      <c r="Z54" t="str">
        <f>IFERROR(_xlfn.XLOOKUP($AB54,'Cas 2013-2017'!$K:$K,'Cas 2013-2017'!$I:$I,""),"")</f>
        <v/>
      </c>
      <c r="AA54" t="str">
        <f>IFERROR(_xlfn.XLOOKUP($AB54,'Cas 2013-2017'!$K:$K,'Cas 2013-2017'!$H:$H,""),"")</f>
        <v/>
      </c>
      <c r="AB54" t="str">
        <f>LOWER($A54 &amp; "|" &amp; $AF54)</f>
        <v>2013|hematome sous-dural (tcc)</v>
      </c>
      <c r="AC54" t="str">
        <f>TRIM(SUBSTITUTE(SUBSTITUTE(SUBSTITUTE(SUBSTITUTE(" " &amp; LOWER(TRIM(IF($N54&lt;&gt;"", $N54, $H54))) &amp; " ", " aomi ", " arteriopathie des membres inferieurs "), " hta ", " hypertension arterielle "), " saos ", " syndrome d'apnees obstructives du sommeil "), " rgo ", " reflux gastro-oesophagien ") )</f>
        <v>hsd (tcc)</v>
      </c>
      <c r="AD54" t="str">
        <f>TRIM(SUBSTITUTE(SUBSTITUTE(SUBSTITUTE(SUBSTITUTE(" " &amp; LOWER(TRIM($AC54)) &amp; " ", " oacr ", " occlusion de l'artere centrale de la retine "), " hsd ", " hematome sous-dural "), " fa ", " fibrillation auriculaire "), " ep ", " embolie pulmonaire ") )</f>
        <v>hematome sous-dural (tcc)</v>
      </c>
      <c r="AE54" t="str" cm="1">
        <f t="array" ref="AE54">_xlfn.LET(_xlpm.base, " " &amp; LOWER(TRIM($AD54))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hematome sous-dural (tcc)</v>
      </c>
      <c r="AF54" t="str" cm="1">
        <f t="array" ref="AF54">_xlfn.LET(_xlpm.base, " " &amp; LOWER(TRIM($AE54))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hematome sous-dural (tcc)</v>
      </c>
    </row>
    <row r="55" spans="1:32" ht="216.75">
      <c r="A55" s="8">
        <v>2013</v>
      </c>
      <c r="B55" s="10" t="s">
        <v>115</v>
      </c>
      <c r="C55" s="8" t="s">
        <v>33</v>
      </c>
      <c r="D55" s="20">
        <v>39</v>
      </c>
      <c r="E55" s="11" t="str">
        <f>IF(D55="","",IFERROR(INDEX(SSP!$E$2:$E$266, MATCH(D55, SSP!$F$2:$F$266, 0)),""))</f>
        <v>Troubles visuels : photophobie, éclairs lumineux, corps flottants, diplopie, dyschromatopsie, vision floue</v>
      </c>
      <c r="F55" s="11" t="str">
        <f>Feuil1!E55</f>
        <v>Amaurose</v>
      </c>
      <c r="G55" s="12" t="s">
        <v>240</v>
      </c>
      <c r="H55" s="13" t="s">
        <v>241</v>
      </c>
      <c r="I55" s="13"/>
      <c r="J55" s="15" t="s">
        <v>242</v>
      </c>
      <c r="K55" s="9" t="s">
        <v>243</v>
      </c>
      <c r="L55" s="17"/>
      <c r="M55" s="17"/>
      <c r="N55" t="s">
        <v>241</v>
      </c>
      <c r="O55" t="str">
        <f>IFERROR(_xlfn.XLOOKUP($D55, SSP!$F:$F, SSP!$E:$E, "Inconnu"), "")</f>
        <v>Troubles visuels : photophobie, éclairs lumineux, corps flottants, diplopie, dyschromatopsie, vision floue</v>
      </c>
      <c r="P55" t="str">
        <f>IF(OR(E55="", O55=""), "", IF(LOWER(E55)=LOWER(O55), "OK", "⚠️ Libellé ≠ n°"))</f>
        <v>OK</v>
      </c>
      <c r="Q55" t="str">
        <f>IF(Feuil1!$E55="", "", IF(LOWER(Feuil1!$E55)=LOWER(E55), "Identique", "Différent"))</f>
        <v>Différent</v>
      </c>
      <c r="R55" t="str">
        <f>IF(OR(P55="⚠️ Libellé ≠ n°", O55="Inconnu"), "⚠️", IF(Q55="Différent", "ℹ️", ""))</f>
        <v>ℹ️</v>
      </c>
      <c r="S55" t="str" cm="1">
        <f t="array" ref="S55">_xlfn.LET(_xlpm.genCat,IFERROR(LOWER(TRIM(G55)),""),_xlpm.principal,IFERROR(LOWER(TRIM(H55)),""),_xlpm.orig,IFERROR(LOWER(TRIM(N55)),""),IF(OR(_xlpm.genCat="",_xlpm.principal=""),"",IF(LEFT(LOWER(G55),5)="autre","OK (Autre)",IF(OR(ISNUMBER(SEARCH(_xlpm.genCat,_xlpm.principal)),ISNUMBER(SEARCH(_xlpm.principal,_xlpm.genCat)),AND(_xlpm.orig&lt;&gt;"",OR(ISNUMBER(SEARCH(_xlpm.genCat,_xlpm.orig)),ISNUMBER(SEARCH(_xlpm.orig,_xlpm.genCat))))),"OK","⚠️ À vérifier"))))</f>
        <v>⚠️ À vérifier</v>
      </c>
      <c r="T55" t="str">
        <f>IF(S55="","",IF(S55="OK (Autre)","Diagnostic générique = 'Autre – …'",IF(S55="OK","Concordance générique/principal","Écart entre générique et principal")))</f>
        <v>Écart entre générique et principal</v>
      </c>
      <c r="U55" t="str" cm="1">
        <f t="array" ref="U55">_xlfn.LET(_xlpm.yr, A55, _xlpm.diag, IF(N55&lt;&gt;"", N55, H55), _xlpm.base, TRIM(SUBSTITUTE(SUBSTITUTE(SUBSTITUTE(SUBSTITUTE(_xlpm.diag,"•"," "),CHAR(160)," "),CHAR(10)," "),"  "," ")), LOWER(_xlpm.yr&amp;"|"&amp;_xlpm.base))</f>
        <v>2013|dmla</v>
      </c>
      <c r="V55" t="str">
        <f>IFERROR(_xlfn.XLOOKUP($AB55,'Cas 2013-2017'!$K:$K,'Cas 2013-2017'!$D:$D,""),"")</f>
        <v/>
      </c>
      <c r="W55" t="str">
        <f>IFERROR(_xlfn.XLOOKUP($AB55,'Cas 2013-2017'!$K:$K,'Cas 2013-2017'!$E:$E,""),"")</f>
        <v/>
      </c>
      <c r="X55" t="str">
        <f>IFERROR(_xlfn.XLOOKUP($AB55,'Cas 2013-2017'!$K:$K,'Cas 2013-2017'!$F:$F,""),"")</f>
        <v/>
      </c>
      <c r="Y55" t="str">
        <f>IFERROR(_xlfn.XLOOKUP($AB55,'Cas 2013-2017'!$K:$K,'Cas 2013-2017'!$G:$G,""),"")</f>
        <v/>
      </c>
      <c r="Z55" t="str">
        <f>IFERROR(_xlfn.XLOOKUP($AB55,'Cas 2013-2017'!$K:$K,'Cas 2013-2017'!$I:$I,""),"")</f>
        <v/>
      </c>
      <c r="AA55" t="str">
        <f>IFERROR(_xlfn.XLOOKUP($AB55,'Cas 2013-2017'!$K:$K,'Cas 2013-2017'!$H:$H,""),"")</f>
        <v/>
      </c>
      <c r="AB55" t="str">
        <f>LOWER($A55 &amp; "|" &amp; $AF55)</f>
        <v>2013|degenerescence maculaire liee a l age</v>
      </c>
      <c r="AC55" t="str">
        <f>TRIM(SUBSTITUTE(SUBSTITUTE(SUBSTITUTE(SUBSTITUTE(" " &amp; LOWER(TRIM(IF($N55&lt;&gt;"", $N55, $H55))) &amp; " ", " aomi ", " arteriopathie des membres inferieurs "), " hta ", " hypertension arterielle "), " saos ", " syndrome d'apnees obstructives du sommeil "), " rgo ", " reflux gastro-oesophagien ") )</f>
        <v>dmla</v>
      </c>
      <c r="AD55" t="str">
        <f>TRIM(SUBSTITUTE(SUBSTITUTE(SUBSTITUTE(SUBSTITUTE(" " &amp; LOWER(TRIM($AC55)) &amp; " ", " oacr ", " occlusion de l'artere centrale de la retine "), " hsd ", " hematome sous-dural "), " fa ", " fibrillation auriculaire "), " ep ", " embolie pulmonaire ") )</f>
        <v>dmla</v>
      </c>
      <c r="AE55" t="str" cm="1">
        <f t="array" ref="AE55">_xlfn.LET(_xlpm.base, " " &amp; LOWER(TRIM($AD55))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degenerescence maculaire liee a l age</v>
      </c>
      <c r="AF55" t="str" cm="1">
        <f t="array" ref="AF55">_xlfn.LET(_xlpm.base, " " &amp; LOWER(TRIM($AE55))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degenerescence maculaire liee a l age</v>
      </c>
    </row>
    <row r="56" spans="1:32" ht="168">
      <c r="A56" s="8">
        <v>2013</v>
      </c>
      <c r="B56" s="10" t="s">
        <v>115</v>
      </c>
      <c r="C56" s="8" t="s">
        <v>33</v>
      </c>
      <c r="D56" s="20">
        <v>33</v>
      </c>
      <c r="E56" s="11" t="str">
        <f>IF(D56="","",IFERROR(INDEX(SSP!$E$2:$E$266, MATCH(D56, SSP!$F$2:$F$266, 0)),""))</f>
        <v>Douleur, rougeur, prurit oculaire ; écoulement oculaire</v>
      </c>
      <c r="F56" s="11" t="str">
        <f>Feuil1!E56</f>
        <v>Douleur oculaire</v>
      </c>
      <c r="G56" s="12" t="s">
        <v>244</v>
      </c>
      <c r="H56" s="13" t="s">
        <v>245</v>
      </c>
      <c r="I56" s="13" t="s">
        <v>246</v>
      </c>
      <c r="J56" s="15" t="s">
        <v>247</v>
      </c>
      <c r="K56" s="9" t="s">
        <v>248</v>
      </c>
      <c r="L56" s="17"/>
      <c r="M56" s="9" t="s">
        <v>33</v>
      </c>
      <c r="N56" t="s">
        <v>249</v>
      </c>
      <c r="O56" t="str">
        <f>IFERROR(_xlfn.XLOOKUP($D56, SSP!$F:$F, SSP!$E:$E, "Inconnu"), "")</f>
        <v>Douleur, rougeur, prurit oculaire ; écoulement oculaire</v>
      </c>
      <c r="P56" t="str">
        <f>IF(OR(E56="", O56=""), "", IF(LOWER(E56)=LOWER(O56), "OK", "⚠️ Libellé ≠ n°"))</f>
        <v>OK</v>
      </c>
      <c r="Q56" t="str">
        <f>IF(Feuil1!$E56="", "", IF(LOWER(Feuil1!$E56)=LOWER(E56), "Identique", "Différent"))</f>
        <v>Différent</v>
      </c>
      <c r="R56" t="str">
        <f>IF(OR(P56="⚠️ Libellé ≠ n°", O56="Inconnu"), "⚠️", IF(Q56="Différent", "ℹ️", ""))</f>
        <v>ℹ️</v>
      </c>
      <c r="S56" t="str" cm="1">
        <f t="array" ref="S56">_xlfn.LET(_xlpm.genCat,IFERROR(LOWER(TRIM(G56)),""),_xlpm.principal,IFERROR(LOWER(TRIM(H56)),""),_xlpm.orig,IFERROR(LOWER(TRIM(N56)),""),IF(OR(_xlpm.genCat="",_xlpm.principal=""),"",IF(LEFT(LOWER(G56),5)="autre","OK (Autre)",IF(OR(ISNUMBER(SEARCH(_xlpm.genCat,_xlpm.principal)),ISNUMBER(SEARCH(_xlpm.principal,_xlpm.genCat)),AND(_xlpm.orig&lt;&gt;"",OR(ISNUMBER(SEARCH(_xlpm.genCat,_xlpm.orig)),ISNUMBER(SEARCH(_xlpm.orig,_xlpm.genCat))))),"OK","⚠️ À vérifier"))))</f>
        <v>OK</v>
      </c>
      <c r="T56" t="str">
        <f>IF(S56="","",IF(S56="OK (Autre)","Diagnostic générique = 'Autre – …'",IF(S56="OK","Concordance générique/principal","Écart entre générique et principal")))</f>
        <v>Concordance générique/principal</v>
      </c>
      <c r="U56" t="str" cm="1">
        <f t="array" ref="U56">_xlfn.LET(_xlpm.yr, A56, _xlpm.diag, IF(N56&lt;&gt;"", N56, H56), _xlpm.base, TRIM(SUBSTITUTE(SUBSTITUTE(SUBSTITUTE(SUBSTITUTE(_xlpm.diag,"•"," "),CHAR(160)," "),CHAR(10)," "),"  "," ")), LOWER(_xlpm.yr&amp;"|"&amp;_xlpm.base))</f>
        <v>2013|glaucome aigu fermé/zona ophtalmique</v>
      </c>
      <c r="V56" t="str">
        <f>IFERROR(_xlfn.XLOOKUP($AB56,'Cas 2013-2017'!$K:$K,'Cas 2013-2017'!$D:$D,""),"")</f>
        <v/>
      </c>
      <c r="W56" t="str">
        <f>IFERROR(_xlfn.XLOOKUP($AB56,'Cas 2013-2017'!$K:$K,'Cas 2013-2017'!$E:$E,""),"")</f>
        <v/>
      </c>
      <c r="X56" t="str">
        <f>IFERROR(_xlfn.XLOOKUP($AB56,'Cas 2013-2017'!$K:$K,'Cas 2013-2017'!$F:$F,""),"")</f>
        <v/>
      </c>
      <c r="Y56" t="str">
        <f>IFERROR(_xlfn.XLOOKUP($AB56,'Cas 2013-2017'!$K:$K,'Cas 2013-2017'!$G:$G,""),"")</f>
        <v/>
      </c>
      <c r="Z56" t="str">
        <f>IFERROR(_xlfn.XLOOKUP($AB56,'Cas 2013-2017'!$K:$K,'Cas 2013-2017'!$I:$I,""),"")</f>
        <v/>
      </c>
      <c r="AA56" t="str">
        <f>IFERROR(_xlfn.XLOOKUP($AB56,'Cas 2013-2017'!$K:$K,'Cas 2013-2017'!$H:$H,""),"")</f>
        <v/>
      </c>
      <c r="AB56" t="str">
        <f>LOWER($A56 &amp; "|" &amp; $AF56)</f>
        <v>2013|glaucome aigu fermé/zona ophtalmique</v>
      </c>
      <c r="AC56" t="str">
        <f>TRIM(SUBSTITUTE(SUBSTITUTE(SUBSTITUTE(SUBSTITUTE(" " &amp; LOWER(TRIM(IF($N56&lt;&gt;"", $N56, $H56))) &amp; " ", " aomi ", " arteriopathie des membres inferieurs "), " hta ", " hypertension arterielle "), " saos ", " syndrome d'apnees obstructives du sommeil "), " rgo ", " reflux gastro-oesophagien ") )</f>
        <v>glaucome aigu fermé/zona ophtalmique</v>
      </c>
      <c r="AD56" t="str">
        <f>TRIM(SUBSTITUTE(SUBSTITUTE(SUBSTITUTE(SUBSTITUTE(" " &amp; LOWER(TRIM($AC56)) &amp; " ", " oacr ", " occlusion de l'artere centrale de la retine "), " hsd ", " hematome sous-dural "), " fa ", " fibrillation auriculaire "), " ep ", " embolie pulmonaire ") )</f>
        <v>glaucome aigu fermé/zona ophtalmique</v>
      </c>
      <c r="AE56" t="str" cm="1">
        <f t="array" ref="AE56">_xlfn.LET(_xlpm.base, " " &amp; LOWER(TRIM($AD56))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glaucome aigu fermé/zona ophtalmique</v>
      </c>
      <c r="AF56" t="str" cm="1">
        <f t="array" ref="AF56">_xlfn.LET(_xlpm.base, " " &amp; LOWER(TRIM($AE56))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glaucome aigu fermé/zona ophtalmique</v>
      </c>
    </row>
    <row r="57" spans="1:32" ht="318">
      <c r="A57" s="8">
        <v>2013</v>
      </c>
      <c r="B57" s="10" t="s">
        <v>91</v>
      </c>
      <c r="C57" s="8" t="s">
        <v>33</v>
      </c>
      <c r="D57" s="20">
        <v>23</v>
      </c>
      <c r="E57" s="11" t="str">
        <f>IF(D57="","",IFERROR(INDEX(SSP!$E$2:$E$266, MATCH(D57, SSP!$F$2:$F$266, 0)),""))</f>
        <v>Dysphagie, fausse route</v>
      </c>
      <c r="F57" s="11" t="str">
        <f>Feuil1!E57</f>
        <v>Dysphagie</v>
      </c>
      <c r="G57" s="12" t="s">
        <v>250</v>
      </c>
      <c r="H57" s="13" t="s">
        <v>251</v>
      </c>
      <c r="I57" s="13"/>
      <c r="J57" s="15" t="s">
        <v>252</v>
      </c>
      <c r="K57" s="9" t="s">
        <v>253</v>
      </c>
      <c r="L57" s="17"/>
      <c r="M57" s="17"/>
      <c r="N57" t="s">
        <v>251</v>
      </c>
      <c r="O57" t="str">
        <f>IFERROR(_xlfn.XLOOKUP($D57, SSP!$F:$F, SSP!$E:$E, "Inconnu"), "")</f>
        <v>Dysphagie, fausse route</v>
      </c>
      <c r="P57" t="str">
        <f>IF(OR(E57="", O57=""), "", IF(LOWER(E57)=LOWER(O57), "OK", "⚠️ Libellé ≠ n°"))</f>
        <v>OK</v>
      </c>
      <c r="Q57" t="str">
        <f>IF(Feuil1!$E57="", "", IF(LOWER(Feuil1!$E57)=LOWER(E57), "Identique", "Différent"))</f>
        <v>Différent</v>
      </c>
      <c r="R57" t="str">
        <f>IF(OR(P57="⚠️ Libellé ≠ n°", O57="Inconnu"), "⚠️", IF(Q57="Différent", "ℹ️", ""))</f>
        <v>ℹ️</v>
      </c>
      <c r="S57" t="str" cm="1">
        <f t="array" ref="S57">_xlfn.LET(_xlpm.genCat,IFERROR(LOWER(TRIM(G57)),""),_xlpm.principal,IFERROR(LOWER(TRIM(H57)),""),_xlpm.orig,IFERROR(LOWER(TRIM(N57)),""),IF(OR(_xlpm.genCat="",_xlpm.principal=""),"",IF(LEFT(LOWER(G57),5)="autre","OK (Autre)",IF(OR(ISNUMBER(SEARCH(_xlpm.genCat,_xlpm.principal)),ISNUMBER(SEARCH(_xlpm.principal,_xlpm.genCat)),AND(_xlpm.orig&lt;&gt;"",OR(ISNUMBER(SEARCH(_xlpm.genCat,_xlpm.orig)),ISNUMBER(SEARCH(_xlpm.orig,_xlpm.genCat))))),"OK","⚠️ À vérifier"))))</f>
        <v>⚠️ À vérifier</v>
      </c>
      <c r="T57" t="str">
        <f>IF(S57="","",IF(S57="OK (Autre)","Diagnostic générique = 'Autre – …'",IF(S57="OK","Concordance générique/principal","Écart entre générique et principal")))</f>
        <v>Écart entre générique et principal</v>
      </c>
      <c r="U57" t="str" cm="1">
        <f t="array" ref="U57">_xlfn.LET(_xlpm.yr, A57, _xlpm.diag, IF(N57&lt;&gt;"", N57, H57), _xlpm.base, TRIM(SUBSTITUTE(SUBSTITUTE(SUBSTITUTE(SUBSTITUTE(_xlpm.diag,"•"," "),CHAR(160)," "),CHAR(10)," "),"  "," ")), LOWER(_xlpm.yr&amp;"|"&amp;_xlpm.base))</f>
        <v>2013|conjonctivite+rhinite allergique</v>
      </c>
      <c r="V57" t="str">
        <f>IFERROR(_xlfn.XLOOKUP($AB57,'Cas 2013-2017'!$K:$K,'Cas 2013-2017'!$D:$D,""),"")</f>
        <v/>
      </c>
      <c r="W57" t="str">
        <f>IFERROR(_xlfn.XLOOKUP($AB57,'Cas 2013-2017'!$K:$K,'Cas 2013-2017'!$E:$E,""),"")</f>
        <v/>
      </c>
      <c r="X57" t="str">
        <f>IFERROR(_xlfn.XLOOKUP($AB57,'Cas 2013-2017'!$K:$K,'Cas 2013-2017'!$F:$F,""),"")</f>
        <v/>
      </c>
      <c r="Y57" t="str">
        <f>IFERROR(_xlfn.XLOOKUP($AB57,'Cas 2013-2017'!$K:$K,'Cas 2013-2017'!$G:$G,""),"")</f>
        <v/>
      </c>
      <c r="Z57" t="str">
        <f>IFERROR(_xlfn.XLOOKUP($AB57,'Cas 2013-2017'!$K:$K,'Cas 2013-2017'!$I:$I,""),"")</f>
        <v/>
      </c>
      <c r="AA57" t="str">
        <f>IFERROR(_xlfn.XLOOKUP($AB57,'Cas 2013-2017'!$K:$K,'Cas 2013-2017'!$H:$H,""),"")</f>
        <v/>
      </c>
      <c r="AB57" t="str">
        <f>LOWER($A57 &amp; "|" &amp; $AF57)</f>
        <v>2013|conjonctivite+rhinite allergique</v>
      </c>
      <c r="AC57" t="str">
        <f>TRIM(SUBSTITUTE(SUBSTITUTE(SUBSTITUTE(SUBSTITUTE(" " &amp; LOWER(TRIM(IF($N57&lt;&gt;"", $N57, $H57))) &amp; " ", " aomi ", " arteriopathie des membres inferieurs "), " hta ", " hypertension arterielle "), " saos ", " syndrome d'apnees obstructives du sommeil "), " rgo ", " reflux gastro-oesophagien ") )</f>
        <v>conjonctivite+rhinite allergique</v>
      </c>
      <c r="AD57" t="str">
        <f>TRIM(SUBSTITUTE(SUBSTITUTE(SUBSTITUTE(SUBSTITUTE(" " &amp; LOWER(TRIM($AC57)) &amp; " ", " oacr ", " occlusion de l'artere centrale de la retine "), " hsd ", " hematome sous-dural "), " fa ", " fibrillation auriculaire "), " ep ", " embolie pulmonaire ") )</f>
        <v>conjonctivite+rhinite allergique</v>
      </c>
      <c r="AE57" t="str" cm="1">
        <f t="array" ref="AE57">_xlfn.LET(_xlpm.base, " " &amp; LOWER(TRIM($AD57))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conjonctivite+rhinite allergique</v>
      </c>
      <c r="AF57" t="str" cm="1">
        <f t="array" ref="AF57">_xlfn.LET(_xlpm.base, " " &amp; LOWER(TRIM($AE57))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conjonctivite+rhinite allergique</v>
      </c>
    </row>
    <row r="58" spans="1:32" ht="33.75">
      <c r="A58" s="8">
        <v>2013</v>
      </c>
      <c r="B58" s="10" t="s">
        <v>115</v>
      </c>
      <c r="C58" s="8" t="s">
        <v>33</v>
      </c>
      <c r="D58" s="20">
        <v>28</v>
      </c>
      <c r="E58" s="11" t="str">
        <f>IF(D58="","",IFERROR(INDEX(SSP!$E$2:$E$266, MATCH(D58, SSP!$F$2:$F$266, 0)),""))</f>
        <v>Troubles de l’audition : hyperacousie, hypoacousie, surdité, acouphènes</v>
      </c>
      <c r="F58" s="11" t="str">
        <f>Feuil1!E58</f>
        <v>Trouble de l'audition</v>
      </c>
      <c r="G58" s="12" t="s">
        <v>254</v>
      </c>
      <c r="H58" s="13" t="s">
        <v>255</v>
      </c>
      <c r="I58" s="13"/>
      <c r="J58" s="15" t="s">
        <v>256</v>
      </c>
      <c r="K58" s="9" t="s">
        <v>33</v>
      </c>
      <c r="L58" s="9" t="s">
        <v>33</v>
      </c>
      <c r="M58" s="9" t="s">
        <v>33</v>
      </c>
      <c r="N58" t="s">
        <v>257</v>
      </c>
      <c r="O58" t="str">
        <f>IFERROR(_xlfn.XLOOKUP($D58, SSP!$F:$F, SSP!$E:$E, "Inconnu"), "")</f>
        <v>Troubles de l’audition : hyperacousie, hypoacousie, surdité, acouphènes</v>
      </c>
      <c r="P58" t="str">
        <f>IF(OR(E58="", O58=""), "", IF(LOWER(E58)=LOWER(O58), "OK", "⚠️ Libellé ≠ n°"))</f>
        <v>OK</v>
      </c>
      <c r="Q58" t="str">
        <f>IF(Feuil1!$E58="", "", IF(LOWER(Feuil1!$E58)=LOWER(E58), "Identique", "Différent"))</f>
        <v>Différent</v>
      </c>
      <c r="R58" t="str">
        <f>IF(OR(P58="⚠️ Libellé ≠ n°", O58="Inconnu"), "⚠️", IF(Q58="Différent", "ℹ️", ""))</f>
        <v>ℹ️</v>
      </c>
      <c r="S58" t="str" cm="1">
        <f t="array" ref="S58">_xlfn.LET(_xlpm.genCat,IFERROR(LOWER(TRIM(G58)),""),_xlpm.principal,IFERROR(LOWER(TRIM(H58)),""),_xlpm.orig,IFERROR(LOWER(TRIM(N58)),""),IF(OR(_xlpm.genCat="",_xlpm.principal=""),"",IF(LEFT(LOWER(G58),5)="autre","OK (Autre)",IF(OR(ISNUMBER(SEARCH(_xlpm.genCat,_xlpm.principal)),ISNUMBER(SEARCH(_xlpm.principal,_xlpm.genCat)),AND(_xlpm.orig&lt;&gt;"",OR(ISNUMBER(SEARCH(_xlpm.genCat,_xlpm.orig)),ISNUMBER(SEARCH(_xlpm.orig,_xlpm.genCat))))),"OK","⚠️ À vérifier"))))</f>
        <v>⚠️ À vérifier</v>
      </c>
      <c r="T58" t="str">
        <f>IF(S58="","",IF(S58="OK (Autre)","Diagnostic générique = 'Autre – …'",IF(S58="OK","Concordance générique/principal","Écart entre générique et principal")))</f>
        <v>Écart entre générique et principal</v>
      </c>
      <c r="U58" t="str" cm="1">
        <f t="array" ref="U58">_xlfn.LET(_xlpm.yr, A58, _xlpm.diag, IF(N58&lt;&gt;"", N58, H58), _xlpm.base, TRIM(SUBSTITUTE(SUBSTITUTE(SUBSTITUTE(SUBSTITUTE(_xlpm.diag,"•"," "),CHAR(160)," "),CHAR(10)," "),"  "," ")), LOWER(_xlpm.yr&amp;"|"&amp;_xlpm.base))</f>
        <v>2013|otosclérose</v>
      </c>
      <c r="V58" t="str">
        <f>IFERROR(_xlfn.XLOOKUP($AB58,'Cas 2013-2017'!$K:$K,'Cas 2013-2017'!$D:$D,""),"")</f>
        <v/>
      </c>
      <c r="W58" t="str">
        <f>IFERROR(_xlfn.XLOOKUP($AB58,'Cas 2013-2017'!$K:$K,'Cas 2013-2017'!$E:$E,""),"")</f>
        <v/>
      </c>
      <c r="X58" t="str">
        <f>IFERROR(_xlfn.XLOOKUP($AB58,'Cas 2013-2017'!$K:$K,'Cas 2013-2017'!$F:$F,""),"")</f>
        <v/>
      </c>
      <c r="Y58" t="str">
        <f>IFERROR(_xlfn.XLOOKUP($AB58,'Cas 2013-2017'!$K:$K,'Cas 2013-2017'!$G:$G,""),"")</f>
        <v/>
      </c>
      <c r="Z58" t="str">
        <f>IFERROR(_xlfn.XLOOKUP($AB58,'Cas 2013-2017'!$K:$K,'Cas 2013-2017'!$I:$I,""),"")</f>
        <v/>
      </c>
      <c r="AA58" t="str">
        <f>IFERROR(_xlfn.XLOOKUP($AB58,'Cas 2013-2017'!$K:$K,'Cas 2013-2017'!$H:$H,""),"")</f>
        <v/>
      </c>
      <c r="AB58" t="str">
        <f>LOWER($A58 &amp; "|" &amp; $AF58)</f>
        <v>2013|otosclérose</v>
      </c>
      <c r="AC58" t="str">
        <f>TRIM(SUBSTITUTE(SUBSTITUTE(SUBSTITUTE(SUBSTITUTE(" " &amp; LOWER(TRIM(IF($N58&lt;&gt;"", $N58, $H58))) &amp; " ", " aomi ", " arteriopathie des membres inferieurs "), " hta ", " hypertension arterielle "), " saos ", " syndrome d'apnees obstructives du sommeil "), " rgo ", " reflux gastro-oesophagien ") )</f>
        <v>otosclérose</v>
      </c>
      <c r="AD58" t="str">
        <f>TRIM(SUBSTITUTE(SUBSTITUTE(SUBSTITUTE(SUBSTITUTE(" " &amp; LOWER(TRIM($AC58)) &amp; " ", " oacr ", " occlusion de l'artere centrale de la retine "), " hsd ", " hematome sous-dural "), " fa ", " fibrillation auriculaire "), " ep ", " embolie pulmonaire ") )</f>
        <v>otosclérose</v>
      </c>
      <c r="AE58" t="str" cm="1">
        <f t="array" ref="AE58">_xlfn.LET(_xlpm.base, " " &amp; LOWER(TRIM($AD58))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otosclérose</v>
      </c>
      <c r="AF58" t="str" cm="1">
        <f t="array" ref="AF58">_xlfn.LET(_xlpm.base, " " &amp; LOWER(TRIM($AE58))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otosclérose</v>
      </c>
    </row>
    <row r="59" spans="1:32" ht="33.75">
      <c r="A59" s="8">
        <v>2013</v>
      </c>
      <c r="B59" s="10" t="s">
        <v>133</v>
      </c>
      <c r="C59" s="8" t="s">
        <v>33</v>
      </c>
      <c r="D59" s="20">
        <v>46</v>
      </c>
      <c r="E59" s="11" t="str">
        <f>IF(D59="","",IFERROR(INDEX(SSP!$E$2:$E$266, MATCH(D59, SSP!$F$2:$F$266, 0)),""))</f>
        <v>Dyspnée</v>
      </c>
      <c r="F59" s="11" t="str">
        <f>Feuil1!E59</f>
        <v>Dyspnée</v>
      </c>
      <c r="G59" s="12" t="s">
        <v>258</v>
      </c>
      <c r="H59" s="13" t="s">
        <v>259</v>
      </c>
      <c r="I59" s="13"/>
      <c r="J59" s="15" t="s">
        <v>260</v>
      </c>
      <c r="K59" s="9" t="s">
        <v>261</v>
      </c>
      <c r="L59" s="9" t="s">
        <v>33</v>
      </c>
      <c r="M59" s="9" t="s">
        <v>33</v>
      </c>
      <c r="N59" t="s">
        <v>259</v>
      </c>
      <c r="O59" t="str">
        <f>IFERROR(_xlfn.XLOOKUP($D59, SSP!$F:$F, SSP!$E:$E, "Inconnu"), "")</f>
        <v>Dyspnée</v>
      </c>
      <c r="P59" t="str">
        <f>IF(OR(E59="", O59=""), "", IF(LOWER(E59)=LOWER(O59), "OK", "⚠️ Libellé ≠ n°"))</f>
        <v>OK</v>
      </c>
      <c r="Q59" t="str">
        <f>IF(Feuil1!$E59="", "", IF(LOWER(Feuil1!$E59)=LOWER(E59), "Identique", "Différent"))</f>
        <v>Identique</v>
      </c>
      <c r="R59" t="str">
        <f>IF(OR(P59="⚠️ Libellé ≠ n°", O59="Inconnu"), "⚠️", IF(Q59="Différent", "ℹ️", ""))</f>
        <v/>
      </c>
      <c r="S59" t="str" cm="1">
        <f t="array" ref="S59">_xlfn.LET(_xlpm.genCat,IFERROR(LOWER(TRIM(G59)),""),_xlpm.principal,IFERROR(LOWER(TRIM(H59)),""),_xlpm.orig,IFERROR(LOWER(TRIM(N59)),""),IF(OR(_xlpm.genCat="",_xlpm.principal=""),"",IF(LEFT(LOWER(G59),5)="autre","OK (Autre)",IF(OR(ISNUMBER(SEARCH(_xlpm.genCat,_xlpm.principal)),ISNUMBER(SEARCH(_xlpm.principal,_xlpm.genCat)),AND(_xlpm.orig&lt;&gt;"",OR(ISNUMBER(SEARCH(_xlpm.genCat,_xlpm.orig)),ISNUMBER(SEARCH(_xlpm.orig,_xlpm.genCat))))),"OK","⚠️ À vérifier"))))</f>
        <v>⚠️ À vérifier</v>
      </c>
      <c r="T59" t="str">
        <f>IF(S59="","",IF(S59="OK (Autre)","Diagnostic générique = 'Autre – …'",IF(S59="OK","Concordance générique/principal","Écart entre générique et principal")))</f>
        <v>Écart entre générique et principal</v>
      </c>
      <c r="U59" t="str" cm="1">
        <f t="array" ref="U59">_xlfn.LET(_xlpm.yr, A59, _xlpm.diag, IF(N59&lt;&gt;"", N59, H59), _xlpm.base, TRIM(SUBSTITUTE(SUBSTITUTE(SUBSTITUTE(SUBSTITUTE(_xlpm.diag,"•"," "),CHAR(160)," "),CHAR(10)," "),"  "," ")), LOWER(_xlpm.yr&amp;"|"&amp;_xlpm.base))</f>
        <v>2013|bronchiolite</v>
      </c>
      <c r="V59" t="str">
        <f>IFERROR(_xlfn.XLOOKUP($AB59,'Cas 2013-2017'!$K:$K,'Cas 2013-2017'!$D:$D,""),"")</f>
        <v/>
      </c>
      <c r="W59" t="str">
        <f>IFERROR(_xlfn.XLOOKUP($AB59,'Cas 2013-2017'!$K:$K,'Cas 2013-2017'!$E:$E,""),"")</f>
        <v/>
      </c>
      <c r="X59" t="str">
        <f>IFERROR(_xlfn.XLOOKUP($AB59,'Cas 2013-2017'!$K:$K,'Cas 2013-2017'!$F:$F,""),"")</f>
        <v/>
      </c>
      <c r="Y59" t="str">
        <f>IFERROR(_xlfn.XLOOKUP($AB59,'Cas 2013-2017'!$K:$K,'Cas 2013-2017'!$G:$G,""),"")</f>
        <v/>
      </c>
      <c r="Z59" t="str">
        <f>IFERROR(_xlfn.XLOOKUP($AB59,'Cas 2013-2017'!$K:$K,'Cas 2013-2017'!$I:$I,""),"")</f>
        <v/>
      </c>
      <c r="AA59" t="str">
        <f>IFERROR(_xlfn.XLOOKUP($AB59,'Cas 2013-2017'!$K:$K,'Cas 2013-2017'!$H:$H,""),"")</f>
        <v/>
      </c>
      <c r="AB59" t="str">
        <f>LOWER($A59 &amp; "|" &amp; $AF59)</f>
        <v>2013|bronchiolite</v>
      </c>
      <c r="AC59" t="str">
        <f>TRIM(SUBSTITUTE(SUBSTITUTE(SUBSTITUTE(SUBSTITUTE(" " &amp; LOWER(TRIM(IF($N59&lt;&gt;"", $N59, $H59))) &amp; " ", " aomi ", " arteriopathie des membres inferieurs "), " hta ", " hypertension arterielle "), " saos ", " syndrome d'apnees obstructives du sommeil "), " rgo ", " reflux gastro-oesophagien ") )</f>
        <v>bronchiolite</v>
      </c>
      <c r="AD59" t="str">
        <f>TRIM(SUBSTITUTE(SUBSTITUTE(SUBSTITUTE(SUBSTITUTE(" " &amp; LOWER(TRIM($AC59)) &amp; " ", " oacr ", " occlusion de l'artere centrale de la retine "), " hsd ", " hematome sous-dural "), " fa ", " fibrillation auriculaire "), " ep ", " embolie pulmonaire ") )</f>
        <v>bronchiolite</v>
      </c>
      <c r="AE59" t="str" cm="1">
        <f t="array" ref="AE59">_xlfn.LET(_xlpm.base, " " &amp; LOWER(TRIM($AD59))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bronchiolite</v>
      </c>
      <c r="AF59" t="str" cm="1">
        <f t="array" ref="AF59">_xlfn.LET(_xlpm.base, " " &amp; LOWER(TRIM($AE59))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bronchiolite</v>
      </c>
    </row>
    <row r="60" spans="1:32" ht="33.75">
      <c r="A60" s="8">
        <v>2013</v>
      </c>
      <c r="B60" s="10" t="s">
        <v>91</v>
      </c>
      <c r="C60" s="8" t="s">
        <v>33</v>
      </c>
      <c r="D60" s="20">
        <v>6</v>
      </c>
      <c r="E60" s="11" t="str">
        <f>IF(D60="","",IFERROR(INDEX(SSP!$E$2:$E$266, MATCH(D60, SSP!$F$2:$F$266, 0)),""))</f>
        <v>Fièvre, frissons, hyperthermie</v>
      </c>
      <c r="F60" s="11" t="str">
        <f>Feuil1!E60</f>
        <v>Fièvre</v>
      </c>
      <c r="G60" s="12" t="s">
        <v>160</v>
      </c>
      <c r="H60" s="13" t="s">
        <v>262</v>
      </c>
      <c r="I60" s="13"/>
      <c r="J60" s="15" t="s">
        <v>263</v>
      </c>
      <c r="K60" s="9" t="s">
        <v>264</v>
      </c>
      <c r="L60" s="9" t="s">
        <v>33</v>
      </c>
      <c r="M60" s="9" t="s">
        <v>33</v>
      </c>
      <c r="N60" t="s">
        <v>262</v>
      </c>
      <c r="O60" t="str">
        <f>IFERROR(_xlfn.XLOOKUP($D60, SSP!$F:$F, SSP!$E:$E, "Inconnu"), "")</f>
        <v>Fièvre, frissons, hyperthermie</v>
      </c>
      <c r="P60" t="str">
        <f>IF(OR(E60="", O60=""), "", IF(LOWER(E60)=LOWER(O60), "OK", "⚠️ Libellé ≠ n°"))</f>
        <v>OK</v>
      </c>
      <c r="Q60" t="str">
        <f>IF(Feuil1!$E60="", "", IF(LOWER(Feuil1!$E60)=LOWER(E60), "Identique", "Différent"))</f>
        <v>Différent</v>
      </c>
      <c r="R60" t="str">
        <f>IF(OR(P60="⚠️ Libellé ≠ n°", O60="Inconnu"), "⚠️", IF(Q60="Différent", "ℹ️", ""))</f>
        <v>ℹ️</v>
      </c>
      <c r="S60" t="str" cm="1">
        <f t="array" ref="S60">_xlfn.LET(_xlpm.genCat,IFERROR(LOWER(TRIM(G60)),""),_xlpm.principal,IFERROR(LOWER(TRIM(H60)),""),_xlpm.orig,IFERROR(LOWER(TRIM(N60)),""),IF(OR(_xlpm.genCat="",_xlpm.principal=""),"",IF(LEFT(LOWER(G60),5)="autre","OK (Autre)",IF(OR(ISNUMBER(SEARCH(_xlpm.genCat,_xlpm.principal)),ISNUMBER(SEARCH(_xlpm.principal,_xlpm.genCat)),AND(_xlpm.orig&lt;&gt;"",OR(ISNUMBER(SEARCH(_xlpm.genCat,_xlpm.orig)),ISNUMBER(SEARCH(_xlpm.orig,_xlpm.genCat))))),"OK","⚠️ À vérifier"))))</f>
        <v>OK (Autre)</v>
      </c>
      <c r="T60" t="str">
        <f>IF(S60="","",IF(S60="OK (Autre)","Diagnostic générique = 'Autre – …'",IF(S60="OK","Concordance générique/principal","Écart entre générique et principal")))</f>
        <v>Diagnostic générique = 'Autre – …'</v>
      </c>
      <c r="U60" t="str" cm="1">
        <f t="array" ref="U60">_xlfn.LET(_xlpm.yr, A60, _xlpm.diag, IF(N60&lt;&gt;"", N60, H60), _xlpm.base, TRIM(SUBSTITUTE(SUBSTITUTE(SUBSTITUTE(SUBSTITUTE(_xlpm.diag,"•"," "),CHAR(160)," "),CHAR(10)," "),"  "," ")), LOWER(_xlpm.yr&amp;"|"&amp;_xlpm.base))</f>
        <v>2013|convulsions fébriles (sur oma)</v>
      </c>
      <c r="V60" t="str">
        <f>IFERROR(_xlfn.XLOOKUP($AB60,'Cas 2013-2017'!$K:$K,'Cas 2013-2017'!$D:$D,""),"")</f>
        <v/>
      </c>
      <c r="W60" t="str">
        <f>IFERROR(_xlfn.XLOOKUP($AB60,'Cas 2013-2017'!$K:$K,'Cas 2013-2017'!$E:$E,""),"")</f>
        <v/>
      </c>
      <c r="X60" t="str">
        <f>IFERROR(_xlfn.XLOOKUP($AB60,'Cas 2013-2017'!$K:$K,'Cas 2013-2017'!$F:$F,""),"")</f>
        <v/>
      </c>
      <c r="Y60" t="str">
        <f>IFERROR(_xlfn.XLOOKUP($AB60,'Cas 2013-2017'!$K:$K,'Cas 2013-2017'!$G:$G,""),"")</f>
        <v/>
      </c>
      <c r="Z60" t="str">
        <f>IFERROR(_xlfn.XLOOKUP($AB60,'Cas 2013-2017'!$K:$K,'Cas 2013-2017'!$I:$I,""),"")</f>
        <v/>
      </c>
      <c r="AA60" t="str">
        <f>IFERROR(_xlfn.XLOOKUP($AB60,'Cas 2013-2017'!$K:$K,'Cas 2013-2017'!$H:$H,""),"")</f>
        <v/>
      </c>
      <c r="AB60" t="str">
        <f>LOWER($A60 &amp; "|" &amp; $AF60)</f>
        <v>2013|convulsions fébriles (sur oma)</v>
      </c>
      <c r="AC60" t="str">
        <f>TRIM(SUBSTITUTE(SUBSTITUTE(SUBSTITUTE(SUBSTITUTE(" " &amp; LOWER(TRIM(IF($N60&lt;&gt;"", $N60, $H60))) &amp; " ", " aomi ", " arteriopathie des membres inferieurs "), " hta ", " hypertension arterielle "), " saos ", " syndrome d'apnees obstructives du sommeil "), " rgo ", " reflux gastro-oesophagien ") )</f>
        <v>convulsions fébriles (sur oma)</v>
      </c>
      <c r="AD60" t="str">
        <f>TRIM(SUBSTITUTE(SUBSTITUTE(SUBSTITUTE(SUBSTITUTE(" " &amp; LOWER(TRIM($AC60)) &amp; " ", " oacr ", " occlusion de l'artere centrale de la retine "), " hsd ", " hematome sous-dural "), " fa ", " fibrillation auriculaire "), " ep ", " embolie pulmonaire ") )</f>
        <v>convulsions fébriles (sur oma)</v>
      </c>
      <c r="AE60" t="str" cm="1">
        <f t="array" ref="AE60">_xlfn.LET(_xlpm.base, " " &amp; LOWER(TRIM($AD60))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convulsions fébriles (sur oma)</v>
      </c>
      <c r="AF60" t="str" cm="1">
        <f t="array" ref="AF60">_xlfn.LET(_xlpm.base, " " &amp; LOWER(TRIM($AE60))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convulsions fébriles (sur oma)</v>
      </c>
    </row>
    <row r="61" spans="1:32" ht="50.25">
      <c r="A61" s="8">
        <v>2013</v>
      </c>
      <c r="B61" s="10" t="s">
        <v>82</v>
      </c>
      <c r="C61" s="8" t="s">
        <v>33</v>
      </c>
      <c r="D61" s="20">
        <v>10</v>
      </c>
      <c r="E61" s="11" t="str">
        <f>IF(D61="","",IFERROR(INDEX(SSP!$E$2:$E$266, MATCH(D61, SSP!$F$2:$F$266, 0)),""))</f>
        <v>Douleur (toutes localisations et types confondus)</v>
      </c>
      <c r="F61" s="11" t="str">
        <f>Feuil1!E61</f>
        <v>Douleur genou</v>
      </c>
      <c r="G61" s="12" t="s">
        <v>83</v>
      </c>
      <c r="H61" s="13" t="s">
        <v>265</v>
      </c>
      <c r="I61" s="13" t="s">
        <v>266</v>
      </c>
      <c r="J61" s="15" t="s">
        <v>267</v>
      </c>
      <c r="K61" s="9" t="s">
        <v>268</v>
      </c>
      <c r="L61" s="9" t="s">
        <v>269</v>
      </c>
      <c r="M61" s="9" t="s">
        <v>270</v>
      </c>
      <c r="N61" t="s">
        <v>265</v>
      </c>
      <c r="O61" t="str">
        <f>IFERROR(_xlfn.XLOOKUP($D61, SSP!$F:$F, SSP!$E:$E, "Inconnu"), "")</f>
        <v>Douleur (toutes localisations et types confondus)</v>
      </c>
      <c r="P61" t="str">
        <f>IF(OR(E61="", O61=""), "", IF(LOWER(E61)=LOWER(O61), "OK", "⚠️ Libellé ≠ n°"))</f>
        <v>OK</v>
      </c>
      <c r="Q61" t="str">
        <f>IF(Feuil1!$E61="", "", IF(LOWER(Feuil1!$E61)=LOWER(E61), "Identique", "Différent"))</f>
        <v>Différent</v>
      </c>
      <c r="R61" t="str">
        <f>IF(OR(P61="⚠️ Libellé ≠ n°", O61="Inconnu"), "⚠️", IF(Q61="Différent", "ℹ️", ""))</f>
        <v>ℹ️</v>
      </c>
      <c r="S61" t="str" cm="1">
        <f t="array" ref="S61">_xlfn.LET(_xlpm.genCat,IFERROR(LOWER(TRIM(G61)),""),_xlpm.principal,IFERROR(LOWER(TRIM(H61)),""),_xlpm.orig,IFERROR(LOWER(TRIM(N61)),""),IF(OR(_xlpm.genCat="",_xlpm.principal=""),"",IF(LEFT(LOWER(G61),5)="autre","OK (Autre)",IF(OR(ISNUMBER(SEARCH(_xlpm.genCat,_xlpm.principal)),ISNUMBER(SEARCH(_xlpm.principal,_xlpm.genCat)),AND(_xlpm.orig&lt;&gt;"",OR(ISNUMBER(SEARCH(_xlpm.genCat,_xlpm.orig)),ISNUMBER(SEARCH(_xlpm.orig,_xlpm.genCat))))),"OK","⚠️ À vérifier"))))</f>
        <v>OK (Autre)</v>
      </c>
      <c r="T61" t="str">
        <f>IF(S61="","",IF(S61="OK (Autre)","Diagnostic générique = 'Autre – …'",IF(S61="OK","Concordance générique/principal","Écart entre générique et principal")))</f>
        <v>Diagnostic générique = 'Autre – …'</v>
      </c>
      <c r="U61" t="str" cm="1">
        <f t="array" ref="U61">_xlfn.LET(_xlpm.yr, A61, _xlpm.diag, IF(N61&lt;&gt;"", N61, H61), _xlpm.base, TRIM(SUBSTITUTE(SUBSTITUTE(SUBSTITUTE(SUBSTITUTE(_xlpm.diag,"•"," "),CHAR(160)," "),CHAR(10)," "),"  "," ")), LOWER(_xlpm.yr&amp;"|"&amp;_xlpm.base))</f>
        <v>2013|ostéomyélite</v>
      </c>
      <c r="V61" t="str">
        <f>IFERROR(_xlfn.XLOOKUP($AB61,'Cas 2013-2017'!$K:$K,'Cas 2013-2017'!$D:$D,""),"")</f>
        <v>EF à 39°C + douleur de jambe/genou : Anamnèse a faire + reçoit une carte pour le status (léger œdème fémoral distal, genou un peu rouge et chaud). RX dans la norme. Labo : leucocytose, neutrophilie, VS et CRP augmentées. Pdt toute la consult le papa est anxieux.</v>
      </c>
      <c r="W61" t="str">
        <f>IFERROR(_xlfn.XLOOKUP($AB61,'Cas 2013-2017'!$K:$K,'Cas 2013-2017'!$E:$E,""),"")</f>
        <v>EG, fièvre et frissons • Douleur et gonflement local • Rougeur chaleur • Enfant : métaphyse os long • Adulte : vertèbres</v>
      </c>
      <c r="X61" t="str">
        <f>IFERROR(_xlfn.XLOOKUP($AB61,'Cas 2013-2017'!$K:$K,'Cas 2013-2017'!$F:$F,""),"")</f>
        <v>Palpation douloureuse • Tuméfaction • Membre en position antalgique</v>
      </c>
      <c r="Y61" t="str">
        <f>IFERROR(_xlfn.XLOOKUP($AB61,'Cas 2013-2017'!$K:$K,'Cas 2013-2017'!$G:$G,""),"")</f>
        <v>Arthrite septique • Tumeur osseuse</v>
      </c>
      <c r="Z61" t="str">
        <f>IFERROR(_xlfn.XLOOKUP($AB61,'Cas 2013-2017'!$K:$K,'Cas 2013-2017'!$I:$I,""),"")</f>
        <v>Repos/immob du membre • Hospitaliser et AB iv • Si complications =&gt; OP</v>
      </c>
      <c r="AA61" t="str">
        <f>IFERROR(_xlfn.XLOOKUP($AB61,'Cas 2013-2017'!$K:$K,'Cas 2013-2017'!$H:$H,""),"")</f>
        <v>Labo : • Forte augmentation CRP et VS • Leucocytose avec svt déviation gauche • Hémocs !!! • RX svt dans la norme initialement • IRM pour précoce</v>
      </c>
      <c r="AB61" t="str">
        <f>LOWER($A61 &amp; "|" &amp; $AF61)</f>
        <v>2013|ostéomyélite</v>
      </c>
      <c r="AC61" t="str">
        <f>TRIM(SUBSTITUTE(SUBSTITUTE(SUBSTITUTE(SUBSTITUTE(" " &amp; LOWER(TRIM(IF($N61&lt;&gt;"", $N61, $H61))) &amp; " ", " aomi ", " arteriopathie des membres inferieurs "), " hta ", " hypertension arterielle "), " saos ", " syndrome d'apnees obstructives du sommeil "), " rgo ", " reflux gastro-oesophagien ") )</f>
        <v>ostéomyélite</v>
      </c>
      <c r="AD61" t="str">
        <f>TRIM(SUBSTITUTE(SUBSTITUTE(SUBSTITUTE(SUBSTITUTE(" " &amp; LOWER(TRIM($AC61)) &amp; " ", " oacr ", " occlusion de l'artere centrale de la retine "), " hsd ", " hematome sous-dural "), " fa ", " fibrillation auriculaire "), " ep ", " embolie pulmonaire ") )</f>
        <v>ostéomyélite</v>
      </c>
      <c r="AE61" t="str" cm="1">
        <f t="array" ref="AE61">_xlfn.LET(_xlpm.base, " " &amp; LOWER(TRIM($AD61))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ostéomyélite</v>
      </c>
      <c r="AF61" t="str" cm="1">
        <f t="array" ref="AF61">_xlfn.LET(_xlpm.base, " " &amp; LOWER(TRIM($AE61))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ostéomyélite</v>
      </c>
    </row>
    <row r="62" spans="1:32" ht="33.75">
      <c r="A62" s="8">
        <v>2013</v>
      </c>
      <c r="B62" s="10" t="s">
        <v>133</v>
      </c>
      <c r="C62" s="8" t="s">
        <v>33</v>
      </c>
      <c r="D62" s="20">
        <v>46</v>
      </c>
      <c r="E62" s="11" t="str">
        <f>IF(D62="","",IFERROR(INDEX(SSP!$E$2:$E$266, MATCH(D62, SSP!$F$2:$F$266, 0)),""))</f>
        <v>Dyspnée</v>
      </c>
      <c r="F62" s="11" t="str">
        <f>Feuil1!E62</f>
        <v>Dyspnée</v>
      </c>
      <c r="G62" s="12" t="s">
        <v>271</v>
      </c>
      <c r="H62" s="13" t="s">
        <v>272</v>
      </c>
      <c r="I62" s="13"/>
      <c r="J62" s="15" t="s">
        <v>273</v>
      </c>
      <c r="K62" s="9" t="s">
        <v>274</v>
      </c>
      <c r="L62" s="9" t="s">
        <v>33</v>
      </c>
      <c r="M62" s="9" t="s">
        <v>33</v>
      </c>
      <c r="N62" t="s">
        <v>272</v>
      </c>
      <c r="O62" t="str">
        <f>IFERROR(_xlfn.XLOOKUP($D62, SSP!$F:$F, SSP!$E:$E, "Inconnu"), "")</f>
        <v>Dyspnée</v>
      </c>
      <c r="P62" t="str">
        <f>IF(OR(E62="", O62=""), "", IF(LOWER(E62)=LOWER(O62), "OK", "⚠️ Libellé ≠ n°"))</f>
        <v>OK</v>
      </c>
      <c r="Q62" t="str">
        <f>IF(Feuil1!$E62="", "", IF(LOWER(Feuil1!$E62)=LOWER(E62), "Identique", "Différent"))</f>
        <v>Identique</v>
      </c>
      <c r="R62" t="str">
        <f>IF(OR(P62="⚠️ Libellé ≠ n°", O62="Inconnu"), "⚠️", IF(Q62="Différent", "ℹ️", ""))</f>
        <v/>
      </c>
      <c r="S62" t="str" cm="1">
        <f t="array" ref="S62">_xlfn.LET(_xlpm.genCat,IFERROR(LOWER(TRIM(G62)),""),_xlpm.principal,IFERROR(LOWER(TRIM(H62)),""),_xlpm.orig,IFERROR(LOWER(TRIM(N62)),""),IF(OR(_xlpm.genCat="",_xlpm.principal=""),"",IF(LEFT(LOWER(G62),5)="autre","OK (Autre)",IF(OR(ISNUMBER(SEARCH(_xlpm.genCat,_xlpm.principal)),ISNUMBER(SEARCH(_xlpm.principal,_xlpm.genCat)),AND(_xlpm.orig&lt;&gt;"",OR(ISNUMBER(SEARCH(_xlpm.genCat,_xlpm.orig)),ISNUMBER(SEARCH(_xlpm.orig,_xlpm.genCat))))),"OK","⚠️ À vérifier"))))</f>
        <v>OK</v>
      </c>
      <c r="T62" t="str">
        <f>IF(S62="","",IF(S62="OK (Autre)","Diagnostic générique = 'Autre – …'",IF(S62="OK","Concordance générique/principal","Écart entre générique et principal")))</f>
        <v>Concordance générique/principal</v>
      </c>
      <c r="U62" t="str" cm="1">
        <f t="array" ref="U62">_xlfn.LET(_xlpm.yr, A62, _xlpm.diag, IF(N62&lt;&gt;"", N62, H62), _xlpm.base, TRIM(SUBSTITUTE(SUBSTITUTE(SUBSTITUTE(SUBSTITUTE(_xlpm.diag,"•"," "),CHAR(160)," "),CHAR(10)," "),"  "," ")), LOWER(_xlpm.yr&amp;"|"&amp;_xlpm.base))</f>
        <v>2013|bpco entretien rad</v>
      </c>
      <c r="V62" t="str">
        <f>IFERROR(_xlfn.XLOOKUP($AB62,'Cas 2013-2017'!$K:$K,'Cas 2013-2017'!$D:$D,""),"")</f>
        <v/>
      </c>
      <c r="W62" t="str">
        <f>IFERROR(_xlfn.XLOOKUP($AB62,'Cas 2013-2017'!$K:$K,'Cas 2013-2017'!$E:$E,""),"")</f>
        <v/>
      </c>
      <c r="X62" t="str">
        <f>IFERROR(_xlfn.XLOOKUP($AB62,'Cas 2013-2017'!$K:$K,'Cas 2013-2017'!$F:$F,""),"")</f>
        <v/>
      </c>
      <c r="Y62" t="str">
        <f>IFERROR(_xlfn.XLOOKUP($AB62,'Cas 2013-2017'!$K:$K,'Cas 2013-2017'!$G:$G,""),"")</f>
        <v/>
      </c>
      <c r="Z62" t="str">
        <f>IFERROR(_xlfn.XLOOKUP($AB62,'Cas 2013-2017'!$K:$K,'Cas 2013-2017'!$I:$I,""),"")</f>
        <v/>
      </c>
      <c r="AA62" t="str">
        <f>IFERROR(_xlfn.XLOOKUP($AB62,'Cas 2013-2017'!$K:$K,'Cas 2013-2017'!$H:$H,""),"")</f>
        <v/>
      </c>
      <c r="AB62" t="str">
        <f>LOWER($A62 &amp; "|" &amp; $AF62)</f>
        <v>2013|bronchopneumopathie chronique obstructive entretien rad</v>
      </c>
      <c r="AC62" t="str">
        <f>TRIM(SUBSTITUTE(SUBSTITUTE(SUBSTITUTE(SUBSTITUTE(" " &amp; LOWER(TRIM(IF($N62&lt;&gt;"", $N62, $H62))) &amp; " ", " aomi ", " arteriopathie des membres inferieurs "), " hta ", " hypertension arterielle "), " saos ", " syndrome d'apnees obstructives du sommeil "), " rgo ", " reflux gastro-oesophagien ") )</f>
        <v>bpco entretien rad</v>
      </c>
      <c r="AD62" t="str">
        <f>TRIM(SUBSTITUTE(SUBSTITUTE(SUBSTITUTE(SUBSTITUTE(" " &amp; LOWER(TRIM($AC62)) &amp; " ", " oacr ", " occlusion de l'artere centrale de la retine "), " hsd ", " hematome sous-dural "), " fa ", " fibrillation auriculaire "), " ep ", " embolie pulmonaire ") )</f>
        <v>bpco entretien rad</v>
      </c>
      <c r="AE62" t="str" cm="1">
        <f t="array" ref="AE62">_xlfn.LET(_xlpm.base, " " &amp; LOWER(TRIM($AD62))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bronchopneumopathie chronique obstructive entretien rad</v>
      </c>
      <c r="AF62" t="str" cm="1">
        <f t="array" ref="AF62">_xlfn.LET(_xlpm.base, " " &amp; LOWER(TRIM($AE62))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bronchopneumopathie chronique obstructive entretien rad</v>
      </c>
    </row>
    <row r="63" spans="1:32" ht="284.25">
      <c r="A63" s="8">
        <v>2013</v>
      </c>
      <c r="B63" s="10" t="s">
        <v>32</v>
      </c>
      <c r="C63" s="8" t="s">
        <v>33</v>
      </c>
      <c r="D63" s="20">
        <v>46</v>
      </c>
      <c r="E63" s="11" t="str">
        <f>IF(D63="","",IFERROR(INDEX(SSP!$E$2:$E$266, MATCH(D63, SSP!$F$2:$F$266, 0)),""))</f>
        <v>Dyspnée</v>
      </c>
      <c r="F63" s="11" t="str">
        <f>Feuil1!E63</f>
        <v>Dyspnée</v>
      </c>
      <c r="G63" s="12" t="s">
        <v>275</v>
      </c>
      <c r="H63" s="13" t="s">
        <v>276</v>
      </c>
      <c r="I63" s="13" t="s">
        <v>277</v>
      </c>
      <c r="J63" s="15" t="s">
        <v>278</v>
      </c>
      <c r="K63" s="9" t="s">
        <v>279</v>
      </c>
      <c r="L63" s="9" t="s">
        <v>280</v>
      </c>
      <c r="M63" s="9" t="s">
        <v>281</v>
      </c>
      <c r="N63" t="s">
        <v>282</v>
      </c>
      <c r="O63" t="str">
        <f>IFERROR(_xlfn.XLOOKUP($D63, SSP!$F:$F, SSP!$E:$E, "Inconnu"), "")</f>
        <v>Dyspnée</v>
      </c>
      <c r="P63" t="str">
        <f>IF(OR(E63="", O63=""), "", IF(LOWER(E63)=LOWER(O63), "OK", "⚠️ Libellé ≠ n°"))</f>
        <v>OK</v>
      </c>
      <c r="Q63" t="str">
        <f>IF(Feuil1!$E63="", "", IF(LOWER(Feuil1!$E63)=LOWER(E63), "Identique", "Différent"))</f>
        <v>Identique</v>
      </c>
      <c r="R63" t="str">
        <f>IF(OR(P63="⚠️ Libellé ≠ n°", O63="Inconnu"), "⚠️", IF(Q63="Différent", "ℹ️", ""))</f>
        <v/>
      </c>
      <c r="S63" t="str" cm="1">
        <f t="array" ref="S63">_xlfn.LET(_xlpm.genCat,IFERROR(LOWER(TRIM(G63)),""),_xlpm.principal,IFERROR(LOWER(TRIM(H63)),""),_xlpm.orig,IFERROR(LOWER(TRIM(N63)),""),IF(OR(_xlpm.genCat="",_xlpm.principal=""),"",IF(LEFT(LOWER(G63),5)="autre","OK (Autre)",IF(OR(ISNUMBER(SEARCH(_xlpm.genCat,_xlpm.principal)),ISNUMBER(SEARCH(_xlpm.principal,_xlpm.genCat)),AND(_xlpm.orig&lt;&gt;"",OR(ISNUMBER(SEARCH(_xlpm.genCat,_xlpm.orig)),ISNUMBER(SEARCH(_xlpm.orig,_xlpm.genCat))))),"OK","⚠️ À vérifier"))))</f>
        <v>⚠️ À vérifier</v>
      </c>
      <c r="T63" t="str">
        <f>IF(S63="","",IF(S63="OK (Autre)","Diagnostic générique = 'Autre – …'",IF(S63="OK","Concordance générique/principal","Écart entre générique et principal")))</f>
        <v>Écart entre générique et principal</v>
      </c>
      <c r="U63" t="str" cm="1">
        <f t="array" ref="U63">_xlfn.LET(_xlpm.yr, A63, _xlpm.diag, IF(N63&lt;&gt;"", N63, H63), _xlpm.base, TRIM(SUBSTITUTE(SUBSTITUTE(SUBSTITUTE(SUBSTITUTE(_xlpm.diag,"•"," "),CHAR(160)," "),CHAR(10)," "),"  "," ")), LOWER(_xlpm.yr&amp;"|"&amp;_xlpm.base))</f>
        <v>2013|ep</v>
      </c>
      <c r="V63" t="str">
        <f>IFERROR(_xlfn.XLOOKUP($AB63,'Cas 2013-2017'!$K:$K,'Cas 2013-2017'!$D:$D,""),"")</f>
        <v>Patiente de 28 ans vient pour une dyspnée aigue nouvelle</v>
      </c>
      <c r="W63" t="str">
        <f>IFERROR(_xlfn.XLOOKUP($AB63,'Cas 2013-2017'!$K:$K,'Cas 2013-2017'!$E:$E,""),"")</f>
        <v>Dyspnée depuis quand? Condition de survenue? Progression? Respiration superficielle ? augmentation de la FR ? Facteur aggravant/soulageant? premier épisode ? Douleur associée (poitrine/jambe)? Palpitation ? Syncope? toux ? Expectoration? Asthme? sifflement? • FRCV, FR TVP douleur de jambe? œdème? antécédents familiaux? OP récente ? Voyage ? Néoplasie ? Coagulopathie ? Grossesse ? œstrogène ? Varices ? • symptômes généraux? Antécédents maladie chirurgie médicament allergie? habitude de vie OH tabac drogue home?</v>
      </c>
      <c r="X63" t="str">
        <f>IFERROR(_xlfn.XLOOKUP($AB63,'Cas 2013-2017'!$K:$K,'Cas 2013-2017'!$F:$F,""),"")</f>
        <v>Status cardiovasculaire (aussi œdème des MI, signe de Homans) • Status pulmonaire</v>
      </c>
      <c r="Y63" t="str">
        <f>IFERROR(_xlfn.XLOOKUP($AB63,'Cas 2013-2017'!$K:$K,'Cas 2013-2017'!$G:$G,""),"")</f>
        <v>Pneumothorax • Infarctus du myocarde • Pneumonie atypique • TVP/EP</v>
      </c>
      <c r="Z63" t="str">
        <f>IFERROR(_xlfn.XLOOKUP($AB63,'Cas 2013-2017'!$K:$K,'Cas 2013-2017'!$I:$I,""),"")</f>
        <v>Hospitalisation • stabiliser le patient si instable (remplissage si hypotension) O2 selon sat02 • Héparine IV</v>
      </c>
      <c r="AA63" t="str">
        <f>IFERROR(_xlfn.XLOOKUP($AB63,'Cas 2013-2017'!$K:$K,'Cas 2013-2017'!$H:$H,""),"")</f>
        <v>ECG • TA ddc • Gazométrie, Sat02, T° • FSS, D-dimère, crase • Créat, électrolytes, CK, Troponines • Angio-CT selon FR • US doppler des MI selon FR</v>
      </c>
      <c r="AB63" t="str">
        <f>LOWER($A63 &amp; "|" &amp; $AF63)</f>
        <v>2013|embolie pulmonaire</v>
      </c>
      <c r="AC63" t="str">
        <f>TRIM(SUBSTITUTE(SUBSTITUTE(SUBSTITUTE(SUBSTITUTE(" " &amp; LOWER(TRIM(IF($N63&lt;&gt;"", $N63, $H63))) &amp; " ", " aomi ", " arteriopathie des membres inferieurs "), " hta ", " hypertension arterielle "), " saos ", " syndrome d'apnees obstructives du sommeil "), " rgo ", " reflux gastro-oesophagien ") )</f>
        <v>ep</v>
      </c>
      <c r="AD63" t="str">
        <f>TRIM(SUBSTITUTE(SUBSTITUTE(SUBSTITUTE(SUBSTITUTE(" " &amp; LOWER(TRIM($AC63)) &amp; " ", " oacr ", " occlusion de l'artere centrale de la retine "), " hsd ", " hematome sous-dural "), " fa ", " fibrillation auriculaire "), " ep ", " embolie pulmonaire ") )</f>
        <v>embolie pulmonaire</v>
      </c>
      <c r="AE63" t="str" cm="1">
        <f t="array" ref="AE63">_xlfn.LET(_xlpm.base, " " &amp; LOWER(TRIM($AD63))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embolie pulmonaire</v>
      </c>
      <c r="AF63" t="str" cm="1">
        <f t="array" ref="AF63">_xlfn.LET(_xlpm.base, " " &amp; LOWER(TRIM($AE63))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embolie pulmonaire</v>
      </c>
    </row>
    <row r="64" spans="1:32" ht="33.75">
      <c r="A64" s="8">
        <v>2013</v>
      </c>
      <c r="B64" s="10" t="s">
        <v>82</v>
      </c>
      <c r="C64" s="8" t="s">
        <v>33</v>
      </c>
      <c r="D64" s="20">
        <v>45</v>
      </c>
      <c r="E64" s="11" t="str">
        <f>IF(D64="","",IFERROR(INDEX(SSP!$E$2:$E$266, MATCH(D64, SSP!$F$2:$F$266, 0)),""))</f>
        <v>Toux, expectoration, hémoptysie</v>
      </c>
      <c r="F64" s="11" t="str">
        <f>Feuil1!E64</f>
        <v>Toux</v>
      </c>
      <c r="G64" s="12" t="s">
        <v>83</v>
      </c>
      <c r="H64" s="13"/>
      <c r="I64" s="13"/>
      <c r="J64" s="15" t="s">
        <v>283</v>
      </c>
      <c r="K64" s="9" t="s">
        <v>33</v>
      </c>
      <c r="L64" s="9" t="s">
        <v>33</v>
      </c>
      <c r="M64" s="9" t="s">
        <v>33</v>
      </c>
      <c r="N64" t="s">
        <v>33</v>
      </c>
      <c r="O64" t="str">
        <f>IFERROR(_xlfn.XLOOKUP($D64, SSP!$F:$F, SSP!$E:$E, "Inconnu"), "")</f>
        <v>Toux, expectoration, hémoptysie</v>
      </c>
      <c r="P64" t="str">
        <f>IF(OR(E64="", O64=""), "", IF(LOWER(E64)=LOWER(O64), "OK", "⚠️ Libellé ≠ n°"))</f>
        <v>OK</v>
      </c>
      <c r="Q64" t="str">
        <f>IF(Feuil1!$E64="", "", IF(LOWER(Feuil1!$E64)=LOWER(E64), "Identique", "Différent"))</f>
        <v>Différent</v>
      </c>
      <c r="R64" t="str">
        <f>IF(OR(P64="⚠️ Libellé ≠ n°", O64="Inconnu"), "⚠️", IF(Q64="Différent", "ℹ️", ""))</f>
        <v>ℹ️</v>
      </c>
      <c r="S64" t="str" cm="1">
        <f t="array" ref="S64">_xlfn.LET(_xlpm.genCat,IFERROR(LOWER(TRIM(G64)),""),_xlpm.principal,IFERROR(LOWER(TRIM(H64)),""),_xlpm.orig,IFERROR(LOWER(TRIM(N64)),""),IF(OR(_xlpm.genCat="",_xlpm.principal=""),"",IF(LEFT(LOWER(G64),5)="autre","OK (Autre)",IF(OR(ISNUMBER(SEARCH(_xlpm.genCat,_xlpm.principal)),ISNUMBER(SEARCH(_xlpm.principal,_xlpm.genCat)),AND(_xlpm.orig&lt;&gt;"",OR(ISNUMBER(SEARCH(_xlpm.genCat,_xlpm.orig)),ISNUMBER(SEARCH(_xlpm.orig,_xlpm.genCat))))),"OK","⚠️ À vérifier"))))</f>
        <v/>
      </c>
      <c r="T64" t="str">
        <f>IF(S64="","",IF(S64="OK (Autre)","Diagnostic générique = 'Autre – …'",IF(S64="OK","Concordance générique/principal","Écart entre générique et principal")))</f>
        <v/>
      </c>
      <c r="U64" t="str" cm="1">
        <f t="array" ref="U64">_xlfn.LET(_xlpm.yr, A64, _xlpm.diag, IF(N64&lt;&gt;"", N64, H64), _xlpm.base, TRIM(SUBSTITUTE(SUBSTITUTE(SUBSTITUTE(SUBSTITUTE(_xlpm.diag,"•"," "),CHAR(160)," "),CHAR(10)," "),"  "," ")), LOWER(_xlpm.yr&amp;"|"&amp;_xlpm.base))</f>
        <v>2013|</v>
      </c>
      <c r="V64" t="str">
        <f>IFERROR(_xlfn.XLOOKUP($AB64,'Cas 2013-2017'!$K:$K,'Cas 2013-2017'!$D:$D,""),"")</f>
        <v/>
      </c>
      <c r="W64" t="str">
        <f>IFERROR(_xlfn.XLOOKUP($AB64,'Cas 2013-2017'!$K:$K,'Cas 2013-2017'!$E:$E,""),"")</f>
        <v/>
      </c>
      <c r="X64" t="str">
        <f>IFERROR(_xlfn.XLOOKUP($AB64,'Cas 2013-2017'!$K:$K,'Cas 2013-2017'!$F:$F,""),"")</f>
        <v/>
      </c>
      <c r="Y64" t="str">
        <f>IFERROR(_xlfn.XLOOKUP($AB64,'Cas 2013-2017'!$K:$K,'Cas 2013-2017'!$G:$G,""),"")</f>
        <v/>
      </c>
      <c r="Z64" t="str">
        <f>IFERROR(_xlfn.XLOOKUP($AB64,'Cas 2013-2017'!$K:$K,'Cas 2013-2017'!$I:$I,""),"")</f>
        <v/>
      </c>
      <c r="AA64" t="str">
        <f>IFERROR(_xlfn.XLOOKUP($AB64,'Cas 2013-2017'!$K:$K,'Cas 2013-2017'!$H:$H,""),"")</f>
        <v/>
      </c>
      <c r="AB64" t="str">
        <f>LOWER($A64 &amp; "|" &amp; $AF64)</f>
        <v>2013| </v>
      </c>
      <c r="AC64" t="str">
        <f>TRIM(SUBSTITUTE(SUBSTITUTE(SUBSTITUTE(SUBSTITUTE(" " &amp; LOWER(TRIM(IF($N64&lt;&gt;"", $N64, $H64))) &amp; " ", " aomi ", " arteriopathie des membres inferieurs "), " hta ", " hypertension arterielle "), " saos ", " syndrome d'apnees obstructives du sommeil "), " rgo ", " reflux gastro-oesophagien ") )</f>
        <v> </v>
      </c>
      <c r="AD64" t="str">
        <f>TRIM(SUBSTITUTE(SUBSTITUTE(SUBSTITUTE(SUBSTITUTE(" " &amp; LOWER(TRIM($AC64)) &amp; " ", " oacr ", " occlusion de l'artere centrale de la retine "), " hsd ", " hematome sous-dural "), " fa ", " fibrillation auriculaire "), " ep ", " embolie pulmonaire ") )</f>
        <v> </v>
      </c>
      <c r="AE64" t="str" cm="1">
        <f t="array" ref="AE64">_xlfn.LET(_xlpm.base, " " &amp; LOWER(TRIM($AD64))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64" t="str" cm="1">
        <f t="array" ref="AF64">_xlfn.LET(_xlpm.base, " " &amp; LOWER(TRIM($AE64))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65" spans="1:32" ht="84">
      <c r="A65" s="8">
        <v>2013</v>
      </c>
      <c r="B65" s="10" t="s">
        <v>141</v>
      </c>
      <c r="C65" s="8" t="s">
        <v>33</v>
      </c>
      <c r="D65" s="20">
        <v>120</v>
      </c>
      <c r="E65" s="11" t="str">
        <f>IF(D65="","",IFERROR(INDEX(SSP!$E$2:$E$266, MATCH(D65, SSP!$F$2:$F$266, 0)),""))</f>
        <v>Modification du comportement</v>
      </c>
      <c r="F65" s="11" t="str">
        <f>Feuil1!E65</f>
        <v>Psychose</v>
      </c>
      <c r="G65" s="12" t="s">
        <v>145</v>
      </c>
      <c r="H65" s="13" t="s">
        <v>284</v>
      </c>
      <c r="I65" s="13"/>
      <c r="J65" s="15" t="s">
        <v>285</v>
      </c>
      <c r="K65" s="9" t="s">
        <v>286</v>
      </c>
      <c r="L65" s="9" t="s">
        <v>33</v>
      </c>
      <c r="M65" s="9" t="s">
        <v>33</v>
      </c>
      <c r="N65" t="s">
        <v>287</v>
      </c>
      <c r="O65" t="str">
        <f>IFERROR(_xlfn.XLOOKUP($D65, SSP!$F:$F, SSP!$E:$E, "Inconnu"), "")</f>
        <v>Modification du comportement</v>
      </c>
      <c r="P65" t="str">
        <f>IF(OR(E65="", O65=""), "", IF(LOWER(E65)=LOWER(O65), "OK", "⚠️ Libellé ≠ n°"))</f>
        <v>OK</v>
      </c>
      <c r="Q65" t="str">
        <f>IF(Feuil1!$E65="", "", IF(LOWER(Feuil1!$E65)=LOWER(E65), "Identique", "Différent"))</f>
        <v>Différent</v>
      </c>
      <c r="R65" t="str">
        <f>IF(OR(P65="⚠️ Libellé ≠ n°", O65="Inconnu"), "⚠️", IF(Q65="Différent", "ℹ️", ""))</f>
        <v>ℹ️</v>
      </c>
      <c r="S65" t="str" cm="1">
        <f t="array" ref="S65">_xlfn.LET(_xlpm.genCat,IFERROR(LOWER(TRIM(G65)),""),_xlpm.principal,IFERROR(LOWER(TRIM(H65)),""),_xlpm.orig,IFERROR(LOWER(TRIM(N65)),""),IF(OR(_xlpm.genCat="",_xlpm.principal=""),"",IF(LEFT(LOWER(G65),5)="autre","OK (Autre)",IF(OR(ISNUMBER(SEARCH(_xlpm.genCat,_xlpm.principal)),ISNUMBER(SEARCH(_xlpm.principal,_xlpm.genCat)),AND(_xlpm.orig&lt;&gt;"",OR(ISNUMBER(SEARCH(_xlpm.genCat,_xlpm.orig)),ISNUMBER(SEARCH(_xlpm.orig,_xlpm.genCat))))),"OK","⚠️ À vérifier"))))</f>
        <v>OK (Autre)</v>
      </c>
      <c r="T65" t="str">
        <f>IF(S65="","",IF(S65="OK (Autre)","Diagnostic générique = 'Autre – …'",IF(S65="OK","Concordance générique/principal","Écart entre générique et principal")))</f>
        <v>Diagnostic générique = 'Autre – …'</v>
      </c>
      <c r="U65" t="str" cm="1">
        <f t="array" ref="U65">_xlfn.LET(_xlpm.yr, A65, _xlpm.diag, IF(N65&lt;&gt;"", N65, H65), _xlpm.base, TRIM(SUBSTITUTE(SUBSTITUTE(SUBSTITUTE(SUBSTITUTE(_xlpm.diag,"•"," "),CHAR(160)," "),CHAR(10)," "),"  "," ")), LOWER(_xlpm.yr&amp;"|"&amp;_xlpm.base))</f>
        <v>2013|episodes psychotique chez un schizophrène</v>
      </c>
      <c r="V65" t="str">
        <f>IFERROR(_xlfn.XLOOKUP($AB65,'Cas 2013-2017'!$K:$K,'Cas 2013-2017'!$D:$D,""),"")</f>
        <v/>
      </c>
      <c r="W65" t="str">
        <f>IFERROR(_xlfn.XLOOKUP($AB65,'Cas 2013-2017'!$K:$K,'Cas 2013-2017'!$E:$E,""),"")</f>
        <v/>
      </c>
      <c r="X65" t="str">
        <f>IFERROR(_xlfn.XLOOKUP($AB65,'Cas 2013-2017'!$K:$K,'Cas 2013-2017'!$F:$F,""),"")</f>
        <v/>
      </c>
      <c r="Y65" t="str">
        <f>IFERROR(_xlfn.XLOOKUP($AB65,'Cas 2013-2017'!$K:$K,'Cas 2013-2017'!$G:$G,""),"")</f>
        <v/>
      </c>
      <c r="Z65" t="str">
        <f>IFERROR(_xlfn.XLOOKUP($AB65,'Cas 2013-2017'!$K:$K,'Cas 2013-2017'!$I:$I,""),"")</f>
        <v/>
      </c>
      <c r="AA65" t="str">
        <f>IFERROR(_xlfn.XLOOKUP($AB65,'Cas 2013-2017'!$K:$K,'Cas 2013-2017'!$H:$H,""),"")</f>
        <v/>
      </c>
      <c r="AB65" t="str">
        <f>LOWER($A65 &amp; "|" &amp; $AF65)</f>
        <v>2013|episodes psychotique chez un schizophrène</v>
      </c>
      <c r="AC65" t="str">
        <f>TRIM(SUBSTITUTE(SUBSTITUTE(SUBSTITUTE(SUBSTITUTE(" " &amp; LOWER(TRIM(IF($N65&lt;&gt;"", $N65, $H65))) &amp; " ", " aomi ", " arteriopathie des membres inferieurs "), " hta ", " hypertension arterielle "), " saos ", " syndrome d'apnees obstructives du sommeil "), " rgo ", " reflux gastro-oesophagien ") )</f>
        <v>episodes psychotique chez un schizophrène</v>
      </c>
      <c r="AD65" t="str">
        <f>TRIM(SUBSTITUTE(SUBSTITUTE(SUBSTITUTE(SUBSTITUTE(" " &amp; LOWER(TRIM($AC65)) &amp; " ", " oacr ", " occlusion de l'artere centrale de la retine "), " hsd ", " hematome sous-dural "), " fa ", " fibrillation auriculaire "), " ep ", " embolie pulmonaire ") )</f>
        <v>episodes psychotique chez un schizophrène</v>
      </c>
      <c r="AE65" t="str" cm="1">
        <f t="array" ref="AE65">_xlfn.LET(_xlpm.base, " " &amp; LOWER(TRIM($AD65))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episodes psychotique chez un schizophrène</v>
      </c>
      <c r="AF65" t="str" cm="1">
        <f t="array" ref="AF65">_xlfn.LET(_xlpm.base, " " &amp; LOWER(TRIM($AE65))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episodes psychotique chez un schizophrène</v>
      </c>
    </row>
    <row r="66" spans="1:32" ht="50.25">
      <c r="A66" s="8">
        <v>2013</v>
      </c>
      <c r="B66" s="10" t="s">
        <v>91</v>
      </c>
      <c r="C66" s="8" t="s">
        <v>33</v>
      </c>
      <c r="D66" s="20">
        <v>44</v>
      </c>
      <c r="E66" s="11" t="str">
        <f>IF(D66="","",IFERROR(INDEX(SSP!$E$2:$E$266, MATCH(D66, SSP!$F$2:$F$266, 0)),""))</f>
        <v>Douleur thoracique</v>
      </c>
      <c r="F66" s="11" t="str">
        <f>Feuil1!E66</f>
        <v>Douleur thoracique</v>
      </c>
      <c r="G66" s="12" t="s">
        <v>160</v>
      </c>
      <c r="H66" s="13" t="s">
        <v>288</v>
      </c>
      <c r="I66" s="13"/>
      <c r="J66" s="15" t="s">
        <v>289</v>
      </c>
      <c r="K66" s="9" t="s">
        <v>290</v>
      </c>
      <c r="L66" s="9" t="s">
        <v>33</v>
      </c>
      <c r="M66" s="9" t="s">
        <v>33</v>
      </c>
      <c r="N66" t="s">
        <v>288</v>
      </c>
      <c r="O66" t="str">
        <f>IFERROR(_xlfn.XLOOKUP($D66, SSP!$F:$F, SSP!$E:$E, "Inconnu"), "")</f>
        <v>Douleur thoracique</v>
      </c>
      <c r="P66" t="str">
        <f>IF(OR(E66="", O66=""), "", IF(LOWER(E66)=LOWER(O66), "OK", "⚠️ Libellé ≠ n°"))</f>
        <v>OK</v>
      </c>
      <c r="Q66" t="str">
        <f>IF(Feuil1!$E66="", "", IF(LOWER(Feuil1!$E66)=LOWER(E66), "Identique", "Différent"))</f>
        <v>Identique</v>
      </c>
      <c r="R66" t="str">
        <f>IF(OR(P66="⚠️ Libellé ≠ n°", O66="Inconnu"), "⚠️", IF(Q66="Différent", "ℹ️", ""))</f>
        <v/>
      </c>
      <c r="S66" t="str" cm="1">
        <f t="array" ref="S66">_xlfn.LET(_xlpm.genCat,IFERROR(LOWER(TRIM(G66)),""),_xlpm.principal,IFERROR(LOWER(TRIM(H66)),""),_xlpm.orig,IFERROR(LOWER(TRIM(N66)),""),IF(OR(_xlpm.genCat="",_xlpm.principal=""),"",IF(LEFT(LOWER(G66),5)="autre","OK (Autre)",IF(OR(ISNUMBER(SEARCH(_xlpm.genCat,_xlpm.principal)),ISNUMBER(SEARCH(_xlpm.principal,_xlpm.genCat)),AND(_xlpm.orig&lt;&gt;"",OR(ISNUMBER(SEARCH(_xlpm.genCat,_xlpm.orig)),ISNUMBER(SEARCH(_xlpm.orig,_xlpm.genCat))))),"OK","⚠️ À vérifier"))))</f>
        <v>OK (Autre)</v>
      </c>
      <c r="T66" t="str">
        <f>IF(S66="","",IF(S66="OK (Autre)","Diagnostic générique = 'Autre – …'",IF(S66="OK","Concordance générique/principal","Écart entre générique et principal")))</f>
        <v>Diagnostic générique = 'Autre – …'</v>
      </c>
      <c r="U66" t="str" cm="1">
        <f t="array" ref="U66">_xlfn.LET(_xlpm.yr, A66, _xlpm.diag, IF(N66&lt;&gt;"", N66, H66), _xlpm.base, TRIM(SUBSTITUTE(SUBSTITUTE(SUBSTITUTE(SUBSTITUTE(_xlpm.diag,"•"," "),CHAR(160)," "),CHAR(10)," "),"  "," ")), LOWER(_xlpm.yr&amp;"|"&amp;_xlpm.base))</f>
        <v>2013|psychosomatique</v>
      </c>
      <c r="V66" t="str">
        <f>IFERROR(_xlfn.XLOOKUP($AB66,'Cas 2013-2017'!$K:$K,'Cas 2013-2017'!$D:$D,""),"")</f>
        <v/>
      </c>
      <c r="W66" t="str">
        <f>IFERROR(_xlfn.XLOOKUP($AB66,'Cas 2013-2017'!$K:$K,'Cas 2013-2017'!$E:$E,""),"")</f>
        <v/>
      </c>
      <c r="X66" t="str">
        <f>IFERROR(_xlfn.XLOOKUP($AB66,'Cas 2013-2017'!$K:$K,'Cas 2013-2017'!$F:$F,""),"")</f>
        <v/>
      </c>
      <c r="Y66" t="str">
        <f>IFERROR(_xlfn.XLOOKUP($AB66,'Cas 2013-2017'!$K:$K,'Cas 2013-2017'!$G:$G,""),"")</f>
        <v/>
      </c>
      <c r="Z66" t="str">
        <f>IFERROR(_xlfn.XLOOKUP($AB66,'Cas 2013-2017'!$K:$K,'Cas 2013-2017'!$I:$I,""),"")</f>
        <v/>
      </c>
      <c r="AA66" t="str">
        <f>IFERROR(_xlfn.XLOOKUP($AB66,'Cas 2013-2017'!$K:$K,'Cas 2013-2017'!$H:$H,""),"")</f>
        <v/>
      </c>
      <c r="AB66" t="str">
        <f>LOWER($A66 &amp; "|" &amp; $AF66)</f>
        <v>2013|psychosomatique</v>
      </c>
      <c r="AC66" t="str">
        <f>TRIM(SUBSTITUTE(SUBSTITUTE(SUBSTITUTE(SUBSTITUTE(" " &amp; LOWER(TRIM(IF($N66&lt;&gt;"", $N66, $H66))) &amp; " ", " aomi ", " arteriopathie des membres inferieurs "), " hta ", " hypertension arterielle "), " saos ", " syndrome d'apnees obstructives du sommeil "), " rgo ", " reflux gastro-oesophagien ") )</f>
        <v>psychosomatique</v>
      </c>
      <c r="AD66" t="str">
        <f>TRIM(SUBSTITUTE(SUBSTITUTE(SUBSTITUTE(SUBSTITUTE(" " &amp; LOWER(TRIM($AC66)) &amp; " ", " oacr ", " occlusion de l'artere centrale de la retine "), " hsd ", " hematome sous-dural "), " fa ", " fibrillation auriculaire "), " ep ", " embolie pulmonaire ") )</f>
        <v>psychosomatique</v>
      </c>
      <c r="AE66" t="str" cm="1">
        <f t="array" ref="AE66">_xlfn.LET(_xlpm.base, " " &amp; LOWER(TRIM($AD66))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psychosomatique</v>
      </c>
      <c r="AF66" t="str" cm="1">
        <f t="array" ref="AF66">_xlfn.LET(_xlpm.base, " " &amp; LOWER(TRIM($AE66))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psychosomatique</v>
      </c>
    </row>
    <row r="67" spans="1:32" ht="33.75">
      <c r="A67" s="8">
        <v>2013</v>
      </c>
      <c r="B67" s="10" t="s">
        <v>141</v>
      </c>
      <c r="C67" s="8" t="s">
        <v>33</v>
      </c>
      <c r="D67" s="20">
        <v>119</v>
      </c>
      <c r="E67" s="11" t="str">
        <f>IF(D67="","",IFERROR(INDEX(SSP!$E$2:$E$266, MATCH(D67, SSP!$F$2:$F$266, 0)),""))</f>
        <v>Trouble du déficit de l’attention</v>
      </c>
      <c r="F67" s="11" t="str">
        <f>Feuil1!E67</f>
        <v>Trouble de l'humeur</v>
      </c>
      <c r="G67" s="12" t="s">
        <v>291</v>
      </c>
      <c r="H67" s="13" t="s">
        <v>292</v>
      </c>
      <c r="I67" s="13"/>
      <c r="J67" s="15" t="s">
        <v>293</v>
      </c>
      <c r="K67" s="9" t="s">
        <v>294</v>
      </c>
      <c r="L67" s="9" t="s">
        <v>33</v>
      </c>
      <c r="M67" s="9" t="s">
        <v>33</v>
      </c>
      <c r="N67" t="s">
        <v>292</v>
      </c>
      <c r="O67" t="str">
        <f>IFERROR(_xlfn.XLOOKUP($D67, SSP!$F:$F, SSP!$E:$E, "Inconnu"), "")</f>
        <v>Trouble du déficit de l’attention</v>
      </c>
      <c r="P67" t="str">
        <f>IF(OR(E67="", O67=""), "", IF(LOWER(E67)=LOWER(O67), "OK", "⚠️ Libellé ≠ n°"))</f>
        <v>OK</v>
      </c>
      <c r="Q67" t="str">
        <f>IF(Feuil1!$E67="", "", IF(LOWER(Feuil1!$E67)=LOWER(E67), "Identique", "Différent"))</f>
        <v>Différent</v>
      </c>
      <c r="R67" t="str">
        <f>IF(OR(P67="⚠️ Libellé ≠ n°", O67="Inconnu"), "⚠️", IF(Q67="Différent", "ℹ️", ""))</f>
        <v>ℹ️</v>
      </c>
      <c r="S67" t="str" cm="1">
        <f t="array" ref="S67">_xlfn.LET(_xlpm.genCat,IFERROR(LOWER(TRIM(G67)),""),_xlpm.principal,IFERROR(LOWER(TRIM(H67)),""),_xlpm.orig,IFERROR(LOWER(TRIM(N67)),""),IF(OR(_xlpm.genCat="",_xlpm.principal=""),"",IF(LEFT(LOWER(G67),5)="autre","OK (Autre)",IF(OR(ISNUMBER(SEARCH(_xlpm.genCat,_xlpm.principal)),ISNUMBER(SEARCH(_xlpm.principal,_xlpm.genCat)),AND(_xlpm.orig&lt;&gt;"",OR(ISNUMBER(SEARCH(_xlpm.genCat,_xlpm.orig)),ISNUMBER(SEARCH(_xlpm.orig,_xlpm.genCat))))),"OK","⚠️ À vérifier"))))</f>
        <v>⚠️ À vérifier</v>
      </c>
      <c r="T67" t="str">
        <f>IF(S67="","",IF(S67="OK (Autre)","Diagnostic générique = 'Autre – …'",IF(S67="OK","Concordance générique/principal","Écart entre générique et principal")))</f>
        <v>Écart entre générique et principal</v>
      </c>
      <c r="U67" t="str" cm="1">
        <f t="array" ref="U67">_xlfn.LET(_xlpm.yr, A67, _xlpm.diag, IF(N67&lt;&gt;"", N67, H67), _xlpm.base, TRIM(SUBSTITUTE(SUBSTITUTE(SUBSTITUTE(SUBSTITUTE(_xlpm.diag,"•"," "),CHAR(160)," "),CHAR(10)," "),"  "," ")), LOWER(_xlpm.yr&amp;"|"&amp;_xlpm.base))</f>
        <v>2013|dépression du post-partum</v>
      </c>
      <c r="V67" t="str">
        <f>IFERROR(_xlfn.XLOOKUP($AB67,'Cas 2013-2017'!$K:$K,'Cas 2013-2017'!$D:$D,""),"")</f>
        <v/>
      </c>
      <c r="W67" t="str">
        <f>IFERROR(_xlfn.XLOOKUP($AB67,'Cas 2013-2017'!$K:$K,'Cas 2013-2017'!$E:$E,""),"")</f>
        <v/>
      </c>
      <c r="X67" t="str">
        <f>IFERROR(_xlfn.XLOOKUP($AB67,'Cas 2013-2017'!$K:$K,'Cas 2013-2017'!$F:$F,""),"")</f>
        <v/>
      </c>
      <c r="Y67" t="str">
        <f>IFERROR(_xlfn.XLOOKUP($AB67,'Cas 2013-2017'!$K:$K,'Cas 2013-2017'!$G:$G,""),"")</f>
        <v/>
      </c>
      <c r="Z67" t="str">
        <f>IFERROR(_xlfn.XLOOKUP($AB67,'Cas 2013-2017'!$K:$K,'Cas 2013-2017'!$I:$I,""),"")</f>
        <v/>
      </c>
      <c r="AA67" t="str">
        <f>IFERROR(_xlfn.XLOOKUP($AB67,'Cas 2013-2017'!$K:$K,'Cas 2013-2017'!$H:$H,""),"")</f>
        <v/>
      </c>
      <c r="AB67" t="str">
        <f>LOWER($A67 &amp; "|" &amp; $AF67)</f>
        <v>2013|dépression du post-partum</v>
      </c>
      <c r="AC67" t="str">
        <f>TRIM(SUBSTITUTE(SUBSTITUTE(SUBSTITUTE(SUBSTITUTE(" " &amp; LOWER(TRIM(IF($N67&lt;&gt;"", $N67, $H67))) &amp; " ", " aomi ", " arteriopathie des membres inferieurs "), " hta ", " hypertension arterielle "), " saos ", " syndrome d'apnees obstructives du sommeil "), " rgo ", " reflux gastro-oesophagien ") )</f>
        <v>dépression du post-partum</v>
      </c>
      <c r="AD67" t="str">
        <f>TRIM(SUBSTITUTE(SUBSTITUTE(SUBSTITUTE(SUBSTITUTE(" " &amp; LOWER(TRIM($AC67)) &amp; " ", " oacr ", " occlusion de l'artere centrale de la retine "), " hsd ", " hematome sous-dural "), " fa ", " fibrillation auriculaire "), " ep ", " embolie pulmonaire ") )</f>
        <v>dépression du post-partum</v>
      </c>
      <c r="AE67" t="str" cm="1">
        <f t="array" ref="AE67">_xlfn.LET(_xlpm.base, " " &amp; LOWER(TRIM($AD67))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dépression du post-partum</v>
      </c>
      <c r="AF67" t="str" cm="1">
        <f t="array" ref="AF67">_xlfn.LET(_xlpm.base, " " &amp; LOWER(TRIM($AE67))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dépression du post-partum</v>
      </c>
    </row>
    <row r="68" spans="1:32" ht="66.75">
      <c r="A68" s="8">
        <v>2013</v>
      </c>
      <c r="B68" s="10" t="s">
        <v>100</v>
      </c>
      <c r="C68" s="8" t="s">
        <v>33</v>
      </c>
      <c r="D68" s="20">
        <v>102</v>
      </c>
      <c r="E68" s="11" t="str">
        <f>IF(D68="","",IFERROR(INDEX(SSP!$E$2:$E$266, MATCH(D68, SSP!$F$2:$F$266, 0)),""))</f>
        <v>Troubles de la mémoire, altération cognitive</v>
      </c>
      <c r="F68" s="11" t="str">
        <f>Feuil1!E68</f>
        <v>Trouble de la mémoire</v>
      </c>
      <c r="G68" s="12" t="s">
        <v>295</v>
      </c>
      <c r="H68" s="13" t="s">
        <v>296</v>
      </c>
      <c r="I68" s="13"/>
      <c r="J68" s="15" t="s">
        <v>297</v>
      </c>
      <c r="K68" s="9" t="s">
        <v>298</v>
      </c>
      <c r="L68" s="9" t="s">
        <v>33</v>
      </c>
      <c r="M68" s="9" t="s">
        <v>33</v>
      </c>
      <c r="N68" t="s">
        <v>296</v>
      </c>
      <c r="O68" t="str">
        <f>IFERROR(_xlfn.XLOOKUP($D68, SSP!$F:$F, SSP!$E:$E, "Inconnu"), "")</f>
        <v>Troubles de la mémoire, altération cognitive</v>
      </c>
      <c r="P68" t="str">
        <f>IF(OR(E68="", O68=""), "", IF(LOWER(E68)=LOWER(O68), "OK", "⚠️ Libellé ≠ n°"))</f>
        <v>OK</v>
      </c>
      <c r="Q68" t="str">
        <f>IF(Feuil1!$E68="", "", IF(LOWER(Feuil1!$E68)=LOWER(E68), "Identique", "Différent"))</f>
        <v>Différent</v>
      </c>
      <c r="R68" t="str">
        <f>IF(OR(P68="⚠️ Libellé ≠ n°", O68="Inconnu"), "⚠️", IF(Q68="Différent", "ℹ️", ""))</f>
        <v>ℹ️</v>
      </c>
      <c r="S68" t="str" cm="1">
        <f t="array" ref="S68">_xlfn.LET(_xlpm.genCat,IFERROR(LOWER(TRIM(G68)),""),_xlpm.principal,IFERROR(LOWER(TRIM(H68)),""),_xlpm.orig,IFERROR(LOWER(TRIM(N68)),""),IF(OR(_xlpm.genCat="",_xlpm.principal=""),"",IF(LEFT(LOWER(G68),5)="autre","OK (Autre)",IF(OR(ISNUMBER(SEARCH(_xlpm.genCat,_xlpm.principal)),ISNUMBER(SEARCH(_xlpm.principal,_xlpm.genCat)),AND(_xlpm.orig&lt;&gt;"",OR(ISNUMBER(SEARCH(_xlpm.genCat,_xlpm.orig)),ISNUMBER(SEARCH(_xlpm.orig,_xlpm.genCat))))),"OK","⚠️ À vérifier"))))</f>
        <v>⚠️ À vérifier</v>
      </c>
      <c r="T68" t="str">
        <f>IF(S68="","",IF(S68="OK (Autre)","Diagnostic générique = 'Autre – …'",IF(S68="OK","Concordance générique/principal","Écart entre générique et principal")))</f>
        <v>Écart entre générique et principal</v>
      </c>
      <c r="U68" t="str" cm="1">
        <f t="array" ref="U68">_xlfn.LET(_xlpm.yr, A68, _xlpm.diag, IF(N68&lt;&gt;"", N68, H68), _xlpm.base, TRIM(SUBSTITUTE(SUBSTITUTE(SUBSTITUTE(SUBSTITUTE(_xlpm.diag,"•"," "),CHAR(160)," "),CHAR(10)," "),"  "," ")), LOWER(_xlpm.yr&amp;"|"&amp;_xlpm.base))</f>
        <v>2013|démence (alzheimer probable)</v>
      </c>
      <c r="V68" t="str">
        <f>IFERROR(_xlfn.XLOOKUP($AB68,'Cas 2013-2017'!$K:$K,'Cas 2013-2017'!$D:$D,""),"")</f>
        <v/>
      </c>
      <c r="W68" t="str">
        <f>IFERROR(_xlfn.XLOOKUP($AB68,'Cas 2013-2017'!$K:$K,'Cas 2013-2017'!$E:$E,""),"")</f>
        <v/>
      </c>
      <c r="X68" t="str">
        <f>IFERROR(_xlfn.XLOOKUP($AB68,'Cas 2013-2017'!$K:$K,'Cas 2013-2017'!$F:$F,""),"")</f>
        <v/>
      </c>
      <c r="Y68" t="str">
        <f>IFERROR(_xlfn.XLOOKUP($AB68,'Cas 2013-2017'!$K:$K,'Cas 2013-2017'!$G:$G,""),"")</f>
        <v/>
      </c>
      <c r="Z68" t="str">
        <f>IFERROR(_xlfn.XLOOKUP($AB68,'Cas 2013-2017'!$K:$K,'Cas 2013-2017'!$I:$I,""),"")</f>
        <v/>
      </c>
      <c r="AA68" t="str">
        <f>IFERROR(_xlfn.XLOOKUP($AB68,'Cas 2013-2017'!$K:$K,'Cas 2013-2017'!$H:$H,""),"")</f>
        <v/>
      </c>
      <c r="AB68" t="str">
        <f>LOWER($A68 &amp; "|" &amp; $AF68)</f>
        <v>2013|démence (alzheimer probable)</v>
      </c>
      <c r="AC68" t="str">
        <f>TRIM(SUBSTITUTE(SUBSTITUTE(SUBSTITUTE(SUBSTITUTE(" " &amp; LOWER(TRIM(IF($N68&lt;&gt;"", $N68, $H68))) &amp; " ", " aomi ", " arteriopathie des membres inferieurs "), " hta ", " hypertension arterielle "), " saos ", " syndrome d'apnees obstructives du sommeil "), " rgo ", " reflux gastro-oesophagien ") )</f>
        <v>démence (alzheimer probable)</v>
      </c>
      <c r="AD68" t="str">
        <f>TRIM(SUBSTITUTE(SUBSTITUTE(SUBSTITUTE(SUBSTITUTE(" " &amp; LOWER(TRIM($AC68)) &amp; " ", " oacr ", " occlusion de l'artere centrale de la retine "), " hsd ", " hematome sous-dural "), " fa ", " fibrillation auriculaire "), " ep ", " embolie pulmonaire ") )</f>
        <v>démence (alzheimer probable)</v>
      </c>
      <c r="AE68" t="str" cm="1">
        <f t="array" ref="AE68">_xlfn.LET(_xlpm.base, " " &amp; LOWER(TRIM($AD68))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démence (alzheimer probable)</v>
      </c>
      <c r="AF68" t="str" cm="1">
        <f t="array" ref="AF68">_xlfn.LET(_xlpm.base, " " &amp; LOWER(TRIM($AE68))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démence (alzheimer probable)</v>
      </c>
    </row>
    <row r="69" spans="1:32" ht="66.75">
      <c r="A69" s="8">
        <v>2013</v>
      </c>
      <c r="B69" s="10" t="s">
        <v>87</v>
      </c>
      <c r="C69" s="8" t="s">
        <v>33</v>
      </c>
      <c r="D69" s="20">
        <v>64</v>
      </c>
      <c r="E69" s="11" t="str">
        <f>IF(D69="","",IFERROR(INDEX(SSP!$E$2:$E$266, MATCH(D69, SSP!$F$2:$F$266, 0)),""))</f>
        <v>Dysurie, pyurie, hématurie</v>
      </c>
      <c r="F69" s="11" t="str">
        <f>Feuil1!E69</f>
        <v>Dysurie</v>
      </c>
      <c r="G69" s="12" t="s">
        <v>299</v>
      </c>
      <c r="H69" s="13" t="s">
        <v>300</v>
      </c>
      <c r="I69" s="13"/>
      <c r="J69" s="15" t="s">
        <v>301</v>
      </c>
      <c r="K69" s="9" t="s">
        <v>302</v>
      </c>
      <c r="L69" s="9" t="s">
        <v>33</v>
      </c>
      <c r="M69" s="9" t="s">
        <v>33</v>
      </c>
      <c r="N69" t="s">
        <v>300</v>
      </c>
      <c r="O69" t="str">
        <f>IFERROR(_xlfn.XLOOKUP($D69, SSP!$F:$F, SSP!$E:$E, "Inconnu"), "")</f>
        <v>Dysurie, pyurie, hématurie</v>
      </c>
      <c r="P69" t="str">
        <f>IF(OR(E69="", O69=""), "", IF(LOWER(E69)=LOWER(O69), "OK", "⚠️ Libellé ≠ n°"))</f>
        <v>OK</v>
      </c>
      <c r="Q69" t="str">
        <f>IF(Feuil1!$E69="", "", IF(LOWER(Feuil1!$E69)=LOWER(E69), "Identique", "Différent"))</f>
        <v>Différent</v>
      </c>
      <c r="R69" t="str">
        <f>IF(OR(P69="⚠️ Libellé ≠ n°", O69="Inconnu"), "⚠️", IF(Q69="Différent", "ℹ️", ""))</f>
        <v>ℹ️</v>
      </c>
      <c r="S69" t="str" cm="1">
        <f t="array" ref="S69">_xlfn.LET(_xlpm.genCat,IFERROR(LOWER(TRIM(G69)),""),_xlpm.principal,IFERROR(LOWER(TRIM(H69)),""),_xlpm.orig,IFERROR(LOWER(TRIM(N69)),""),IF(OR(_xlpm.genCat="",_xlpm.principal=""),"",IF(LEFT(LOWER(G69),5)="autre","OK (Autre)",IF(OR(ISNUMBER(SEARCH(_xlpm.genCat,_xlpm.principal)),ISNUMBER(SEARCH(_xlpm.principal,_xlpm.genCat)),AND(_xlpm.orig&lt;&gt;"",OR(ISNUMBER(SEARCH(_xlpm.genCat,_xlpm.orig)),ISNUMBER(SEARCH(_xlpm.orig,_xlpm.genCat))))),"OK","⚠️ À vérifier"))))</f>
        <v>⚠️ À vérifier</v>
      </c>
      <c r="T69" t="str">
        <f>IF(S69="","",IF(S69="OK (Autre)","Diagnostic générique = 'Autre – …'",IF(S69="OK","Concordance générique/principal","Écart entre générique et principal")))</f>
        <v>Écart entre générique et principal</v>
      </c>
      <c r="U69" t="str" cm="1">
        <f t="array" ref="U69">_xlfn.LET(_xlpm.yr, A69, _xlpm.diag, IF(N69&lt;&gt;"", N69, H69), _xlpm.base, TRIM(SUBSTITUTE(SUBSTITUTE(SUBSTITUTE(SUBSTITUTE(_xlpm.diag,"•"," "),CHAR(160)," "),CHAR(10)," "),"  "," ")), LOWER(_xlpm.yr&amp;"|"&amp;_xlpm.base))</f>
        <v>2013|hypertrophie bénigne de la prostate (hppb)</v>
      </c>
      <c r="V69" t="str">
        <f>IFERROR(_xlfn.XLOOKUP($AB69,'Cas 2013-2017'!$K:$K,'Cas 2013-2017'!$D:$D,""),"")</f>
        <v/>
      </c>
      <c r="W69" t="str">
        <f>IFERROR(_xlfn.XLOOKUP($AB69,'Cas 2013-2017'!$K:$K,'Cas 2013-2017'!$E:$E,""),"")</f>
        <v/>
      </c>
      <c r="X69" t="str">
        <f>IFERROR(_xlfn.XLOOKUP($AB69,'Cas 2013-2017'!$K:$K,'Cas 2013-2017'!$F:$F,""),"")</f>
        <v/>
      </c>
      <c r="Y69" t="str">
        <f>IFERROR(_xlfn.XLOOKUP($AB69,'Cas 2013-2017'!$K:$K,'Cas 2013-2017'!$G:$G,""),"")</f>
        <v/>
      </c>
      <c r="Z69" t="str">
        <f>IFERROR(_xlfn.XLOOKUP($AB69,'Cas 2013-2017'!$K:$K,'Cas 2013-2017'!$I:$I,""),"")</f>
        <v/>
      </c>
      <c r="AA69" t="str">
        <f>IFERROR(_xlfn.XLOOKUP($AB69,'Cas 2013-2017'!$K:$K,'Cas 2013-2017'!$H:$H,""),"")</f>
        <v/>
      </c>
      <c r="AB69" t="str">
        <f>LOWER($A69 &amp; "|" &amp; $AF69)</f>
        <v>2013|hypertrophie bénigne de la prostate (hppb)</v>
      </c>
      <c r="AC69" t="str">
        <f>TRIM(SUBSTITUTE(SUBSTITUTE(SUBSTITUTE(SUBSTITUTE(" " &amp; LOWER(TRIM(IF($N69&lt;&gt;"", $N69, $H69))) &amp; " ", " aomi ", " arteriopathie des membres inferieurs "), " hta ", " hypertension arterielle "), " saos ", " syndrome d'apnees obstructives du sommeil "), " rgo ", " reflux gastro-oesophagien ") )</f>
        <v>hypertrophie bénigne de la prostate (hppb)</v>
      </c>
      <c r="AD69" t="str">
        <f>TRIM(SUBSTITUTE(SUBSTITUTE(SUBSTITUTE(SUBSTITUTE(" " &amp; LOWER(TRIM($AC69)) &amp; " ", " oacr ", " occlusion de l'artere centrale de la retine "), " hsd ", " hematome sous-dural "), " fa ", " fibrillation auriculaire "), " ep ", " embolie pulmonaire ") )</f>
        <v>hypertrophie bénigne de la prostate (hppb)</v>
      </c>
      <c r="AE69" t="str" cm="1">
        <f t="array" ref="AE69">_xlfn.LET(_xlpm.base, " " &amp; LOWER(TRIM($AD69))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hypertrophie bénigne de la prostate (hppb)</v>
      </c>
      <c r="AF69" t="str" cm="1">
        <f t="array" ref="AF69">_xlfn.LET(_xlpm.base, " " &amp; LOWER(TRIM($AE69))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hypertrophie bénigne de la prostate (hppb)</v>
      </c>
    </row>
    <row r="70" spans="1:32" ht="117">
      <c r="A70" s="8">
        <v>2014</v>
      </c>
      <c r="B70" s="10" t="s">
        <v>32</v>
      </c>
      <c r="C70" s="8" t="s">
        <v>33</v>
      </c>
      <c r="D70" s="20">
        <v>50</v>
      </c>
      <c r="E70" s="11" t="str">
        <f>IF(D70="","",IFERROR(INDEX(SSP!$E$2:$E$266, MATCH(D70, SSP!$F$2:$F$266, 0)),""))</f>
        <v>Palpitations</v>
      </c>
      <c r="F70" s="11" t="str">
        <f>Feuil1!E70</f>
        <v>Palpitations</v>
      </c>
      <c r="G70" s="12" t="s">
        <v>303</v>
      </c>
      <c r="H70" s="13" t="s">
        <v>304</v>
      </c>
      <c r="I70" s="13" t="s">
        <v>305</v>
      </c>
      <c r="J70" s="15" t="s">
        <v>306</v>
      </c>
      <c r="K70" s="9" t="s">
        <v>307</v>
      </c>
      <c r="L70" s="9" t="s">
        <v>308</v>
      </c>
      <c r="M70" s="9" t="s">
        <v>309</v>
      </c>
      <c r="N70" t="s">
        <v>310</v>
      </c>
      <c r="O70" t="str">
        <f>IFERROR(_xlfn.XLOOKUP($D70, SSP!$F:$F, SSP!$E:$E, "Inconnu"), "")</f>
        <v>Palpitations</v>
      </c>
      <c r="P70" t="str">
        <f>IF(OR(E70="", O70=""), "", IF(LOWER(E70)=LOWER(O70), "OK", "⚠️ Libellé ≠ n°"))</f>
        <v>OK</v>
      </c>
      <c r="Q70" t="str">
        <f>IF(Feuil1!$E70="", "", IF(LOWER(Feuil1!$E70)=LOWER(E70), "Identique", "Différent"))</f>
        <v>Identique</v>
      </c>
      <c r="R70" t="str">
        <f>IF(OR(P70="⚠️ Libellé ≠ n°", O70="Inconnu"), "⚠️", IF(Q70="Différent", "ℹ️", ""))</f>
        <v/>
      </c>
      <c r="S70" t="str" cm="1">
        <f t="array" ref="S70">_xlfn.LET(_xlpm.genCat,IFERROR(LOWER(TRIM(G70)),""),_xlpm.principal,IFERROR(LOWER(TRIM(H70)),""),_xlpm.orig,IFERROR(LOWER(TRIM(N70)),""),IF(OR(_xlpm.genCat="",_xlpm.principal=""),"",IF(LEFT(LOWER(G70),5)="autre","OK (Autre)",IF(OR(ISNUMBER(SEARCH(_xlpm.genCat,_xlpm.principal)),ISNUMBER(SEARCH(_xlpm.principal,_xlpm.genCat)),AND(_xlpm.orig&lt;&gt;"",OR(ISNUMBER(SEARCH(_xlpm.genCat,_xlpm.orig)),ISNUMBER(SEARCH(_xlpm.orig,_xlpm.genCat))))),"OK","⚠️ À vérifier"))))</f>
        <v>⚠️ À vérifier</v>
      </c>
      <c r="T70" t="str">
        <f>IF(S70="","",IF(S70="OK (Autre)","Diagnostic générique = 'Autre – …'",IF(S70="OK","Concordance générique/principal","Écart entre générique et principal")))</f>
        <v>Écart entre générique et principal</v>
      </c>
      <c r="U70" t="str" cm="1">
        <f t="array" ref="U70">_xlfn.LET(_xlpm.yr, A70, _xlpm.diag, IF(N70&lt;&gt;"", N70, H70), _xlpm.base, TRIM(SUBSTITUTE(SUBSTITUTE(SUBSTITUTE(SUBSTITUTE(_xlpm.diag,"•"," "),CHAR(160)," "),CHAR(10)," "),"  "," ")), LOWER(_xlpm.yr&amp;"|"&amp;_xlpm.base))</f>
        <v>2014|fa</v>
      </c>
      <c r="V70" t="str">
        <f>IFERROR(_xlfn.XLOOKUP($AB70,'Cas 2013-2017'!$K:$K,'Cas 2013-2017'!$D:$D,""),"")</f>
        <v>Palpitations femme de 60 ans</v>
      </c>
      <c r="W70" t="str">
        <f>IFERROR(_xlfn.XLOOKUP($AB70,'Cas 2013-2017'!$K:$K,'Cas 2013-2017'!$E:$E,""),"")</f>
        <v>-caractériser si c’est cœur qui bat vite ou impression que c’est irrégulier • -depuis quand? motif de survenue ? fréquence? Symptômes associés? • -FA : Palpitation, syncope, vertige, agitation, transpiration • -Anamnèse CV et Pulm (dyspnée, orthopnée, dys</v>
      </c>
      <c r="X70" t="str">
        <f>IFERROR(_xlfn.XLOOKUP($AB70,'Cas 2013-2017'!$K:$K,'Cas 2013-2017'!$F:$F,""),"")</f>
        <v>CV • Pulm • Thyroïde</v>
      </c>
      <c r="Y70" t="str">
        <f>IFERROR(_xlfn.XLOOKUP($AB70,'Cas 2013-2017'!$K:$K,'Cas 2013-2017'!$G:$G,""),"")</f>
        <v>Flutter • Hyperthyroïdie • Électrolytes • Hypokaliémie</v>
      </c>
      <c r="Z70" t="str">
        <f>IFERROR(_xlfn.XLOOKUP($AB70,'Cas 2013-2017'!$K:$K,'Cas 2013-2017'!$I:$I,""),"")</f>
        <v>PEC : CHA2DS2VASC • 1.Anticoag • 2. Antiarythmique • 3. Contrôle fréquence B-bloquant • Cardioversion • Ablation par cat.</v>
      </c>
      <c r="AA70" t="str">
        <f>IFERROR(_xlfn.XLOOKUP($AB70,'Cas 2013-2017'!$K:$K,'Cas 2013-2017'!$H:$H,""),"")</f>
        <v>FSS, TSH électrolytes • Crase • ECG • Holter • US cœur</v>
      </c>
      <c r="AB70" t="str">
        <f>LOWER($A70 &amp; "|" &amp; $AF70)</f>
        <v>2014|fibrillation auriculaire</v>
      </c>
      <c r="AC70" t="str">
        <f>TRIM(SUBSTITUTE(SUBSTITUTE(SUBSTITUTE(SUBSTITUTE(" " &amp; LOWER(TRIM(IF($N70&lt;&gt;"", $N70, $H70))) &amp; " ", " aomi ", " arteriopathie des membres inferieurs "), " hta ", " hypertension arterielle "), " saos ", " syndrome d'apnees obstructives du sommeil "), " rgo ", " reflux gastro-oesophagien ") )</f>
        <v>fa</v>
      </c>
      <c r="AD70" t="str">
        <f>TRIM(SUBSTITUTE(SUBSTITUTE(SUBSTITUTE(SUBSTITUTE(" " &amp; LOWER(TRIM($AC70)) &amp; " ", " oacr ", " occlusion de l'artere centrale de la retine "), " hsd ", " hematome sous-dural "), " fa ", " fibrillation auriculaire "), " ep ", " embolie pulmonaire ") )</f>
        <v>fibrillation auriculaire</v>
      </c>
      <c r="AE70" t="str" cm="1">
        <f t="array" ref="AE70">_xlfn.LET(_xlpm.base, " " &amp; LOWER(TRIM($AD70))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fibrillation auriculaire</v>
      </c>
      <c r="AF70" t="str" cm="1">
        <f t="array" ref="AF70">_xlfn.LET(_xlpm.base, " " &amp; LOWER(TRIM($AE70))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fibrillation auriculaire</v>
      </c>
    </row>
    <row r="71" spans="1:32" ht="16.5">
      <c r="A71" s="8">
        <v>2014</v>
      </c>
      <c r="B71" s="10" t="s">
        <v>32</v>
      </c>
      <c r="C71" s="8" t="s">
        <v>33</v>
      </c>
      <c r="D71" s="20">
        <v>46</v>
      </c>
      <c r="E71" s="11" t="str">
        <f>IF(D71="","",IFERROR(INDEX(SSP!$E$2:$E$266, MATCH(D71, SSP!$F$2:$F$266, 0)),""))</f>
        <v>Dyspnée</v>
      </c>
      <c r="F71" s="11" t="str">
        <f>Feuil1!E71</f>
        <v>Dyspnée</v>
      </c>
      <c r="G71" s="12" t="s">
        <v>170</v>
      </c>
      <c r="H71" s="13" t="s">
        <v>170</v>
      </c>
      <c r="I71" s="13"/>
      <c r="J71" s="15" t="s">
        <v>311</v>
      </c>
      <c r="K71" s="9" t="s">
        <v>33</v>
      </c>
      <c r="L71" s="9" t="s">
        <v>33</v>
      </c>
      <c r="M71" s="9" t="s">
        <v>33</v>
      </c>
      <c r="N71" t="s">
        <v>170</v>
      </c>
      <c r="O71" t="str">
        <f>IFERROR(_xlfn.XLOOKUP($D71, SSP!$F:$F, SSP!$E:$E, "Inconnu"), "")</f>
        <v>Dyspnée</v>
      </c>
      <c r="P71" t="str">
        <f>IF(OR(E71="", O71=""), "", IF(LOWER(E71)=LOWER(O71), "OK", "⚠️ Libellé ≠ n°"))</f>
        <v>OK</v>
      </c>
      <c r="Q71" t="str">
        <f>IF(Feuil1!$E71="", "", IF(LOWER(Feuil1!$E71)=LOWER(E71), "Identique", "Différent"))</f>
        <v>Identique</v>
      </c>
      <c r="R71" t="str">
        <f>IF(OR(P71="⚠️ Libellé ≠ n°", O71="Inconnu"), "⚠️", IF(Q71="Différent", "ℹ️", ""))</f>
        <v/>
      </c>
      <c r="S71" t="str" cm="1">
        <f t="array" ref="S71">_xlfn.LET(_xlpm.genCat,IFERROR(LOWER(TRIM(G71)),""),_xlpm.principal,IFERROR(LOWER(TRIM(H71)),""),_xlpm.orig,IFERROR(LOWER(TRIM(N71)),""),IF(OR(_xlpm.genCat="",_xlpm.principal=""),"",IF(LEFT(LOWER(G71),5)="autre","OK (Autre)",IF(OR(ISNUMBER(SEARCH(_xlpm.genCat,_xlpm.principal)),ISNUMBER(SEARCH(_xlpm.principal,_xlpm.genCat)),AND(_xlpm.orig&lt;&gt;"",OR(ISNUMBER(SEARCH(_xlpm.genCat,_xlpm.orig)),ISNUMBER(SEARCH(_xlpm.orig,_xlpm.genCat))))),"OK","⚠️ À vérifier"))))</f>
        <v>OK</v>
      </c>
      <c r="T71" t="str">
        <f>IF(S71="","",IF(S71="OK (Autre)","Diagnostic générique = 'Autre – …'",IF(S71="OK","Concordance générique/principal","Écart entre générique et principal")))</f>
        <v>Concordance générique/principal</v>
      </c>
      <c r="U71" t="str" cm="1">
        <f t="array" ref="U71">_xlfn.LET(_xlpm.yr, A71, _xlpm.diag, IF(N71&lt;&gt;"", N71, H71), _xlpm.base, TRIM(SUBSTITUTE(SUBSTITUTE(SUBSTITUTE(SUBSTITUTE(_xlpm.diag,"•"," "),CHAR(160)," "),CHAR(10)," "),"  "," ")), LOWER(_xlpm.yr&amp;"|"&amp;_xlpm.base))</f>
        <v>2014|insuffisance cardiaque</v>
      </c>
      <c r="V71" t="str">
        <f>IFERROR(_xlfn.XLOOKUP($AB71,'Cas 2013-2017'!$K:$K,'Cas 2013-2017'!$D:$D,""),"")</f>
        <v>Dyspnée</v>
      </c>
      <c r="W71">
        <f>IFERROR(_xlfn.XLOOKUP($AB71,'Cas 2013-2017'!$K:$K,'Cas 2013-2017'!$E:$E,""),"")</f>
        <v>0</v>
      </c>
      <c r="X71">
        <f>IFERROR(_xlfn.XLOOKUP($AB71,'Cas 2013-2017'!$K:$K,'Cas 2013-2017'!$F:$F,""),"")</f>
        <v>0</v>
      </c>
      <c r="Y71">
        <f>IFERROR(_xlfn.XLOOKUP($AB71,'Cas 2013-2017'!$K:$K,'Cas 2013-2017'!$G:$G,""),"")</f>
        <v>0</v>
      </c>
      <c r="Z71">
        <f>IFERROR(_xlfn.XLOOKUP($AB71,'Cas 2013-2017'!$K:$K,'Cas 2013-2017'!$I:$I,""),"")</f>
        <v>0</v>
      </c>
      <c r="AA71">
        <f>IFERROR(_xlfn.XLOOKUP($AB71,'Cas 2013-2017'!$K:$K,'Cas 2013-2017'!$H:$H,""),"")</f>
        <v>0</v>
      </c>
      <c r="AB71" t="str">
        <f>LOWER($A71 &amp; "|" &amp; $AF71)</f>
        <v>2014|insuffisance cardiaque</v>
      </c>
      <c r="AC71" t="str">
        <f>TRIM(SUBSTITUTE(SUBSTITUTE(SUBSTITUTE(SUBSTITUTE(" " &amp; LOWER(TRIM(IF($N71&lt;&gt;"", $N71, $H71))) &amp; " ", " aomi ", " arteriopathie des membres inferieurs "), " hta ", " hypertension arterielle "), " saos ", " syndrome d'apnees obstructives du sommeil "), " rgo ", " reflux gastro-oesophagien ") )</f>
        <v>insuffisance cardiaque</v>
      </c>
      <c r="AD71" t="str">
        <f>TRIM(SUBSTITUTE(SUBSTITUTE(SUBSTITUTE(SUBSTITUTE(" " &amp; LOWER(TRIM($AC71)) &amp; " ", " oacr ", " occlusion de l'artere centrale de la retine "), " hsd ", " hematome sous-dural "), " fa ", " fibrillation auriculaire "), " ep ", " embolie pulmonaire ") )</f>
        <v>insuffisance cardiaque</v>
      </c>
      <c r="AE71" t="str" cm="1">
        <f t="array" ref="AE71">_xlfn.LET(_xlpm.base, " " &amp; LOWER(TRIM($AD71))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insuffisance cardiaque</v>
      </c>
      <c r="AF71" t="str" cm="1">
        <f t="array" ref="AF71">_xlfn.LET(_xlpm.base, " " &amp; LOWER(TRIM($AE71))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insuffisance cardiaque</v>
      </c>
    </row>
    <row r="72" spans="1:32" ht="33.75">
      <c r="A72" s="8">
        <v>2014</v>
      </c>
      <c r="B72" s="10" t="s">
        <v>32</v>
      </c>
      <c r="C72" s="8" t="s">
        <v>33</v>
      </c>
      <c r="D72" s="20">
        <v>149</v>
      </c>
      <c r="E72" s="11" t="str">
        <f>IF(D72="","",IFERROR(INDEX(SSP!$E$2:$E$266, MATCH(D72, SSP!$F$2:$F$266, 0)),""))</f>
        <v>Perte transitoire de conscience, syncope</v>
      </c>
      <c r="F72" s="11" t="str">
        <f>Feuil1!E72</f>
        <v>Syncope</v>
      </c>
      <c r="G72" s="12" t="s">
        <v>312</v>
      </c>
      <c r="H72" s="13" t="s">
        <v>313</v>
      </c>
      <c r="I72" s="13"/>
      <c r="J72" s="15" t="s">
        <v>314</v>
      </c>
      <c r="K72" s="9" t="s">
        <v>33</v>
      </c>
      <c r="L72" s="9" t="s">
        <v>33</v>
      </c>
      <c r="M72" s="9" t="s">
        <v>33</v>
      </c>
      <c r="N72" t="s">
        <v>313</v>
      </c>
      <c r="O72" t="str">
        <f>IFERROR(_xlfn.XLOOKUP($D72, SSP!$F:$F, SSP!$E:$E, "Inconnu"), "")</f>
        <v>Perte transitoire de conscience, syncope</v>
      </c>
      <c r="P72" t="str">
        <f>IF(OR(E72="", O72=""), "", IF(LOWER(E72)=LOWER(O72), "OK", "⚠️ Libellé ≠ n°"))</f>
        <v>OK</v>
      </c>
      <c r="Q72" t="str">
        <f>IF(Feuil1!$E72="", "", IF(LOWER(Feuil1!$E72)=LOWER(E72), "Identique", "Différent"))</f>
        <v>Différent</v>
      </c>
      <c r="R72" t="str">
        <f>IF(OR(P72="⚠️ Libellé ≠ n°", O72="Inconnu"), "⚠️", IF(Q72="Différent", "ℹ️", ""))</f>
        <v>ℹ️</v>
      </c>
      <c r="S72" t="str" cm="1">
        <f t="array" ref="S72">_xlfn.LET(_xlpm.genCat,IFERROR(LOWER(TRIM(G72)),""),_xlpm.principal,IFERROR(LOWER(TRIM(H72)),""),_xlpm.orig,IFERROR(LOWER(TRIM(N72)),""),IF(OR(_xlpm.genCat="",_xlpm.principal=""),"",IF(LEFT(LOWER(G72),5)="autre","OK (Autre)",IF(OR(ISNUMBER(SEARCH(_xlpm.genCat,_xlpm.principal)),ISNUMBER(SEARCH(_xlpm.principal,_xlpm.genCat)),AND(_xlpm.orig&lt;&gt;"",OR(ISNUMBER(SEARCH(_xlpm.genCat,_xlpm.orig)),ISNUMBER(SEARCH(_xlpm.orig,_xlpm.genCat))))),"OK","⚠️ À vérifier"))))</f>
        <v>⚠️ À vérifier</v>
      </c>
      <c r="T72" t="str">
        <f>IF(S72="","",IF(S72="OK (Autre)","Diagnostic générique = 'Autre – …'",IF(S72="OK","Concordance générique/principal","Écart entre générique et principal")))</f>
        <v>Écart entre générique et principal</v>
      </c>
      <c r="U72" t="str" cm="1">
        <f t="array" ref="U72">_xlfn.LET(_xlpm.yr, A72, _xlpm.diag, IF(N72&lt;&gt;"", N72, H72), _xlpm.base, TRIM(SUBSTITUTE(SUBSTITUTE(SUBSTITUTE(SUBSTITUTE(_xlpm.diag,"•"," "),CHAR(160)," "),CHAR(10)," "),"  "," ")), LOWER(_xlpm.yr&amp;"|"&amp;_xlpm.base))</f>
        <v>2014|sténose aortique</v>
      </c>
      <c r="V72" t="str">
        <f>IFERROR(_xlfn.XLOOKUP($AB72,'Cas 2013-2017'!$K:$K,'Cas 2013-2017'!$D:$D,""),"")</f>
        <v/>
      </c>
      <c r="W72" t="str">
        <f>IFERROR(_xlfn.XLOOKUP($AB72,'Cas 2013-2017'!$K:$K,'Cas 2013-2017'!$E:$E,""),"")</f>
        <v/>
      </c>
      <c r="X72" t="str">
        <f>IFERROR(_xlfn.XLOOKUP($AB72,'Cas 2013-2017'!$K:$K,'Cas 2013-2017'!$F:$F,""),"")</f>
        <v/>
      </c>
      <c r="Y72" t="str">
        <f>IFERROR(_xlfn.XLOOKUP($AB72,'Cas 2013-2017'!$K:$K,'Cas 2013-2017'!$G:$G,""),"")</f>
        <v/>
      </c>
      <c r="Z72" t="str">
        <f>IFERROR(_xlfn.XLOOKUP($AB72,'Cas 2013-2017'!$K:$K,'Cas 2013-2017'!$I:$I,""),"")</f>
        <v/>
      </c>
      <c r="AA72" t="str">
        <f>IFERROR(_xlfn.XLOOKUP($AB72,'Cas 2013-2017'!$K:$K,'Cas 2013-2017'!$H:$H,""),"")</f>
        <v/>
      </c>
      <c r="AB72" t="str">
        <f>LOWER($A72 &amp; "|" &amp; $AF72)</f>
        <v>2014|sténose aortique</v>
      </c>
      <c r="AC72" t="str">
        <f>TRIM(SUBSTITUTE(SUBSTITUTE(SUBSTITUTE(SUBSTITUTE(" " &amp; LOWER(TRIM(IF($N72&lt;&gt;"", $N72, $H72))) &amp; " ", " aomi ", " arteriopathie des membres inferieurs "), " hta ", " hypertension arterielle "), " saos ", " syndrome d'apnees obstructives du sommeil "), " rgo ", " reflux gastro-oesophagien ") )</f>
        <v>sténose aortique</v>
      </c>
      <c r="AD72" t="str">
        <f>TRIM(SUBSTITUTE(SUBSTITUTE(SUBSTITUTE(SUBSTITUTE(" " &amp; LOWER(TRIM($AC72)) &amp; " ", " oacr ", " occlusion de l'artere centrale de la retine "), " hsd ", " hematome sous-dural "), " fa ", " fibrillation auriculaire "), " ep ", " embolie pulmonaire ") )</f>
        <v>sténose aortique</v>
      </c>
      <c r="AE72" t="str" cm="1">
        <f t="array" ref="AE72">_xlfn.LET(_xlpm.base, " " &amp; LOWER(TRIM($AD72))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sténose aortique</v>
      </c>
      <c r="AF72" t="str" cm="1">
        <f t="array" ref="AF72">_xlfn.LET(_xlpm.base, " " &amp; LOWER(TRIM($AE72))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sténose aortique</v>
      </c>
    </row>
    <row r="73" spans="1:32" ht="50.25">
      <c r="A73" s="8">
        <v>2014</v>
      </c>
      <c r="B73" s="10" t="s">
        <v>82</v>
      </c>
      <c r="C73" s="8" t="s">
        <v>55</v>
      </c>
      <c r="D73" s="20">
        <v>224</v>
      </c>
      <c r="E73" s="11" t="str">
        <f>IF(D73="","",IFERROR(INDEX(SSP!$E$2:$E$266, MATCH(D73, SSP!$F$2:$F$266, 0)),""))</f>
        <v>Demande de bilan de santé, d’examens radiologiques ou biologiques</v>
      </c>
      <c r="F73" s="11" t="str">
        <f>Feuil1!E73</f>
        <v>Bilan</v>
      </c>
      <c r="G73" s="12" t="s">
        <v>83</v>
      </c>
      <c r="H73" s="13"/>
      <c r="I73" s="13"/>
      <c r="J73" s="15" t="s">
        <v>315</v>
      </c>
      <c r="K73" s="9" t="s">
        <v>316</v>
      </c>
      <c r="L73" s="9" t="s">
        <v>33</v>
      </c>
      <c r="M73" s="9" t="s">
        <v>33</v>
      </c>
      <c r="N73" t="s">
        <v>33</v>
      </c>
      <c r="O73" t="str">
        <f>IFERROR(_xlfn.XLOOKUP($D73, SSP!$F:$F, SSP!$E:$E, "Inconnu"), "")</f>
        <v>Demande de bilan de santé, d’examens radiologiques ou biologiques</v>
      </c>
      <c r="P73" t="str">
        <f>IF(OR(E73="", O73=""), "", IF(LOWER(E73)=LOWER(O73), "OK", "⚠️ Libellé ≠ n°"))</f>
        <v>OK</v>
      </c>
      <c r="Q73" t="str">
        <f>IF(Feuil1!$E73="", "", IF(LOWER(Feuil1!$E73)=LOWER(E73), "Identique", "Différent"))</f>
        <v>Différent</v>
      </c>
      <c r="R73" t="str">
        <f>IF(OR(P73="⚠️ Libellé ≠ n°", O73="Inconnu"), "⚠️", IF(Q73="Différent", "ℹ️", ""))</f>
        <v>ℹ️</v>
      </c>
      <c r="S73" t="str" cm="1">
        <f t="array" ref="S73">_xlfn.LET(_xlpm.genCat,IFERROR(LOWER(TRIM(G73)),""),_xlpm.principal,IFERROR(LOWER(TRIM(H73)),""),_xlpm.orig,IFERROR(LOWER(TRIM(N73)),""),IF(OR(_xlpm.genCat="",_xlpm.principal=""),"",IF(LEFT(LOWER(G73),5)="autre","OK (Autre)",IF(OR(ISNUMBER(SEARCH(_xlpm.genCat,_xlpm.principal)),ISNUMBER(SEARCH(_xlpm.principal,_xlpm.genCat)),AND(_xlpm.orig&lt;&gt;"",OR(ISNUMBER(SEARCH(_xlpm.genCat,_xlpm.orig)),ISNUMBER(SEARCH(_xlpm.orig,_xlpm.genCat))))),"OK","⚠️ À vérifier"))))</f>
        <v/>
      </c>
      <c r="T73" t="str">
        <f>IF(S73="","",IF(S73="OK (Autre)","Diagnostic générique = 'Autre – …'",IF(S73="OK","Concordance générique/principal","Écart entre générique et principal")))</f>
        <v/>
      </c>
      <c r="U73" t="str" cm="1">
        <f t="array" ref="U73">_xlfn.LET(_xlpm.yr, A73, _xlpm.diag, IF(N73&lt;&gt;"", N73, H73), _xlpm.base, TRIM(SUBSTITUTE(SUBSTITUTE(SUBSTITUTE(SUBSTITUTE(_xlpm.diag,"•"," "),CHAR(160)," "),CHAR(10)," "),"  "," ")), LOWER(_xlpm.yr&amp;"|"&amp;_xlpm.base))</f>
        <v>2014|</v>
      </c>
      <c r="V73" t="str">
        <f>IFERROR(_xlfn.XLOOKUP($AB73,'Cas 2013-2017'!$K:$K,'Cas 2013-2017'!$D:$D,""),"")</f>
        <v/>
      </c>
      <c r="W73" t="str">
        <f>IFERROR(_xlfn.XLOOKUP($AB73,'Cas 2013-2017'!$K:$K,'Cas 2013-2017'!$E:$E,""),"")</f>
        <v/>
      </c>
      <c r="X73" t="str">
        <f>IFERROR(_xlfn.XLOOKUP($AB73,'Cas 2013-2017'!$K:$K,'Cas 2013-2017'!$F:$F,""),"")</f>
        <v/>
      </c>
      <c r="Y73" t="str">
        <f>IFERROR(_xlfn.XLOOKUP($AB73,'Cas 2013-2017'!$K:$K,'Cas 2013-2017'!$G:$G,""),"")</f>
        <v/>
      </c>
      <c r="Z73" t="str">
        <f>IFERROR(_xlfn.XLOOKUP($AB73,'Cas 2013-2017'!$K:$K,'Cas 2013-2017'!$I:$I,""),"")</f>
        <v/>
      </c>
      <c r="AA73" t="str">
        <f>IFERROR(_xlfn.XLOOKUP($AB73,'Cas 2013-2017'!$K:$K,'Cas 2013-2017'!$H:$H,""),"")</f>
        <v/>
      </c>
      <c r="AB73" t="str">
        <f>LOWER($A73 &amp; "|" &amp; $AF73)</f>
        <v>2014| </v>
      </c>
      <c r="AC73" t="str">
        <f>TRIM(SUBSTITUTE(SUBSTITUTE(SUBSTITUTE(SUBSTITUTE(" " &amp; LOWER(TRIM(IF($N73&lt;&gt;"", $N73, $H73))) &amp; " ", " aomi ", " arteriopathie des membres inferieurs "), " hta ", " hypertension arterielle "), " saos ", " syndrome d'apnees obstructives du sommeil "), " rgo ", " reflux gastro-oesophagien ") )</f>
        <v> </v>
      </c>
      <c r="AD73" t="str">
        <f>TRIM(SUBSTITUTE(SUBSTITUTE(SUBSTITUTE(SUBSTITUTE(" " &amp; LOWER(TRIM($AC73)) &amp; " ", " oacr ", " occlusion de l'artere centrale de la retine "), " hsd ", " hematome sous-dural "), " fa ", " fibrillation auriculaire "), " ep ", " embolie pulmonaire ") )</f>
        <v> </v>
      </c>
      <c r="AE73" t="str" cm="1">
        <f t="array" ref="AE73">_xlfn.LET(_xlpm.base, " " &amp; LOWER(TRIM($AD73))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73" t="str" cm="1">
        <f t="array" ref="AF73">_xlfn.LET(_xlpm.base, " " &amp; LOWER(TRIM($AE73))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74" spans="1:32" ht="16.5">
      <c r="A74" s="8">
        <v>2014</v>
      </c>
      <c r="B74" s="10" t="s">
        <v>91</v>
      </c>
      <c r="C74" s="8" t="s">
        <v>33</v>
      </c>
      <c r="D74" s="20">
        <v>52</v>
      </c>
      <c r="E74" s="11" t="str">
        <f>IF(D74="","",IFERROR(INDEX(SSP!$E$2:$E$266, MATCH(D74, SSP!$F$2:$F$266, 0)),""))</f>
        <v>Douleur abdominale ou épigastrique</v>
      </c>
      <c r="F74" s="11" t="str">
        <f>Feuil1!E74</f>
        <v>Douleur abdominale</v>
      </c>
      <c r="G74" s="12" t="s">
        <v>160</v>
      </c>
      <c r="H74" s="13" t="s">
        <v>317</v>
      </c>
      <c r="I74" s="13"/>
      <c r="J74" s="15" t="s">
        <v>318</v>
      </c>
      <c r="K74" s="9" t="s">
        <v>33</v>
      </c>
      <c r="L74" s="9" t="s">
        <v>33</v>
      </c>
      <c r="M74" s="9" t="s">
        <v>33</v>
      </c>
      <c r="N74" t="s">
        <v>317</v>
      </c>
      <c r="O74" t="str">
        <f>IFERROR(_xlfn.XLOOKUP($D74, SSP!$F:$F, SSP!$E:$E, "Inconnu"), "")</f>
        <v>Douleur abdominale ou épigastrique</v>
      </c>
      <c r="P74" t="str">
        <f>IF(OR(E74="", O74=""), "", IF(LOWER(E74)=LOWER(O74), "OK", "⚠️ Libellé ≠ n°"))</f>
        <v>OK</v>
      </c>
      <c r="Q74" t="str">
        <f>IF(Feuil1!$E74="", "", IF(LOWER(Feuil1!$E74)=LOWER(E74), "Identique", "Différent"))</f>
        <v>Différent</v>
      </c>
      <c r="R74" t="str">
        <f>IF(OR(P74="⚠️ Libellé ≠ n°", O74="Inconnu"), "⚠️", IF(Q74="Différent", "ℹ️", ""))</f>
        <v>ℹ️</v>
      </c>
      <c r="S74" t="str" cm="1">
        <f t="array" ref="S74">_xlfn.LET(_xlpm.genCat,IFERROR(LOWER(TRIM(G74)),""),_xlpm.principal,IFERROR(LOWER(TRIM(H74)),""),_xlpm.orig,IFERROR(LOWER(TRIM(N74)),""),IF(OR(_xlpm.genCat="",_xlpm.principal=""),"",IF(LEFT(LOWER(G74),5)="autre","OK (Autre)",IF(OR(ISNUMBER(SEARCH(_xlpm.genCat,_xlpm.principal)),ISNUMBER(SEARCH(_xlpm.principal,_xlpm.genCat)),AND(_xlpm.orig&lt;&gt;"",OR(ISNUMBER(SEARCH(_xlpm.genCat,_xlpm.orig)),ISNUMBER(SEARCH(_xlpm.orig,_xlpm.genCat))))),"OK","⚠️ À vérifier"))))</f>
        <v>OK (Autre)</v>
      </c>
      <c r="T74" t="str">
        <f>IF(S74="","",IF(S74="OK (Autre)","Diagnostic générique = 'Autre – …'",IF(S74="OK","Concordance générique/principal","Écart entre générique et principal")))</f>
        <v>Diagnostic générique = 'Autre – …'</v>
      </c>
      <c r="U74" t="str" cm="1">
        <f t="array" ref="U74">_xlfn.LET(_xlpm.yr, A74, _xlpm.diag, IF(N74&lt;&gt;"", N74, H74), _xlpm.base, TRIM(SUBSTITUTE(SUBSTITUTE(SUBSTITUTE(SUBSTITUTE(_xlpm.diag,"•"," "),CHAR(160)," "),CHAR(10)," "),"  "," ")), LOWER(_xlpm.yr&amp;"|"&amp;_xlpm.base))</f>
        <v>2014|cholécystite</v>
      </c>
      <c r="V74" t="str">
        <f>IFERROR(_xlfn.XLOOKUP($AB74,'Cas 2013-2017'!$K:$K,'Cas 2013-2017'!$D:$D,""),"")</f>
        <v/>
      </c>
      <c r="W74" t="str">
        <f>IFERROR(_xlfn.XLOOKUP($AB74,'Cas 2013-2017'!$K:$K,'Cas 2013-2017'!$E:$E,""),"")</f>
        <v/>
      </c>
      <c r="X74" t="str">
        <f>IFERROR(_xlfn.XLOOKUP($AB74,'Cas 2013-2017'!$K:$K,'Cas 2013-2017'!$F:$F,""),"")</f>
        <v/>
      </c>
      <c r="Y74" t="str">
        <f>IFERROR(_xlfn.XLOOKUP($AB74,'Cas 2013-2017'!$K:$K,'Cas 2013-2017'!$G:$G,""),"")</f>
        <v/>
      </c>
      <c r="Z74" t="str">
        <f>IFERROR(_xlfn.XLOOKUP($AB74,'Cas 2013-2017'!$K:$K,'Cas 2013-2017'!$I:$I,""),"")</f>
        <v/>
      </c>
      <c r="AA74" t="str">
        <f>IFERROR(_xlfn.XLOOKUP($AB74,'Cas 2013-2017'!$K:$K,'Cas 2013-2017'!$H:$H,""),"")</f>
        <v/>
      </c>
      <c r="AB74" t="str">
        <f>LOWER($A74 &amp; "|" &amp; $AF74)</f>
        <v>2014|cholécystite</v>
      </c>
      <c r="AC74" t="str">
        <f>TRIM(SUBSTITUTE(SUBSTITUTE(SUBSTITUTE(SUBSTITUTE(" " &amp; LOWER(TRIM(IF($N74&lt;&gt;"", $N74, $H74))) &amp; " ", " aomi ", " arteriopathie des membres inferieurs "), " hta ", " hypertension arterielle "), " saos ", " syndrome d'apnees obstructives du sommeil "), " rgo ", " reflux gastro-oesophagien ") )</f>
        <v>cholécystite</v>
      </c>
      <c r="AD74" t="str">
        <f>TRIM(SUBSTITUTE(SUBSTITUTE(SUBSTITUTE(SUBSTITUTE(" " &amp; LOWER(TRIM($AC74)) &amp; " ", " oacr ", " occlusion de l'artere centrale de la retine "), " hsd ", " hematome sous-dural "), " fa ", " fibrillation auriculaire "), " ep ", " embolie pulmonaire ") )</f>
        <v>cholécystite</v>
      </c>
      <c r="AE74" t="str" cm="1">
        <f t="array" ref="AE74">_xlfn.LET(_xlpm.base, " " &amp; LOWER(TRIM($AD74))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cholécystite</v>
      </c>
      <c r="AF74" t="str" cm="1">
        <f t="array" ref="AF74">_xlfn.LET(_xlpm.base, " " &amp; LOWER(TRIM($AE74))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cholécystite</v>
      </c>
    </row>
    <row r="75" spans="1:32" ht="33.75">
      <c r="A75" s="8">
        <v>2014</v>
      </c>
      <c r="B75" s="10" t="s">
        <v>68</v>
      </c>
      <c r="C75" s="8" t="s">
        <v>33</v>
      </c>
      <c r="D75" s="20">
        <v>59</v>
      </c>
      <c r="E75" s="11" t="str">
        <f>IF(D75="","",IFERROR(INDEX(SSP!$E$2:$E$266, MATCH(D75, SSP!$F$2:$F$266, 0)),""))</f>
        <v>Diarrhée</v>
      </c>
      <c r="F75" s="11" t="str">
        <f>Feuil1!E75</f>
        <v>Vomissement</v>
      </c>
      <c r="G75" s="12" t="s">
        <v>69</v>
      </c>
      <c r="H75" s="13" t="s">
        <v>319</v>
      </c>
      <c r="I75" s="13"/>
      <c r="J75" s="15" t="s">
        <v>320</v>
      </c>
      <c r="K75" s="9" t="s">
        <v>33</v>
      </c>
      <c r="L75" s="9" t="s">
        <v>33</v>
      </c>
      <c r="M75" s="9" t="s">
        <v>33</v>
      </c>
      <c r="N75" t="s">
        <v>319</v>
      </c>
      <c r="O75" t="str">
        <f>IFERROR(_xlfn.XLOOKUP($D75, SSP!$F:$F, SSP!$E:$E, "Inconnu"), "")</f>
        <v>Diarrhée</v>
      </c>
      <c r="P75" t="str">
        <f>IF(OR(E75="", O75=""), "", IF(LOWER(E75)=LOWER(O75), "OK", "⚠️ Libellé ≠ n°"))</f>
        <v>OK</v>
      </c>
      <c r="Q75" t="str">
        <f>IF(Feuil1!$E75="", "", IF(LOWER(Feuil1!$E75)=LOWER(E75), "Identique", "Différent"))</f>
        <v>Différent</v>
      </c>
      <c r="R75" t="str">
        <f>IF(OR(P75="⚠️ Libellé ≠ n°", O75="Inconnu"), "⚠️", IF(Q75="Différent", "ℹ️", ""))</f>
        <v>ℹ️</v>
      </c>
      <c r="S75" t="str" cm="1">
        <f t="array" ref="S75">_xlfn.LET(_xlpm.genCat,IFERROR(LOWER(TRIM(G75)),""),_xlpm.principal,IFERROR(LOWER(TRIM(H75)),""),_xlpm.orig,IFERROR(LOWER(TRIM(N75)),""),IF(OR(_xlpm.genCat="",_xlpm.principal=""),"",IF(LEFT(LOWER(G75),5)="autre","OK (Autre)",IF(OR(ISNUMBER(SEARCH(_xlpm.genCat,_xlpm.principal)),ISNUMBER(SEARCH(_xlpm.principal,_xlpm.genCat)),AND(_xlpm.orig&lt;&gt;"",OR(ISNUMBER(SEARCH(_xlpm.genCat,_xlpm.orig)),ISNUMBER(SEARCH(_xlpm.orig,_xlpm.genCat))))),"OK","⚠️ À vérifier"))))</f>
        <v>⚠️ À vérifier</v>
      </c>
      <c r="T75" t="str">
        <f>IF(S75="","",IF(S75="OK (Autre)","Diagnostic générique = 'Autre – …'",IF(S75="OK","Concordance générique/principal","Écart entre générique et principal")))</f>
        <v>Écart entre générique et principal</v>
      </c>
      <c r="U75" t="str" cm="1">
        <f t="array" ref="U75">_xlfn.LET(_xlpm.yr, A75, _xlpm.diag, IF(N75&lt;&gt;"", N75, H75), _xlpm.base, TRIM(SUBSTITUTE(SUBSTITUTE(SUBSTITUTE(SUBSTITUTE(_xlpm.diag,"•"," "),CHAR(160)," "),CHAR(10)," "),"  "," ")), LOWER(_xlpm.yr&amp;"|"&amp;_xlpm.base))</f>
        <v>2014|gastroentérite virale (intoxication alimentaire)</v>
      </c>
      <c r="V75" t="str">
        <f>IFERROR(_xlfn.XLOOKUP($AB75,'Cas 2013-2017'!$K:$K,'Cas 2013-2017'!$D:$D,""),"")</f>
        <v/>
      </c>
      <c r="W75" t="str">
        <f>IFERROR(_xlfn.XLOOKUP($AB75,'Cas 2013-2017'!$K:$K,'Cas 2013-2017'!$E:$E,""),"")</f>
        <v/>
      </c>
      <c r="X75" t="str">
        <f>IFERROR(_xlfn.XLOOKUP($AB75,'Cas 2013-2017'!$K:$K,'Cas 2013-2017'!$F:$F,""),"")</f>
        <v/>
      </c>
      <c r="Y75" t="str">
        <f>IFERROR(_xlfn.XLOOKUP($AB75,'Cas 2013-2017'!$K:$K,'Cas 2013-2017'!$G:$G,""),"")</f>
        <v/>
      </c>
      <c r="Z75" t="str">
        <f>IFERROR(_xlfn.XLOOKUP($AB75,'Cas 2013-2017'!$K:$K,'Cas 2013-2017'!$I:$I,""),"")</f>
        <v/>
      </c>
      <c r="AA75" t="str">
        <f>IFERROR(_xlfn.XLOOKUP($AB75,'Cas 2013-2017'!$K:$K,'Cas 2013-2017'!$H:$H,""),"")</f>
        <v/>
      </c>
      <c r="AB75" t="str">
        <f>LOWER($A75 &amp; "|" &amp; $AF75)</f>
        <v>2014|gastroentérite virale (intoxication alimentaire)</v>
      </c>
      <c r="AC75" t="str">
        <f>TRIM(SUBSTITUTE(SUBSTITUTE(SUBSTITUTE(SUBSTITUTE(" " &amp; LOWER(TRIM(IF($N75&lt;&gt;"", $N75, $H75))) &amp; " ", " aomi ", " arteriopathie des membres inferieurs "), " hta ", " hypertension arterielle "), " saos ", " syndrome d'apnees obstructives du sommeil "), " rgo ", " reflux gastro-oesophagien ") )</f>
        <v>gastroentérite virale (intoxication alimentaire)</v>
      </c>
      <c r="AD75" t="str">
        <f>TRIM(SUBSTITUTE(SUBSTITUTE(SUBSTITUTE(SUBSTITUTE(" " &amp; LOWER(TRIM($AC75)) &amp; " ", " oacr ", " occlusion de l'artere centrale de la retine "), " hsd ", " hematome sous-dural "), " fa ", " fibrillation auriculaire "), " ep ", " embolie pulmonaire ") )</f>
        <v>gastroentérite virale (intoxication alimentaire)</v>
      </c>
      <c r="AE75" t="str" cm="1">
        <f t="array" ref="AE75">_xlfn.LET(_xlpm.base, " " &amp; LOWER(TRIM($AD75))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gastroentérite virale (intoxication alimentaire)</v>
      </c>
      <c r="AF75" t="str" cm="1">
        <f t="array" ref="AF75">_xlfn.LET(_xlpm.base, " " &amp; LOWER(TRIM($AE75))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gastroentérite virale (intoxication alimentaire)</v>
      </c>
    </row>
    <row r="76" spans="1:32" ht="16.5">
      <c r="A76" s="8">
        <v>2014</v>
      </c>
      <c r="B76" s="10" t="s">
        <v>68</v>
      </c>
      <c r="C76" s="8" t="s">
        <v>33</v>
      </c>
      <c r="D76" s="20">
        <v>52</v>
      </c>
      <c r="E76" s="11" t="str">
        <f>IF(D76="","",IFERROR(INDEX(SSP!$E$2:$E$266, MATCH(D76, SSP!$F$2:$F$266, 0)),""))</f>
        <v>Douleur abdominale ou épigastrique</v>
      </c>
      <c r="F76" s="11" t="str">
        <f>Feuil1!E76</f>
        <v>Douleur abdominale</v>
      </c>
      <c r="G76" s="12" t="s">
        <v>321</v>
      </c>
      <c r="H76" s="13" t="s">
        <v>322</v>
      </c>
      <c r="I76" s="13"/>
      <c r="J76" s="16" t="s">
        <v>165</v>
      </c>
      <c r="K76" s="9" t="s">
        <v>33</v>
      </c>
      <c r="L76" s="9" t="s">
        <v>33</v>
      </c>
      <c r="M76" s="9" t="s">
        <v>33</v>
      </c>
      <c r="N76" t="s">
        <v>322</v>
      </c>
      <c r="O76" t="str">
        <f>IFERROR(_xlfn.XLOOKUP($D76, SSP!$F:$F, SSP!$E:$E, "Inconnu"), "")</f>
        <v>Douleur abdominale ou épigastrique</v>
      </c>
      <c r="P76" t="str">
        <f>IF(OR(E76="", O76=""), "", IF(LOWER(E76)=LOWER(O76), "OK", "⚠️ Libellé ≠ n°"))</f>
        <v>OK</v>
      </c>
      <c r="Q76" t="str">
        <f>IF(Feuil1!$E76="", "", IF(LOWER(Feuil1!$E76)=LOWER(E76), "Identique", "Différent"))</f>
        <v>Différent</v>
      </c>
      <c r="R76" t="str">
        <f>IF(OR(P76="⚠️ Libellé ≠ n°", O76="Inconnu"), "⚠️", IF(Q76="Différent", "ℹ️", ""))</f>
        <v>ℹ️</v>
      </c>
      <c r="S76" t="str" cm="1">
        <f t="array" ref="S76">_xlfn.LET(_xlpm.genCat,IFERROR(LOWER(TRIM(G76)),""),_xlpm.principal,IFERROR(LOWER(TRIM(H76)),""),_xlpm.orig,IFERROR(LOWER(TRIM(N76)),""),IF(OR(_xlpm.genCat="",_xlpm.principal=""),"",IF(LEFT(LOWER(G76),5)="autre","OK (Autre)",IF(OR(ISNUMBER(SEARCH(_xlpm.genCat,_xlpm.principal)),ISNUMBER(SEARCH(_xlpm.principal,_xlpm.genCat)),AND(_xlpm.orig&lt;&gt;"",OR(ISNUMBER(SEARCH(_xlpm.genCat,_xlpm.orig)),ISNUMBER(SEARCH(_xlpm.orig,_xlpm.genCat))))),"OK","⚠️ À vérifier"))))</f>
        <v>⚠️ À vérifier</v>
      </c>
      <c r="T76" t="str">
        <f>IF(S76="","",IF(S76="OK (Autre)","Diagnostic générique = 'Autre – …'",IF(S76="OK","Concordance générique/principal","Écart entre générique et principal")))</f>
        <v>Écart entre générique et principal</v>
      </c>
      <c r="U76" t="str" cm="1">
        <f t="array" ref="U76">_xlfn.LET(_xlpm.yr, A76, _xlpm.diag, IF(N76&lt;&gt;"", N76, H76), _xlpm.base, TRIM(SUBSTITUTE(SUBSTITUTE(SUBSTITUTE(SUBSTITUTE(_xlpm.diag,"•"," "),CHAR(160)," "),CHAR(10)," "),"  "," ")), LOWER(_xlpm.yr&amp;"|"&amp;_xlpm.base))</f>
        <v>2014|ulcère gastrique</v>
      </c>
      <c r="V76">
        <f>IFERROR(_xlfn.XLOOKUP($AB76,'Cas 2013-2017'!$K:$K,'Cas 2013-2017'!$D:$D,""),"")</f>
        <v>0</v>
      </c>
      <c r="W76">
        <f>IFERROR(_xlfn.XLOOKUP($AB76,'Cas 2013-2017'!$K:$K,'Cas 2013-2017'!$E:$E,""),"")</f>
        <v>0</v>
      </c>
      <c r="X76">
        <f>IFERROR(_xlfn.XLOOKUP($AB76,'Cas 2013-2017'!$K:$K,'Cas 2013-2017'!$F:$F,""),"")</f>
        <v>0</v>
      </c>
      <c r="Y76">
        <f>IFERROR(_xlfn.XLOOKUP($AB76,'Cas 2013-2017'!$K:$K,'Cas 2013-2017'!$G:$G,""),"")</f>
        <v>0</v>
      </c>
      <c r="Z76">
        <f>IFERROR(_xlfn.XLOOKUP($AB76,'Cas 2013-2017'!$K:$K,'Cas 2013-2017'!$I:$I,""),"")</f>
        <v>0</v>
      </c>
      <c r="AA76">
        <f>IFERROR(_xlfn.XLOOKUP($AB76,'Cas 2013-2017'!$K:$K,'Cas 2013-2017'!$H:$H,""),"")</f>
        <v>0</v>
      </c>
      <c r="AB76" t="str">
        <f>LOWER($A76 &amp; "|" &amp; $AF76)</f>
        <v>2014|ulcère gastrique</v>
      </c>
      <c r="AC76" t="str">
        <f>TRIM(SUBSTITUTE(SUBSTITUTE(SUBSTITUTE(SUBSTITUTE(" " &amp; LOWER(TRIM(IF($N76&lt;&gt;"", $N76, $H76))) &amp; " ", " aomi ", " arteriopathie des membres inferieurs "), " hta ", " hypertension arterielle "), " saos ", " syndrome d'apnees obstructives du sommeil "), " rgo ", " reflux gastro-oesophagien ") )</f>
        <v>ulcère gastrique</v>
      </c>
      <c r="AD76" t="str">
        <f>TRIM(SUBSTITUTE(SUBSTITUTE(SUBSTITUTE(SUBSTITUTE(" " &amp; LOWER(TRIM($AC76)) &amp; " ", " oacr ", " occlusion de l'artere centrale de la retine "), " hsd ", " hematome sous-dural "), " fa ", " fibrillation auriculaire "), " ep ", " embolie pulmonaire ") )</f>
        <v>ulcère gastrique</v>
      </c>
      <c r="AE76" t="str" cm="1">
        <f t="array" ref="AE76">_xlfn.LET(_xlpm.base, " " &amp; LOWER(TRIM($AD76))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ulcère gastrique</v>
      </c>
      <c r="AF76" t="str" cm="1">
        <f t="array" ref="AF76">_xlfn.LET(_xlpm.base, " " &amp; LOWER(TRIM($AE76))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ulcère gastrique</v>
      </c>
    </row>
    <row r="77" spans="1:32" ht="33.75">
      <c r="A77" s="8">
        <v>2014</v>
      </c>
      <c r="B77" s="10" t="s">
        <v>87</v>
      </c>
      <c r="C77" s="8" t="s">
        <v>33</v>
      </c>
      <c r="D77" s="20">
        <v>52</v>
      </c>
      <c r="E77" s="11" t="str">
        <f>IF(D77="","",IFERROR(INDEX(SSP!$E$2:$E$266, MATCH(D77, SSP!$F$2:$F$266, 0)),""))</f>
        <v>Douleur abdominale ou épigastrique</v>
      </c>
      <c r="F77" s="11" t="str">
        <f>Feuil1!E77</f>
        <v>Douleur abdominale</v>
      </c>
      <c r="G77" s="12" t="s">
        <v>323</v>
      </c>
      <c r="H77" s="13" t="s">
        <v>324</v>
      </c>
      <c r="I77" s="13"/>
      <c r="J77" s="15" t="s">
        <v>325</v>
      </c>
      <c r="K77" s="9" t="s">
        <v>33</v>
      </c>
      <c r="L77" s="9" t="s">
        <v>33</v>
      </c>
      <c r="M77" s="9" t="s">
        <v>33</v>
      </c>
      <c r="N77" t="s">
        <v>324</v>
      </c>
      <c r="O77" t="str">
        <f>IFERROR(_xlfn.XLOOKUP($D77, SSP!$F:$F, SSP!$E:$E, "Inconnu"), "")</f>
        <v>Douleur abdominale ou épigastrique</v>
      </c>
      <c r="P77" t="str">
        <f>IF(OR(E77="", O77=""), "", IF(LOWER(E77)=LOWER(O77), "OK", "⚠️ Libellé ≠ n°"))</f>
        <v>OK</v>
      </c>
      <c r="Q77" t="str">
        <f>IF(Feuil1!$E77="", "", IF(LOWER(Feuil1!$E77)=LOWER(E77), "Identique", "Différent"))</f>
        <v>Différent</v>
      </c>
      <c r="R77" t="str">
        <f>IF(OR(P77="⚠️ Libellé ≠ n°", O77="Inconnu"), "⚠️", IF(Q77="Différent", "ℹ️", ""))</f>
        <v>ℹ️</v>
      </c>
      <c r="S77" t="str" cm="1">
        <f t="array" ref="S77">_xlfn.LET(_xlpm.genCat,IFERROR(LOWER(TRIM(G77)),""),_xlpm.principal,IFERROR(LOWER(TRIM(H77)),""),_xlpm.orig,IFERROR(LOWER(TRIM(N77)),""),IF(OR(_xlpm.genCat="",_xlpm.principal=""),"",IF(LEFT(LOWER(G77),5)="autre","OK (Autre)",IF(OR(ISNUMBER(SEARCH(_xlpm.genCat,_xlpm.principal)),ISNUMBER(SEARCH(_xlpm.principal,_xlpm.genCat)),AND(_xlpm.orig&lt;&gt;"",OR(ISNUMBER(SEARCH(_xlpm.genCat,_xlpm.orig)),ISNUMBER(SEARCH(_xlpm.orig,_xlpm.genCat))))),"OK","⚠️ À vérifier"))))</f>
        <v>OK</v>
      </c>
      <c r="T77" t="str">
        <f>IF(S77="","",IF(S77="OK (Autre)","Diagnostic générique = 'Autre – …'",IF(S77="OK","Concordance générique/principal","Écart entre générique et principal")))</f>
        <v>Concordance générique/principal</v>
      </c>
      <c r="U77" t="str" cm="1">
        <f t="array" ref="U77">_xlfn.LET(_xlpm.yr, A77, _xlpm.diag, IF(N77&lt;&gt;"", N77, H77), _xlpm.base, TRIM(SUBSTITUTE(SUBSTITUTE(SUBSTITUTE(SUBSTITUTE(_xlpm.diag,"•"," "),CHAR(160)," "),CHAR(10)," "),"  "," ")), LOWER(_xlpm.yr&amp;"|"&amp;_xlpm.base))</f>
        <v>2014|geu (grossesse extra-utérine)</v>
      </c>
      <c r="V77" t="str">
        <f>IFERROR(_xlfn.XLOOKUP($AB77,'Cas 2013-2017'!$K:$K,'Cas 2013-2017'!$D:$D,""),"")</f>
        <v/>
      </c>
      <c r="W77" t="str">
        <f>IFERROR(_xlfn.XLOOKUP($AB77,'Cas 2013-2017'!$K:$K,'Cas 2013-2017'!$E:$E,""),"")</f>
        <v/>
      </c>
      <c r="X77" t="str">
        <f>IFERROR(_xlfn.XLOOKUP($AB77,'Cas 2013-2017'!$K:$K,'Cas 2013-2017'!$F:$F,""),"")</f>
        <v/>
      </c>
      <c r="Y77" t="str">
        <f>IFERROR(_xlfn.XLOOKUP($AB77,'Cas 2013-2017'!$K:$K,'Cas 2013-2017'!$G:$G,""),"")</f>
        <v/>
      </c>
      <c r="Z77" t="str">
        <f>IFERROR(_xlfn.XLOOKUP($AB77,'Cas 2013-2017'!$K:$K,'Cas 2013-2017'!$I:$I,""),"")</f>
        <v/>
      </c>
      <c r="AA77" t="str">
        <f>IFERROR(_xlfn.XLOOKUP($AB77,'Cas 2013-2017'!$K:$K,'Cas 2013-2017'!$H:$H,""),"")</f>
        <v/>
      </c>
      <c r="AB77" t="str">
        <f>LOWER($A77 &amp; "|" &amp; $AF77)</f>
        <v>2014|grossesse extra-uterine (grossesse extra-utérine)</v>
      </c>
      <c r="AC77" t="str">
        <f>TRIM(SUBSTITUTE(SUBSTITUTE(SUBSTITUTE(SUBSTITUTE(" " &amp; LOWER(TRIM(IF($N77&lt;&gt;"", $N77, $H77))) &amp; " ", " aomi ", " arteriopathie des membres inferieurs "), " hta ", " hypertension arterielle "), " saos ", " syndrome d'apnees obstructives du sommeil "), " rgo ", " reflux gastro-oesophagien ") )</f>
        <v>geu (grossesse extra-utérine)</v>
      </c>
      <c r="AD77" t="str">
        <f>TRIM(SUBSTITUTE(SUBSTITUTE(SUBSTITUTE(SUBSTITUTE(" " &amp; LOWER(TRIM($AC77)) &amp; " ", " oacr ", " occlusion de l'artere centrale de la retine "), " hsd ", " hematome sous-dural "), " fa ", " fibrillation auriculaire "), " ep ", " embolie pulmonaire ") )</f>
        <v>geu (grossesse extra-utérine)</v>
      </c>
      <c r="AE77" t="str" cm="1">
        <f t="array" ref="AE77">_xlfn.LET(_xlpm.base, " " &amp; LOWER(TRIM($AD77))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geu (grossesse extra-utérine)</v>
      </c>
      <c r="AF77" t="str" cm="1">
        <f t="array" ref="AF77">_xlfn.LET(_xlpm.base, " " &amp; LOWER(TRIM($AE77))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grossesse extra-uterine (grossesse extra-utérine)</v>
      </c>
    </row>
    <row r="78" spans="1:32" ht="33.75">
      <c r="A78" s="8">
        <v>2014</v>
      </c>
      <c r="B78" s="10" t="s">
        <v>87</v>
      </c>
      <c r="C78" s="8" t="s">
        <v>33</v>
      </c>
      <c r="D78" s="20">
        <v>65</v>
      </c>
      <c r="E78" s="11" t="str">
        <f>IF(D78="","",IFERROR(INDEX(SSP!$E$2:$E$266, MATCH(D78, SSP!$F$2:$F$266, 0)),""))</f>
        <v>Troubles de la conception (infertilité, stérilité)</v>
      </c>
      <c r="F78" s="11" t="str">
        <f>Feuil1!E78</f>
        <v>Procréation</v>
      </c>
      <c r="G78" s="12" t="s">
        <v>326</v>
      </c>
      <c r="H78" s="13" t="s">
        <v>327</v>
      </c>
      <c r="I78" s="13"/>
      <c r="J78" s="15" t="s">
        <v>328</v>
      </c>
      <c r="K78" s="9" t="s">
        <v>33</v>
      </c>
      <c r="L78" s="9" t="s">
        <v>33</v>
      </c>
      <c r="M78" s="9" t="s">
        <v>33</v>
      </c>
      <c r="N78" t="s">
        <v>327</v>
      </c>
      <c r="O78" t="str">
        <f>IFERROR(_xlfn.XLOOKUP($D78, SSP!$F:$F, SSP!$E:$E, "Inconnu"), "")</f>
        <v>Troubles de la conception (infertilité, stérilité)</v>
      </c>
      <c r="P78" t="str">
        <f>IF(OR(E78="", O78=""), "", IF(LOWER(E78)=LOWER(O78), "OK", "⚠️ Libellé ≠ n°"))</f>
        <v>OK</v>
      </c>
      <c r="Q78" t="str">
        <f>IF(Feuil1!$E78="", "", IF(LOWER(Feuil1!$E78)=LOWER(E78), "Identique", "Différent"))</f>
        <v>Différent</v>
      </c>
      <c r="R78" t="str">
        <f>IF(OR(P78="⚠️ Libellé ≠ n°", O78="Inconnu"), "⚠️", IF(Q78="Différent", "ℹ️", ""))</f>
        <v>ℹ️</v>
      </c>
      <c r="S78" t="str" cm="1">
        <f t="array" ref="S78">_xlfn.LET(_xlpm.genCat,IFERROR(LOWER(TRIM(G78)),""),_xlpm.principal,IFERROR(LOWER(TRIM(H78)),""),_xlpm.orig,IFERROR(LOWER(TRIM(N78)),""),IF(OR(_xlpm.genCat="",_xlpm.principal=""),"",IF(LEFT(LOWER(G78),5)="autre","OK (Autre)",IF(OR(ISNUMBER(SEARCH(_xlpm.genCat,_xlpm.principal)),ISNUMBER(SEARCH(_xlpm.principal,_xlpm.genCat)),AND(_xlpm.orig&lt;&gt;"",OR(ISNUMBER(SEARCH(_xlpm.genCat,_xlpm.orig)),ISNUMBER(SEARCH(_xlpm.orig,_xlpm.genCat))))),"OK","⚠️ À vérifier"))))</f>
        <v>⚠️ À vérifier</v>
      </c>
      <c r="T78" t="str">
        <f>IF(S78="","",IF(S78="OK (Autre)","Diagnostic générique = 'Autre – …'",IF(S78="OK","Concordance générique/principal","Écart entre générique et principal")))</f>
        <v>Écart entre générique et principal</v>
      </c>
      <c r="U78" t="str" cm="1">
        <f t="array" ref="U78">_xlfn.LET(_xlpm.yr, A78, _xlpm.diag, IF(N78&lt;&gt;"", N78, H78), _xlpm.base, TRIM(SUBSTITUTE(SUBSTITUTE(SUBSTITUTE(SUBSTITUTE(_xlpm.diag,"•"," "),CHAR(160)," "),CHAR(10)," "),"  "," ")), LOWER(_xlpm.yr&amp;"|"&amp;_xlpm.base))</f>
        <v>2014|infertilité femme</v>
      </c>
      <c r="V78" t="str">
        <f>IFERROR(_xlfn.XLOOKUP($AB78,'Cas 2013-2017'!$K:$K,'Cas 2013-2017'!$D:$D,""),"")</f>
        <v/>
      </c>
      <c r="W78" t="str">
        <f>IFERROR(_xlfn.XLOOKUP($AB78,'Cas 2013-2017'!$K:$K,'Cas 2013-2017'!$E:$E,""),"")</f>
        <v/>
      </c>
      <c r="X78" t="str">
        <f>IFERROR(_xlfn.XLOOKUP($AB78,'Cas 2013-2017'!$K:$K,'Cas 2013-2017'!$F:$F,""),"")</f>
        <v/>
      </c>
      <c r="Y78" t="str">
        <f>IFERROR(_xlfn.XLOOKUP($AB78,'Cas 2013-2017'!$K:$K,'Cas 2013-2017'!$G:$G,""),"")</f>
        <v/>
      </c>
      <c r="Z78" t="str">
        <f>IFERROR(_xlfn.XLOOKUP($AB78,'Cas 2013-2017'!$K:$K,'Cas 2013-2017'!$I:$I,""),"")</f>
        <v/>
      </c>
      <c r="AA78" t="str">
        <f>IFERROR(_xlfn.XLOOKUP($AB78,'Cas 2013-2017'!$K:$K,'Cas 2013-2017'!$H:$H,""),"")</f>
        <v/>
      </c>
      <c r="AB78" t="str">
        <f>LOWER($A78 &amp; "|" &amp; $AF78)</f>
        <v>2014|infertilité femme</v>
      </c>
      <c r="AC78" t="str">
        <f>TRIM(SUBSTITUTE(SUBSTITUTE(SUBSTITUTE(SUBSTITUTE(" " &amp; LOWER(TRIM(IF($N78&lt;&gt;"", $N78, $H78))) &amp; " ", " aomi ", " arteriopathie des membres inferieurs "), " hta ", " hypertension arterielle "), " saos ", " syndrome d'apnees obstructives du sommeil "), " rgo ", " reflux gastro-oesophagien ") )</f>
        <v>infertilité femme</v>
      </c>
      <c r="AD78" t="str">
        <f>TRIM(SUBSTITUTE(SUBSTITUTE(SUBSTITUTE(SUBSTITUTE(" " &amp; LOWER(TRIM($AC78)) &amp; " ", " oacr ", " occlusion de l'artere centrale de la retine "), " hsd ", " hematome sous-dural "), " fa ", " fibrillation auriculaire "), " ep ", " embolie pulmonaire ") )</f>
        <v>infertilité femme</v>
      </c>
      <c r="AE78" t="str" cm="1">
        <f t="array" ref="AE78">_xlfn.LET(_xlpm.base, " " &amp; LOWER(TRIM($AD78))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infertilité femme</v>
      </c>
      <c r="AF78" t="str" cm="1">
        <f t="array" ref="AF78">_xlfn.LET(_xlpm.base, " " &amp; LOWER(TRIM($AE78))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infertilité femme</v>
      </c>
    </row>
    <row r="79" spans="1:32" ht="50.25">
      <c r="A79" s="8">
        <v>2014</v>
      </c>
      <c r="B79" s="10" t="s">
        <v>91</v>
      </c>
      <c r="C79" s="8" t="s">
        <v>33</v>
      </c>
      <c r="D79" s="20">
        <v>93</v>
      </c>
      <c r="E79" s="11" t="str">
        <f>IF(D79="","",IFERROR(INDEX(SSP!$E$2:$E$266, MATCH(D79, SSP!$F$2:$F$266, 0)),""))</f>
        <v>Macules, papules, pustules, vésicules, ulcères, abcès, bulles, épaississement cutané, nécrose, tumeur cutanée</v>
      </c>
      <c r="F79" s="11" t="str">
        <f>Feuil1!E79</f>
        <v>Éruption cutanée</v>
      </c>
      <c r="G79" s="12" t="s">
        <v>160</v>
      </c>
      <c r="H79" s="13" t="s">
        <v>329</v>
      </c>
      <c r="I79" s="13"/>
      <c r="J79" s="15" t="s">
        <v>330</v>
      </c>
      <c r="K79" s="9" t="s">
        <v>331</v>
      </c>
      <c r="L79" s="9" t="s">
        <v>33</v>
      </c>
      <c r="M79" s="9" t="s">
        <v>33</v>
      </c>
      <c r="N79" t="s">
        <v>329</v>
      </c>
      <c r="O79" t="str">
        <f>IFERROR(_xlfn.XLOOKUP($D79, SSP!$F:$F, SSP!$E:$E, "Inconnu"), "")</f>
        <v>Macules, papules, pustules, vésicules, ulcères, abcès, bulles, épaississement cutané, nécrose, tumeur cutanée</v>
      </c>
      <c r="P79" t="str">
        <f>IF(OR(E79="", O79=""), "", IF(LOWER(E79)=LOWER(O79), "OK", "⚠️ Libellé ≠ n°"))</f>
        <v>OK</v>
      </c>
      <c r="Q79" t="str">
        <f>IF(Feuil1!$E79="", "", IF(LOWER(Feuil1!$E79)=LOWER(E79), "Identique", "Différent"))</f>
        <v>Différent</v>
      </c>
      <c r="R79" t="str">
        <f>IF(OR(P79="⚠️ Libellé ≠ n°", O79="Inconnu"), "⚠️", IF(Q79="Différent", "ℹ️", ""))</f>
        <v>ℹ️</v>
      </c>
      <c r="S79" t="str" cm="1">
        <f t="array" ref="S79">_xlfn.LET(_xlpm.genCat,IFERROR(LOWER(TRIM(G79)),""),_xlpm.principal,IFERROR(LOWER(TRIM(H79)),""),_xlpm.orig,IFERROR(LOWER(TRIM(N79)),""),IF(OR(_xlpm.genCat="",_xlpm.principal=""),"",IF(LEFT(LOWER(G79),5)="autre","OK (Autre)",IF(OR(ISNUMBER(SEARCH(_xlpm.genCat,_xlpm.principal)),ISNUMBER(SEARCH(_xlpm.principal,_xlpm.genCat)),AND(_xlpm.orig&lt;&gt;"",OR(ISNUMBER(SEARCH(_xlpm.genCat,_xlpm.orig)),ISNUMBER(SEARCH(_xlpm.orig,_xlpm.genCat))))),"OK","⚠️ À vérifier"))))</f>
        <v>OK (Autre)</v>
      </c>
      <c r="T79" t="str">
        <f>IF(S79="","",IF(S79="OK (Autre)","Diagnostic générique = 'Autre – …'",IF(S79="OK","Concordance générique/principal","Écart entre générique et principal")))</f>
        <v>Diagnostic générique = 'Autre – …'</v>
      </c>
      <c r="U79" t="str" cm="1">
        <f t="array" ref="U79">_xlfn.LET(_xlpm.yr, A79, _xlpm.diag, IF(N79&lt;&gt;"", N79, H79), _xlpm.base, TRIM(SUBSTITUTE(SUBSTITUTE(SUBSTITUTE(SUBSTITUTE(_xlpm.diag,"•"," "),CHAR(160)," "),CHAR(10)," "),"  "," ")), LOWER(_xlpm.yr&amp;"|"&amp;_xlpm.base))</f>
        <v>2014|scarlatine</v>
      </c>
      <c r="V79" t="str">
        <f>IFERROR(_xlfn.XLOOKUP($AB79,'Cas 2013-2017'!$K:$K,'Cas 2013-2017'!$D:$D,""),"")</f>
        <v/>
      </c>
      <c r="W79" t="str">
        <f>IFERROR(_xlfn.XLOOKUP($AB79,'Cas 2013-2017'!$K:$K,'Cas 2013-2017'!$E:$E,""),"")</f>
        <v/>
      </c>
      <c r="X79" t="str">
        <f>IFERROR(_xlfn.XLOOKUP($AB79,'Cas 2013-2017'!$K:$K,'Cas 2013-2017'!$F:$F,""),"")</f>
        <v/>
      </c>
      <c r="Y79" t="str">
        <f>IFERROR(_xlfn.XLOOKUP($AB79,'Cas 2013-2017'!$K:$K,'Cas 2013-2017'!$G:$G,""),"")</f>
        <v/>
      </c>
      <c r="Z79" t="str">
        <f>IFERROR(_xlfn.XLOOKUP($AB79,'Cas 2013-2017'!$K:$K,'Cas 2013-2017'!$I:$I,""),"")</f>
        <v/>
      </c>
      <c r="AA79" t="str">
        <f>IFERROR(_xlfn.XLOOKUP($AB79,'Cas 2013-2017'!$K:$K,'Cas 2013-2017'!$H:$H,""),"")</f>
        <v/>
      </c>
      <c r="AB79" t="str">
        <f>LOWER($A79 &amp; "|" &amp; $AF79)</f>
        <v>2014|scarlatine</v>
      </c>
      <c r="AC79" t="str">
        <f>TRIM(SUBSTITUTE(SUBSTITUTE(SUBSTITUTE(SUBSTITUTE(" " &amp; LOWER(TRIM(IF($N79&lt;&gt;"", $N79, $H79))) &amp; " ", " aomi ", " arteriopathie des membres inferieurs "), " hta ", " hypertension arterielle "), " saos ", " syndrome d'apnees obstructives du sommeil "), " rgo ", " reflux gastro-oesophagien ") )</f>
        <v>scarlatine</v>
      </c>
      <c r="AD79" t="str">
        <f>TRIM(SUBSTITUTE(SUBSTITUTE(SUBSTITUTE(SUBSTITUTE(" " &amp; LOWER(TRIM($AC79)) &amp; " ", " oacr ", " occlusion de l'artere centrale de la retine "), " hsd ", " hematome sous-dural "), " fa ", " fibrillation auriculaire "), " ep ", " embolie pulmonaire ") )</f>
        <v>scarlatine</v>
      </c>
      <c r="AE79" t="str" cm="1">
        <f t="array" ref="AE79">_xlfn.LET(_xlpm.base, " " &amp; LOWER(TRIM($AD79))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scarlatine</v>
      </c>
      <c r="AF79" t="str" cm="1">
        <f t="array" ref="AF79">_xlfn.LET(_xlpm.base, " " &amp; LOWER(TRIM($AE79))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scarlatine</v>
      </c>
    </row>
    <row r="80" spans="1:32" ht="50.25">
      <c r="A80" s="8">
        <v>2014</v>
      </c>
      <c r="B80" s="10" t="s">
        <v>91</v>
      </c>
      <c r="C80" s="8" t="s">
        <v>33</v>
      </c>
      <c r="D80" s="20">
        <v>93</v>
      </c>
      <c r="E80" s="11" t="str">
        <f>IF(D80="","",IFERROR(INDEX(SSP!$E$2:$E$266, MATCH(D80, SSP!$F$2:$F$266, 0)),""))</f>
        <v>Macules, papules, pustules, vésicules, ulcères, abcès, bulles, épaississement cutané, nécrose, tumeur cutanée</v>
      </c>
      <c r="F80" s="11" t="str">
        <f>Feuil1!E80</f>
        <v>Éruption cutanée</v>
      </c>
      <c r="G80" s="12" t="s">
        <v>92</v>
      </c>
      <c r="H80" s="13" t="s">
        <v>332</v>
      </c>
      <c r="I80" s="13"/>
      <c r="J80" s="15" t="s">
        <v>333</v>
      </c>
      <c r="K80" s="9" t="s">
        <v>334</v>
      </c>
      <c r="L80" s="9" t="s">
        <v>33</v>
      </c>
      <c r="M80" s="9" t="s">
        <v>33</v>
      </c>
      <c r="N80" t="s">
        <v>332</v>
      </c>
      <c r="O80" t="str">
        <f>IFERROR(_xlfn.XLOOKUP($D80, SSP!$F:$F, SSP!$E:$E, "Inconnu"), "")</f>
        <v>Macules, papules, pustules, vésicules, ulcères, abcès, bulles, épaississement cutané, nécrose, tumeur cutanée</v>
      </c>
      <c r="P80" t="str">
        <f>IF(OR(E80="", O80=""), "", IF(LOWER(E80)=LOWER(O80), "OK", "⚠️ Libellé ≠ n°"))</f>
        <v>OK</v>
      </c>
      <c r="Q80" t="str">
        <f>IF(Feuil1!$E80="", "", IF(LOWER(Feuil1!$E80)=LOWER(E80), "Identique", "Différent"))</f>
        <v>Différent</v>
      </c>
      <c r="R80" t="str">
        <f>IF(OR(P80="⚠️ Libellé ≠ n°", O80="Inconnu"), "⚠️", IF(Q80="Différent", "ℹ️", ""))</f>
        <v>ℹ️</v>
      </c>
      <c r="S80" t="str" cm="1">
        <f t="array" ref="S80">_xlfn.LET(_xlpm.genCat,IFERROR(LOWER(TRIM(G80)),""),_xlpm.principal,IFERROR(LOWER(TRIM(H80)),""),_xlpm.orig,IFERROR(LOWER(TRIM(N80)),""),IF(OR(_xlpm.genCat="",_xlpm.principal=""),"",IF(LEFT(LOWER(G80),5)="autre","OK (Autre)",IF(OR(ISNUMBER(SEARCH(_xlpm.genCat,_xlpm.principal)),ISNUMBER(SEARCH(_xlpm.principal,_xlpm.genCat)),AND(_xlpm.orig&lt;&gt;"",OR(ISNUMBER(SEARCH(_xlpm.genCat,_xlpm.orig)),ISNUMBER(SEARCH(_xlpm.orig,_xlpm.genCat))))),"OK","⚠️ À vérifier"))))</f>
        <v>⚠️ À vérifier</v>
      </c>
      <c r="T80" t="str">
        <f>IF(S80="","",IF(S80="OK (Autre)","Diagnostic générique = 'Autre – …'",IF(S80="OK","Concordance générique/principal","Écart entre générique et principal")))</f>
        <v>Écart entre générique et principal</v>
      </c>
      <c r="U80" t="str" cm="1">
        <f t="array" ref="U80">_xlfn.LET(_xlpm.yr, A80, _xlpm.diag, IF(N80&lt;&gt;"", N80, H80), _xlpm.base, TRIM(SUBSTITUTE(SUBSTITUTE(SUBSTITUTE(SUBSTITUTE(_xlpm.diag,"•"," "),CHAR(160)," "),CHAR(10)," "),"  "," ")), LOWER(_xlpm.yr&amp;"|"&amp;_xlpm.base))</f>
        <v>2014|syphilis secondaire</v>
      </c>
      <c r="V80" t="str">
        <f>IFERROR(_xlfn.XLOOKUP($AB80,'Cas 2013-2017'!$K:$K,'Cas 2013-2017'!$D:$D,""),"")</f>
        <v/>
      </c>
      <c r="W80" t="str">
        <f>IFERROR(_xlfn.XLOOKUP($AB80,'Cas 2013-2017'!$K:$K,'Cas 2013-2017'!$E:$E,""),"")</f>
        <v/>
      </c>
      <c r="X80" t="str">
        <f>IFERROR(_xlfn.XLOOKUP($AB80,'Cas 2013-2017'!$K:$K,'Cas 2013-2017'!$F:$F,""),"")</f>
        <v/>
      </c>
      <c r="Y80" t="str">
        <f>IFERROR(_xlfn.XLOOKUP($AB80,'Cas 2013-2017'!$K:$K,'Cas 2013-2017'!$G:$G,""),"")</f>
        <v/>
      </c>
      <c r="Z80" t="str">
        <f>IFERROR(_xlfn.XLOOKUP($AB80,'Cas 2013-2017'!$K:$K,'Cas 2013-2017'!$I:$I,""),"")</f>
        <v/>
      </c>
      <c r="AA80" t="str">
        <f>IFERROR(_xlfn.XLOOKUP($AB80,'Cas 2013-2017'!$K:$K,'Cas 2013-2017'!$H:$H,""),"")</f>
        <v/>
      </c>
      <c r="AB80" t="str">
        <f>LOWER($A80 &amp; "|" &amp; $AF80)</f>
        <v>2014|syphilis secondaire</v>
      </c>
      <c r="AC80" t="str">
        <f>TRIM(SUBSTITUTE(SUBSTITUTE(SUBSTITUTE(SUBSTITUTE(" " &amp; LOWER(TRIM(IF($N80&lt;&gt;"", $N80, $H80))) &amp; " ", " aomi ", " arteriopathie des membres inferieurs "), " hta ", " hypertension arterielle "), " saos ", " syndrome d'apnees obstructives du sommeil "), " rgo ", " reflux gastro-oesophagien ") )</f>
        <v>syphilis secondaire</v>
      </c>
      <c r="AD80" t="str">
        <f>TRIM(SUBSTITUTE(SUBSTITUTE(SUBSTITUTE(SUBSTITUTE(" " &amp; LOWER(TRIM($AC80)) &amp; " ", " oacr ", " occlusion de l'artere centrale de la retine "), " hsd ", " hematome sous-dural "), " fa ", " fibrillation auriculaire "), " ep ", " embolie pulmonaire ") )</f>
        <v>syphilis secondaire</v>
      </c>
      <c r="AE80" t="str" cm="1">
        <f t="array" ref="AE80">_xlfn.LET(_xlpm.base, " " &amp; LOWER(TRIM($AD80))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syphilis secondaire</v>
      </c>
      <c r="AF80" t="str" cm="1">
        <f t="array" ref="AF80">_xlfn.LET(_xlpm.base, " " &amp; LOWER(TRIM($AE80))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syphilis secondaire</v>
      </c>
    </row>
    <row r="81" spans="1:32" ht="33.75">
      <c r="A81" s="8">
        <v>2014</v>
      </c>
      <c r="B81" s="10" t="s">
        <v>221</v>
      </c>
      <c r="C81" s="8" t="s">
        <v>33</v>
      </c>
      <c r="D81" s="20">
        <v>220</v>
      </c>
      <c r="E81" s="11" t="str">
        <f>IF(D81="","",IFERROR(INDEX(SSP!$E$2:$E$266, MATCH(D81, SSP!$F$2:$F$266, 0)),""))</f>
        <v>Traumatisme simple et bénin</v>
      </c>
      <c r="F81" s="11" t="str">
        <f>Feuil1!E81</f>
        <v>Chute / traumatisme</v>
      </c>
      <c r="G81" s="12" t="s">
        <v>222</v>
      </c>
      <c r="H81" s="13" t="s">
        <v>335</v>
      </c>
      <c r="I81" s="13"/>
      <c r="J81" s="15" t="s">
        <v>336</v>
      </c>
      <c r="K81" s="9" t="s">
        <v>33</v>
      </c>
      <c r="L81" s="9" t="s">
        <v>33</v>
      </c>
      <c r="M81" s="9" t="s">
        <v>33</v>
      </c>
      <c r="N81" t="s">
        <v>335</v>
      </c>
      <c r="O81" t="str">
        <f>IFERROR(_xlfn.XLOOKUP($D81, SSP!$F:$F, SSP!$E:$E, "Inconnu"), "")</f>
        <v>Traumatisme simple et bénin</v>
      </c>
      <c r="P81" t="str">
        <f>IF(OR(E81="", O81=""), "", IF(LOWER(E81)=LOWER(O81), "OK", "⚠️ Libellé ≠ n°"))</f>
        <v>OK</v>
      </c>
      <c r="Q81" t="str">
        <f>IF(Feuil1!$E81="", "", IF(LOWER(Feuil1!$E81)=LOWER(E81), "Identique", "Différent"))</f>
        <v>Différent</v>
      </c>
      <c r="R81" t="str">
        <f>IF(OR(P81="⚠️ Libellé ≠ n°", O81="Inconnu"), "⚠️", IF(Q81="Différent", "ℹ️", ""))</f>
        <v>ℹ️</v>
      </c>
      <c r="S81" t="str" cm="1">
        <f t="array" ref="S81">_xlfn.LET(_xlpm.genCat,IFERROR(LOWER(TRIM(G81)),""),_xlpm.principal,IFERROR(LOWER(TRIM(H81)),""),_xlpm.orig,IFERROR(LOWER(TRIM(N81)),""),IF(OR(_xlpm.genCat="",_xlpm.principal=""),"",IF(LEFT(LOWER(G81),5)="autre","OK (Autre)",IF(OR(ISNUMBER(SEARCH(_xlpm.genCat,_xlpm.principal)),ISNUMBER(SEARCH(_xlpm.principal,_xlpm.genCat)),AND(_xlpm.orig&lt;&gt;"",OR(ISNUMBER(SEARCH(_xlpm.genCat,_xlpm.orig)),ISNUMBER(SEARCH(_xlpm.orig,_xlpm.genCat))))),"OK","⚠️ À vérifier"))))</f>
        <v>OK</v>
      </c>
      <c r="T81" t="str">
        <f>IF(S81="","",IF(S81="OK (Autre)","Diagnostic générique = 'Autre – …'",IF(S81="OK","Concordance générique/principal","Écart entre générique et principal")))</f>
        <v>Concordance générique/principal</v>
      </c>
      <c r="U81" t="str" cm="1">
        <f t="array" ref="U81">_xlfn.LET(_xlpm.yr, A81, _xlpm.diag, IF(N81&lt;&gt;"", N81, H81), _xlpm.base, TRIM(SUBSTITUTE(SUBSTITUTE(SUBSTITUTE(SUBSTITUTE(_xlpm.diag,"•"," "),CHAR(160)," "),CHAR(10)," "),"  "," ")), LOWER(_xlpm.yr&amp;"|"&amp;_xlpm.base))</f>
        <v>2014|fracture du col du fémur</v>
      </c>
      <c r="V81" t="str">
        <f>IFERROR(_xlfn.XLOOKUP($AB81,'Cas 2013-2017'!$K:$K,'Cas 2013-2017'!$D:$D,""),"")</f>
        <v/>
      </c>
      <c r="W81" t="str">
        <f>IFERROR(_xlfn.XLOOKUP($AB81,'Cas 2013-2017'!$K:$K,'Cas 2013-2017'!$E:$E,""),"")</f>
        <v/>
      </c>
      <c r="X81" t="str">
        <f>IFERROR(_xlfn.XLOOKUP($AB81,'Cas 2013-2017'!$K:$K,'Cas 2013-2017'!$F:$F,""),"")</f>
        <v/>
      </c>
      <c r="Y81" t="str">
        <f>IFERROR(_xlfn.XLOOKUP($AB81,'Cas 2013-2017'!$K:$K,'Cas 2013-2017'!$G:$G,""),"")</f>
        <v/>
      </c>
      <c r="Z81" t="str">
        <f>IFERROR(_xlfn.XLOOKUP($AB81,'Cas 2013-2017'!$K:$K,'Cas 2013-2017'!$I:$I,""),"")</f>
        <v/>
      </c>
      <c r="AA81" t="str">
        <f>IFERROR(_xlfn.XLOOKUP($AB81,'Cas 2013-2017'!$K:$K,'Cas 2013-2017'!$H:$H,""),"")</f>
        <v/>
      </c>
      <c r="AB81" t="str">
        <f>LOWER($A81 &amp; "|" &amp; $AF81)</f>
        <v>2014|fracture du col du fémur</v>
      </c>
      <c r="AC81" t="str">
        <f>TRIM(SUBSTITUTE(SUBSTITUTE(SUBSTITUTE(SUBSTITUTE(" " &amp; LOWER(TRIM(IF($N81&lt;&gt;"", $N81, $H81))) &amp; " ", " aomi ", " arteriopathie des membres inferieurs "), " hta ", " hypertension arterielle "), " saos ", " syndrome d'apnees obstructives du sommeil "), " rgo ", " reflux gastro-oesophagien ") )</f>
        <v>fracture du col du fémur</v>
      </c>
      <c r="AD81" t="str">
        <f>TRIM(SUBSTITUTE(SUBSTITUTE(SUBSTITUTE(SUBSTITUTE(" " &amp; LOWER(TRIM($AC81)) &amp; " ", " oacr ", " occlusion de l'artere centrale de la retine "), " hsd ", " hematome sous-dural "), " fa ", " fibrillation auriculaire "), " ep ", " embolie pulmonaire ") )</f>
        <v>fracture du col du fémur</v>
      </c>
      <c r="AE81" t="str" cm="1">
        <f t="array" ref="AE81">_xlfn.LET(_xlpm.base, " " &amp; LOWER(TRIM($AD81))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fracture du col du fémur</v>
      </c>
      <c r="AF81" t="str" cm="1">
        <f t="array" ref="AF81">_xlfn.LET(_xlpm.base, " " &amp; LOWER(TRIM($AE81))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fracture du col du fémur</v>
      </c>
    </row>
    <row r="82" spans="1:32" ht="84">
      <c r="A82" s="8">
        <v>2014</v>
      </c>
      <c r="B82" s="10" t="s">
        <v>60</v>
      </c>
      <c r="C82" s="8" t="s">
        <v>33</v>
      </c>
      <c r="D82" s="20">
        <v>10</v>
      </c>
      <c r="E82" s="11" t="str">
        <f>IF(D82="","",IFERROR(INDEX(SSP!$E$2:$E$266, MATCH(D82, SSP!$F$2:$F$266, 0)),""))</f>
        <v>Douleur (toutes localisations et types confondus)</v>
      </c>
      <c r="F82" s="11" t="str">
        <f>Feuil1!E82</f>
        <v>Douleur dorsale</v>
      </c>
      <c r="G82" s="12" t="s">
        <v>149</v>
      </c>
      <c r="H82" s="13" t="s">
        <v>149</v>
      </c>
      <c r="I82" s="13" t="s">
        <v>337</v>
      </c>
      <c r="J82" s="15" t="s">
        <v>338</v>
      </c>
      <c r="K82" s="9" t="s">
        <v>339</v>
      </c>
      <c r="L82" s="9" t="s">
        <v>340</v>
      </c>
      <c r="M82" s="9" t="s">
        <v>341</v>
      </c>
      <c r="N82" t="s">
        <v>149</v>
      </c>
      <c r="O82" t="str">
        <f>IFERROR(_xlfn.XLOOKUP($D82, SSP!$F:$F, SSP!$E:$E, "Inconnu"), "")</f>
        <v>Douleur (toutes localisations et types confondus)</v>
      </c>
      <c r="P82" t="str">
        <f>IF(OR(E82="", O82=""), "", IF(LOWER(E82)=LOWER(O82), "OK", "⚠️ Libellé ≠ n°"))</f>
        <v>OK</v>
      </c>
      <c r="Q82" t="str">
        <f>IF(Feuil1!$E82="", "", IF(LOWER(Feuil1!$E82)=LOWER(E82), "Identique", "Différent"))</f>
        <v>Différent</v>
      </c>
      <c r="R82" t="str">
        <f>IF(OR(P82="⚠️ Libellé ≠ n°", O82="Inconnu"), "⚠️", IF(Q82="Différent", "ℹ️", ""))</f>
        <v>ℹ️</v>
      </c>
      <c r="S82" t="str" cm="1">
        <f t="array" ref="S82">_xlfn.LET(_xlpm.genCat,IFERROR(LOWER(TRIM(G82)),""),_xlpm.principal,IFERROR(LOWER(TRIM(H82)),""),_xlpm.orig,IFERROR(LOWER(TRIM(N82)),""),IF(OR(_xlpm.genCat="",_xlpm.principal=""),"",IF(LEFT(LOWER(G82),5)="autre","OK (Autre)",IF(OR(ISNUMBER(SEARCH(_xlpm.genCat,_xlpm.principal)),ISNUMBER(SEARCH(_xlpm.principal,_xlpm.genCat)),AND(_xlpm.orig&lt;&gt;"",OR(ISNUMBER(SEARCH(_xlpm.genCat,_xlpm.orig)),ISNUMBER(SEARCH(_xlpm.orig,_xlpm.genCat))))),"OK","⚠️ À vérifier"))))</f>
        <v>OK</v>
      </c>
      <c r="T82" t="str">
        <f>IF(S82="","",IF(S82="OK (Autre)","Diagnostic générique = 'Autre – …'",IF(S82="OK","Concordance générique/principal","Écart entre générique et principal")))</f>
        <v>Concordance générique/principal</v>
      </c>
      <c r="U82" t="str" cm="1">
        <f t="array" ref="U82">_xlfn.LET(_xlpm.yr, A82, _xlpm.diag, IF(N82&lt;&gt;"", N82, H82), _xlpm.base, TRIM(SUBSTITUTE(SUBSTITUTE(SUBSTITUTE(SUBSTITUTE(_xlpm.diag,"•"," "),CHAR(160)," "),CHAR(10)," "),"  "," ")), LOWER(_xlpm.yr&amp;"|"&amp;_xlpm.base))</f>
        <v>2014|ostéoporose</v>
      </c>
      <c r="V82">
        <f>IFERROR(_xlfn.XLOOKUP($AB82,'Cas 2013-2017'!$K:$K,'Cas 2013-2017'!$D:$D,""),"")</f>
        <v>0</v>
      </c>
      <c r="W82" t="str">
        <f>IFERROR(_xlfn.XLOOKUP($AB82,'Cas 2013-2017'!$K:$K,'Cas 2013-2017'!$E:$E,""),"")</f>
        <v>FR : tabac, abus d’alcool, ménopause précoce, prise de médoc • Douleurs diffuses du dos • Cyphose et diminution de la taille • Fx col du fémur, radius distal, vertébrale</v>
      </c>
      <c r="X82" t="str">
        <f>IFERROR(_xlfn.XLOOKUP($AB82,'Cas 2013-2017'!$K:$K,'Cas 2013-2017'!$F:$F,""),"")</f>
        <v>Phénomène du sapin • Mesure régulière de la taille</v>
      </c>
      <c r="Y82" t="str">
        <f>IFERROR(_xlfn.XLOOKUP($AB82,'Cas 2013-2017'!$K:$K,'Cas 2013-2017'!$G:$G,""),"")</f>
        <v>Métastases osseuses • Plasmocytome</v>
      </c>
      <c r="Z82" t="str">
        <f>IFERROR(_xlfn.XLOOKUP($AB82,'Cas 2013-2017'!$K:$K,'Cas 2013-2017'!$I:$I,""),"")</f>
        <v>Activité physique • Stop alcool et tabac • Calcium + D3 • Evtl aide à la marche • Post ménopause : Bisphosphonates, Raloxifene, etc..</v>
      </c>
      <c r="AA82" t="str">
        <f>IFERROR(_xlfn.XLOOKUP($AB82,'Cas 2013-2017'!$K:$K,'Cas 2013-2017'!$H:$H,""),"")</f>
        <v>Sang : FSS, Na, K, Créat, Ca et PO4, VitD, PA et GGT, CRP et VS • Densitométrie osseuse : T&lt;- 2.5 • Rx en 2 plans</v>
      </c>
      <c r="AB82" t="str">
        <f>LOWER($A82 &amp; "|" &amp; $AF82)</f>
        <v>2014|ostéoporose</v>
      </c>
      <c r="AC82" t="str">
        <f>TRIM(SUBSTITUTE(SUBSTITUTE(SUBSTITUTE(SUBSTITUTE(" " &amp; LOWER(TRIM(IF($N82&lt;&gt;"", $N82, $H82))) &amp; " ", " aomi ", " arteriopathie des membres inferieurs "), " hta ", " hypertension arterielle "), " saos ", " syndrome d'apnees obstructives du sommeil "), " rgo ", " reflux gastro-oesophagien ") )</f>
        <v>ostéoporose</v>
      </c>
      <c r="AD82" t="str">
        <f>TRIM(SUBSTITUTE(SUBSTITUTE(SUBSTITUTE(SUBSTITUTE(" " &amp; LOWER(TRIM($AC82)) &amp; " ", " oacr ", " occlusion de l'artere centrale de la retine "), " hsd ", " hematome sous-dural "), " fa ", " fibrillation auriculaire "), " ep ", " embolie pulmonaire ") )</f>
        <v>ostéoporose</v>
      </c>
      <c r="AE82" t="str" cm="1">
        <f t="array" ref="AE82">_xlfn.LET(_xlpm.base, " " &amp; LOWER(TRIM($AD82))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ostéoporose</v>
      </c>
      <c r="AF82" t="str" cm="1">
        <f t="array" ref="AF82">_xlfn.LET(_xlpm.base, " " &amp; LOWER(TRIM($AE82))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ostéoporose</v>
      </c>
    </row>
    <row r="83" spans="1:32" ht="33.75">
      <c r="A83" s="8">
        <v>2014</v>
      </c>
      <c r="B83" s="10" t="s">
        <v>221</v>
      </c>
      <c r="C83" s="8" t="s">
        <v>33</v>
      </c>
      <c r="D83" s="20">
        <v>10</v>
      </c>
      <c r="E83" s="11" t="str">
        <f>IF(D83="","",IFERROR(INDEX(SSP!$E$2:$E$266, MATCH(D83, SSP!$F$2:$F$266, 0)),""))</f>
        <v>Douleur (toutes localisations et types confondus)</v>
      </c>
      <c r="F83" s="11" t="str">
        <f>Feuil1!E83</f>
        <v>Douleur bras</v>
      </c>
      <c r="G83" s="12" t="s">
        <v>342</v>
      </c>
      <c r="H83" s="13" t="s">
        <v>343</v>
      </c>
      <c r="I83" s="13"/>
      <c r="J83" s="15" t="s">
        <v>344</v>
      </c>
      <c r="K83" s="9" t="s">
        <v>33</v>
      </c>
      <c r="L83" s="9" t="s">
        <v>33</v>
      </c>
      <c r="M83" s="9" t="s">
        <v>33</v>
      </c>
      <c r="N83" t="s">
        <v>343</v>
      </c>
      <c r="O83" t="str">
        <f>IFERROR(_xlfn.XLOOKUP($D83, SSP!$F:$F, SSP!$E:$E, "Inconnu"), "")</f>
        <v>Douleur (toutes localisations et types confondus)</v>
      </c>
      <c r="P83" t="str">
        <f>IF(OR(E83="", O83=""), "", IF(LOWER(E83)=LOWER(O83), "OK", "⚠️ Libellé ≠ n°"))</f>
        <v>OK</v>
      </c>
      <c r="Q83" t="str">
        <f>IF(Feuil1!$E83="", "", IF(LOWER(Feuil1!$E83)=LOWER(E83), "Identique", "Différent"))</f>
        <v>Différent</v>
      </c>
      <c r="R83" t="str">
        <f>IF(OR(P83="⚠️ Libellé ≠ n°", O83="Inconnu"), "⚠️", IF(Q83="Différent", "ℹ️", ""))</f>
        <v>ℹ️</v>
      </c>
      <c r="S83" t="str" cm="1">
        <f t="array" ref="S83">_xlfn.LET(_xlpm.genCat,IFERROR(LOWER(TRIM(G83)),""),_xlpm.principal,IFERROR(LOWER(TRIM(H83)),""),_xlpm.orig,IFERROR(LOWER(TRIM(N83)),""),IF(OR(_xlpm.genCat="",_xlpm.principal=""),"",IF(LEFT(LOWER(G83),5)="autre","OK (Autre)",IF(OR(ISNUMBER(SEARCH(_xlpm.genCat,_xlpm.principal)),ISNUMBER(SEARCH(_xlpm.principal,_xlpm.genCat)),AND(_xlpm.orig&lt;&gt;"",OR(ISNUMBER(SEARCH(_xlpm.genCat,_xlpm.orig)),ISNUMBER(SEARCH(_xlpm.orig,_xlpm.genCat))))),"OK","⚠️ À vérifier"))))</f>
        <v>⚠️ À vérifier</v>
      </c>
      <c r="T83" t="str">
        <f>IF(S83="","",IF(S83="OK (Autre)","Diagnostic générique = 'Autre – …'",IF(S83="OK","Concordance générique/principal","Écart entre générique et principal")))</f>
        <v>Écart entre générique et principal</v>
      </c>
      <c r="U83" t="str" cm="1">
        <f t="array" ref="U83">_xlfn.LET(_xlpm.yr, A83, _xlpm.diag, IF(N83&lt;&gt;"", N83, H83), _xlpm.base, TRIM(SUBSTITUTE(SUBSTITUTE(SUBSTITUTE(SUBSTITUTE(_xlpm.diag,"•"," "),CHAR(160)," "),CHAR(10)," "),"  "," ")), LOWER(_xlpm.yr&amp;"|"&amp;_xlpm.base))</f>
        <v>2014|tunnel carpien</v>
      </c>
      <c r="V83">
        <f>IFERROR(_xlfn.XLOOKUP($AB83,'Cas 2013-2017'!$K:$K,'Cas 2013-2017'!$D:$D,""),"")</f>
        <v>0</v>
      </c>
      <c r="W83">
        <f>IFERROR(_xlfn.XLOOKUP($AB83,'Cas 2013-2017'!$K:$K,'Cas 2013-2017'!$E:$E,""),"")</f>
        <v>0</v>
      </c>
      <c r="X83">
        <f>IFERROR(_xlfn.XLOOKUP($AB83,'Cas 2013-2017'!$K:$K,'Cas 2013-2017'!$F:$F,""),"")</f>
        <v>0</v>
      </c>
      <c r="Y83">
        <f>IFERROR(_xlfn.XLOOKUP($AB83,'Cas 2013-2017'!$K:$K,'Cas 2013-2017'!$G:$G,""),"")</f>
        <v>0</v>
      </c>
      <c r="Z83">
        <f>IFERROR(_xlfn.XLOOKUP($AB83,'Cas 2013-2017'!$K:$K,'Cas 2013-2017'!$I:$I,""),"")</f>
        <v>0</v>
      </c>
      <c r="AA83">
        <f>IFERROR(_xlfn.XLOOKUP($AB83,'Cas 2013-2017'!$K:$K,'Cas 2013-2017'!$H:$H,""),"")</f>
        <v>0</v>
      </c>
      <c r="AB83" t="str">
        <f>LOWER($A83 &amp; "|" &amp; $AF83)</f>
        <v>2014|tunnel carpien</v>
      </c>
      <c r="AC83" t="str">
        <f>TRIM(SUBSTITUTE(SUBSTITUTE(SUBSTITUTE(SUBSTITUTE(" " &amp; LOWER(TRIM(IF($N83&lt;&gt;"", $N83, $H83))) &amp; " ", " aomi ", " arteriopathie des membres inferieurs "), " hta ", " hypertension arterielle "), " saos ", " syndrome d'apnees obstructives du sommeil "), " rgo ", " reflux gastro-oesophagien ") )</f>
        <v>tunnel carpien</v>
      </c>
      <c r="AD83" t="str">
        <f>TRIM(SUBSTITUTE(SUBSTITUTE(SUBSTITUTE(SUBSTITUTE(" " &amp; LOWER(TRIM($AC83)) &amp; " ", " oacr ", " occlusion de l'artere centrale de la retine "), " hsd ", " hematome sous-dural "), " fa ", " fibrillation auriculaire "), " ep ", " embolie pulmonaire ") )</f>
        <v>tunnel carpien</v>
      </c>
      <c r="AE83" t="str" cm="1">
        <f t="array" ref="AE83">_xlfn.LET(_xlpm.base, " " &amp; LOWER(TRIM($AD83))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tunnel carpien</v>
      </c>
      <c r="AF83" t="str" cm="1">
        <f t="array" ref="AF83">_xlfn.LET(_xlpm.base, " " &amp; LOWER(TRIM($AE83))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tunnel carpien</v>
      </c>
    </row>
    <row r="84" spans="1:32" ht="100.5">
      <c r="A84" s="8">
        <v>2014</v>
      </c>
      <c r="B84" s="10" t="s">
        <v>100</v>
      </c>
      <c r="C84" s="8" t="s">
        <v>33</v>
      </c>
      <c r="D84" s="20">
        <v>103</v>
      </c>
      <c r="E84" s="11" t="str">
        <f>IF(D84="","",IFERROR(INDEX(SSP!$E$2:$E$266, MATCH(D84, SSP!$F$2:$F$266, 0)),""))</f>
        <v>Paresie, paralysie</v>
      </c>
      <c r="F84" s="11" t="str">
        <f>Feuil1!E84</f>
        <v>Paralysie</v>
      </c>
      <c r="G84" s="12" t="s">
        <v>101</v>
      </c>
      <c r="H84" s="13" t="s">
        <v>345</v>
      </c>
      <c r="I84" s="13" t="s">
        <v>346</v>
      </c>
      <c r="J84" s="15" t="s">
        <v>347</v>
      </c>
      <c r="K84" s="9" t="s">
        <v>348</v>
      </c>
      <c r="L84" s="9" t="s">
        <v>349</v>
      </c>
      <c r="M84" s="9" t="s">
        <v>350</v>
      </c>
      <c r="N84" t="s">
        <v>351</v>
      </c>
      <c r="O84" t="str">
        <f>IFERROR(_xlfn.XLOOKUP($D84, SSP!$F:$F, SSP!$E:$E, "Inconnu"), "")</f>
        <v>Paresie, paralysie</v>
      </c>
      <c r="P84" t="str">
        <f>IF(OR(E84="", O84=""), "", IF(LOWER(E84)=LOWER(O84), "OK", "⚠️ Libellé ≠ n°"))</f>
        <v>OK</v>
      </c>
      <c r="Q84" t="str">
        <f>IF(Feuil1!$E84="", "", IF(LOWER(Feuil1!$E84)=LOWER(E84), "Identique", "Différent"))</f>
        <v>Différent</v>
      </c>
      <c r="R84" t="str">
        <f>IF(OR(P84="⚠️ Libellé ≠ n°", O84="Inconnu"), "⚠️", IF(Q84="Différent", "ℹ️", ""))</f>
        <v>ℹ️</v>
      </c>
      <c r="S84" t="str" cm="1">
        <f t="array" ref="S84">_xlfn.LET(_xlpm.genCat,IFERROR(LOWER(TRIM(G84)),""),_xlpm.principal,IFERROR(LOWER(TRIM(H84)),""),_xlpm.orig,IFERROR(LOWER(TRIM(N84)),""),IF(OR(_xlpm.genCat="",_xlpm.principal=""),"",IF(LEFT(LOWER(G84),5)="autre","OK (Autre)",IF(OR(ISNUMBER(SEARCH(_xlpm.genCat,_xlpm.principal)),ISNUMBER(SEARCH(_xlpm.principal,_xlpm.genCat)),AND(_xlpm.orig&lt;&gt;"",OR(ISNUMBER(SEARCH(_xlpm.genCat,_xlpm.orig)),ISNUMBER(SEARCH(_xlpm.orig,_xlpm.genCat))))),"OK","⚠️ À vérifier"))))</f>
        <v>⚠️ À vérifier</v>
      </c>
      <c r="T84" t="str">
        <f>IF(S84="","",IF(S84="OK (Autre)","Diagnostic générique = 'Autre – …'",IF(S84="OK","Concordance générique/principal","Écart entre générique et principal")))</f>
        <v>Écart entre générique et principal</v>
      </c>
      <c r="U84" t="str" cm="1">
        <f t="array" ref="U84">_xlfn.LET(_xlpm.yr, A84, _xlpm.diag, IF(N84&lt;&gt;"", N84, H84), _xlpm.base, TRIM(SUBSTITUTE(SUBSTITUTE(SUBSTITUTE(SUBSTITUTE(_xlpm.diag,"•"," "),CHAR(160)," "),CHAR(10)," "),"  "," ")), LOWER(_xlpm.yr&amp;"|"&amp;_xlpm.base))</f>
        <v>2014|avc</v>
      </c>
      <c r="V84" t="str">
        <f>IFERROR(_xlfn.XLOOKUP($AB84,'Cas 2013-2017'!$K:$K,'Cas 2013-2017'!$D:$D,""),"")</f>
        <v>Hémiplégie MSD</v>
      </c>
      <c r="W84" t="str">
        <f>IFERROR(_xlfn.XLOOKUP($AB84,'Cas 2013-2017'!$K:$K,'Cas 2013-2017'!$E:$E,""),"")</f>
        <v>Depuis quand? Evolution, comment se sentait avant faiblesse, tr sensi, PC, convulsions, fièvre, N/V, DRS, palpitations, pb pour parler/avaler, tr visuels, incontinence urine/selles, chute? trauma</v>
      </c>
      <c r="X84" t="str">
        <f>IFERROR(_xlfn.XLOOKUP($AB84,'Cas 2013-2017'!$K:$K,'Cas 2013-2017'!$F:$F,""),"")</f>
        <v>Neuro complet • Cardio-pulm: ausculter les carotides!</v>
      </c>
      <c r="Y84" t="str">
        <f>IFERROR(_xlfn.XLOOKUP($AB84,'Cas 2013-2017'!$K:$K,'Cas 2013-2017'!$G:$G,""),"")</f>
        <v>AIT, HSA, hématome sous dural, masse</v>
      </c>
      <c r="Z84" t="str">
        <f>IFERROR(_xlfn.XLOOKUP($AB84,'Cas 2013-2017'!$K:$K,'Cas 2013-2017'!$I:$I,""),"")</f>
        <v>Ischémique: • Thrombolyse • Thrombectomie • Hémorragique: • Réverser coag • Craniotomie, évacuation du caillot</v>
      </c>
      <c r="AA84" t="str">
        <f>IFERROR(_xlfn.XLOOKUP($AB84,'Cas 2013-2017'!$K:$K,'Cas 2013-2017'!$H:$H,""),"")</f>
        <v>Labo • CT sans contraste • US doppler carotides • ECG • ETO</v>
      </c>
      <c r="AB84" t="str">
        <f>LOWER($A84 &amp; "|" &amp; $AF84)</f>
        <v>2014|accident vasculaire cerebral</v>
      </c>
      <c r="AC84" t="str">
        <f>TRIM(SUBSTITUTE(SUBSTITUTE(SUBSTITUTE(SUBSTITUTE(" " &amp; LOWER(TRIM(IF($N84&lt;&gt;"", $N84, $H84))) &amp; " ", " aomi ", " arteriopathie des membres inferieurs "), " hta ", " hypertension arterielle "), " saos ", " syndrome d'apnees obstructives du sommeil "), " rgo ", " reflux gastro-oesophagien ") )</f>
        <v>avc</v>
      </c>
      <c r="AD84" t="str">
        <f>TRIM(SUBSTITUTE(SUBSTITUTE(SUBSTITUTE(SUBSTITUTE(" " &amp; LOWER(TRIM($AC84)) &amp; " ", " oacr ", " occlusion de l'artere centrale de la retine "), " hsd ", " hematome sous-dural "), " fa ", " fibrillation auriculaire "), " ep ", " embolie pulmonaire ") )</f>
        <v>avc</v>
      </c>
      <c r="AE84" t="str" cm="1">
        <f t="array" ref="AE84">_xlfn.LET(_xlpm.base, " " &amp; LOWER(TRIM($AD84))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accident vasculaire cerebral</v>
      </c>
      <c r="AF84" t="str" cm="1">
        <f t="array" ref="AF84">_xlfn.LET(_xlpm.base, " " &amp; LOWER(TRIM($AE84))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accident vasculaire cerebral</v>
      </c>
    </row>
    <row r="85" spans="1:32" ht="33.75">
      <c r="A85" s="8">
        <v>2014</v>
      </c>
      <c r="B85" s="10" t="s">
        <v>100</v>
      </c>
      <c r="C85" s="8" t="s">
        <v>352</v>
      </c>
      <c r="D85" s="20">
        <v>207</v>
      </c>
      <c r="E85" s="11" t="str">
        <f>IF(D85="","",IFERROR(INDEX(SSP!$E$2:$E$266, MATCH(D85, SSP!$F$2:$F$266, 0)),""))</f>
        <v>Céphalée aiguë intense, syndrome méningé</v>
      </c>
      <c r="F85" s="11" t="str">
        <f>Feuil1!E85</f>
        <v>Céphalée</v>
      </c>
      <c r="G85" s="12" t="s">
        <v>353</v>
      </c>
      <c r="H85" s="13" t="s">
        <v>354</v>
      </c>
      <c r="I85" s="13"/>
      <c r="J85" s="15" t="s">
        <v>355</v>
      </c>
      <c r="K85" s="9" t="s">
        <v>33</v>
      </c>
      <c r="L85" s="9" t="s">
        <v>33</v>
      </c>
      <c r="M85" s="9" t="s">
        <v>33</v>
      </c>
      <c r="N85" t="s">
        <v>354</v>
      </c>
      <c r="O85" t="str">
        <f>IFERROR(_xlfn.XLOOKUP($D85, SSP!$F:$F, SSP!$E:$E, "Inconnu"), "")</f>
        <v>Céphalée aiguë intense, syndrome méningé</v>
      </c>
      <c r="P85" t="str">
        <f>IF(OR(E85="", O85=""), "", IF(LOWER(E85)=LOWER(O85), "OK", "⚠️ Libellé ≠ n°"))</f>
        <v>OK</v>
      </c>
      <c r="Q85" t="str">
        <f>IF(Feuil1!$E85="", "", IF(LOWER(Feuil1!$E85)=LOWER(E85), "Identique", "Différent"))</f>
        <v>Différent</v>
      </c>
      <c r="R85" t="str">
        <f>IF(OR(P85="⚠️ Libellé ≠ n°", O85="Inconnu"), "⚠️", IF(Q85="Différent", "ℹ️", ""))</f>
        <v>ℹ️</v>
      </c>
      <c r="S85" t="str" cm="1">
        <f t="array" ref="S85">_xlfn.LET(_xlpm.genCat,IFERROR(LOWER(TRIM(G85)),""),_xlpm.principal,IFERROR(LOWER(TRIM(H85)),""),_xlpm.orig,IFERROR(LOWER(TRIM(N85)),""),IF(OR(_xlpm.genCat="",_xlpm.principal=""),"",IF(LEFT(LOWER(G85),5)="autre","OK (Autre)",IF(OR(ISNUMBER(SEARCH(_xlpm.genCat,_xlpm.principal)),ISNUMBER(SEARCH(_xlpm.principal,_xlpm.genCat)),AND(_xlpm.orig&lt;&gt;"",OR(ISNUMBER(SEARCH(_xlpm.genCat,_xlpm.orig)),ISNUMBER(SEARCH(_xlpm.orig,_xlpm.genCat))))),"OK","⚠️ À vérifier"))))</f>
        <v>⚠️ À vérifier</v>
      </c>
      <c r="T85" t="str">
        <f>IF(S85="","",IF(S85="OK (Autre)","Diagnostic générique = 'Autre – …'",IF(S85="OK","Concordance générique/principal","Écart entre générique et principal")))</f>
        <v>Écart entre générique et principal</v>
      </c>
      <c r="U85" t="str" cm="1">
        <f t="array" ref="U85">_xlfn.LET(_xlpm.yr, A85, _xlpm.diag, IF(N85&lt;&gt;"", N85, H85), _xlpm.base, TRIM(SUBSTITUTE(SUBSTITUTE(SUBSTITUTE(SUBSTITUTE(_xlpm.diag,"•"," "),CHAR(160)," "),CHAR(10)," "),"  "," ")), LOWER(_xlpm.yr&amp;"|"&amp;_xlpm.base))</f>
        <v>2014|méningite</v>
      </c>
      <c r="V85" t="str">
        <f>IFERROR(_xlfn.XLOOKUP($AB85,'Cas 2013-2017'!$K:$K,'Cas 2013-2017'!$D:$D,""),"")</f>
        <v/>
      </c>
      <c r="W85" t="str">
        <f>IFERROR(_xlfn.XLOOKUP($AB85,'Cas 2013-2017'!$K:$K,'Cas 2013-2017'!$E:$E,""),"")</f>
        <v/>
      </c>
      <c r="X85" t="str">
        <f>IFERROR(_xlfn.XLOOKUP($AB85,'Cas 2013-2017'!$K:$K,'Cas 2013-2017'!$F:$F,""),"")</f>
        <v/>
      </c>
      <c r="Y85" t="str">
        <f>IFERROR(_xlfn.XLOOKUP($AB85,'Cas 2013-2017'!$K:$K,'Cas 2013-2017'!$G:$G,""),"")</f>
        <v/>
      </c>
      <c r="Z85" t="str">
        <f>IFERROR(_xlfn.XLOOKUP($AB85,'Cas 2013-2017'!$K:$K,'Cas 2013-2017'!$I:$I,""),"")</f>
        <v/>
      </c>
      <c r="AA85" t="str">
        <f>IFERROR(_xlfn.XLOOKUP($AB85,'Cas 2013-2017'!$K:$K,'Cas 2013-2017'!$H:$H,""),"")</f>
        <v/>
      </c>
      <c r="AB85" t="str">
        <f>LOWER($A85 &amp; "|" &amp; $AF85)</f>
        <v>2014|méningite</v>
      </c>
      <c r="AC85" t="str">
        <f>TRIM(SUBSTITUTE(SUBSTITUTE(SUBSTITUTE(SUBSTITUTE(" " &amp; LOWER(TRIM(IF($N85&lt;&gt;"", $N85, $H85))) &amp; " ", " aomi ", " arteriopathie des membres inferieurs "), " hta ", " hypertension arterielle "), " saos ", " syndrome d'apnees obstructives du sommeil "), " rgo ", " reflux gastro-oesophagien ") )</f>
        <v>méningite</v>
      </c>
      <c r="AD85" t="str">
        <f>TRIM(SUBSTITUTE(SUBSTITUTE(SUBSTITUTE(SUBSTITUTE(" " &amp; LOWER(TRIM($AC85)) &amp; " ", " oacr ", " occlusion de l'artere centrale de la retine "), " hsd ", " hematome sous-dural "), " fa ", " fibrillation auriculaire "), " ep ", " embolie pulmonaire ") )</f>
        <v>méningite</v>
      </c>
      <c r="AE85" t="str" cm="1">
        <f t="array" ref="AE85">_xlfn.LET(_xlpm.base, " " &amp; LOWER(TRIM($AD85))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méningite</v>
      </c>
      <c r="AF85" t="str" cm="1">
        <f t="array" ref="AF85">_xlfn.LET(_xlpm.base, " " &amp; LOWER(TRIM($AE85))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méningite</v>
      </c>
    </row>
    <row r="86" spans="1:32" ht="33.75">
      <c r="A86" s="8">
        <v>2014</v>
      </c>
      <c r="B86" s="10" t="s">
        <v>115</v>
      </c>
      <c r="C86" s="8" t="s">
        <v>33</v>
      </c>
      <c r="D86" s="20">
        <v>18</v>
      </c>
      <c r="E86" s="11" t="str">
        <f>IF(D86="","",IFERROR(INDEX(SSP!$E$2:$E$266, MATCH(D86, SSP!$F$2:$F$266, 0)),""))</f>
        <v>Perte de vision aiguë ou progressive (brutale, lente, transitoire, partielle)</v>
      </c>
      <c r="F86" s="11" t="str">
        <f>Feuil1!E86</f>
        <v>Trouble de la vision</v>
      </c>
      <c r="G86" s="12" t="s">
        <v>356</v>
      </c>
      <c r="H86" s="13" t="s">
        <v>356</v>
      </c>
      <c r="I86" s="13"/>
      <c r="J86" s="15" t="s">
        <v>357</v>
      </c>
      <c r="K86" s="9" t="s">
        <v>358</v>
      </c>
      <c r="L86" s="9" t="s">
        <v>33</v>
      </c>
      <c r="M86" s="9" t="s">
        <v>33</v>
      </c>
      <c r="N86" t="s">
        <v>356</v>
      </c>
      <c r="O86" t="str">
        <f>IFERROR(_xlfn.XLOOKUP($D86, SSP!$F:$F, SSP!$E:$E, "Inconnu"), "")</f>
        <v>Perte de vision aiguë ou progressive (brutale, lente, transitoire, partielle)</v>
      </c>
      <c r="P86" t="str">
        <f>IF(OR(E86="", O86=""), "", IF(LOWER(E86)=LOWER(O86), "OK", "⚠️ Libellé ≠ n°"))</f>
        <v>OK</v>
      </c>
      <c r="Q86" t="str">
        <f>IF(Feuil1!$E86="", "", IF(LOWER(Feuil1!$E86)=LOWER(E86), "Identique", "Différent"))</f>
        <v>Différent</v>
      </c>
      <c r="R86" t="str">
        <f>IF(OR(P86="⚠️ Libellé ≠ n°", O86="Inconnu"), "⚠️", IF(Q86="Différent", "ℹ️", ""))</f>
        <v>ℹ️</v>
      </c>
      <c r="S86" t="str" cm="1">
        <f t="array" ref="S86">_xlfn.LET(_xlpm.genCat,IFERROR(LOWER(TRIM(G86)),""),_xlpm.principal,IFERROR(LOWER(TRIM(H86)),""),_xlpm.orig,IFERROR(LOWER(TRIM(N86)),""),IF(OR(_xlpm.genCat="",_xlpm.principal=""),"",IF(LEFT(LOWER(G86),5)="autre","OK (Autre)",IF(OR(ISNUMBER(SEARCH(_xlpm.genCat,_xlpm.principal)),ISNUMBER(SEARCH(_xlpm.principal,_xlpm.genCat)),AND(_xlpm.orig&lt;&gt;"",OR(ISNUMBER(SEARCH(_xlpm.genCat,_xlpm.orig)),ISNUMBER(SEARCH(_xlpm.orig,_xlpm.genCat))))),"OK","⚠️ À vérifier"))))</f>
        <v>OK</v>
      </c>
      <c r="T86" t="str">
        <f>IF(S86="","",IF(S86="OK (Autre)","Diagnostic générique = 'Autre – …'",IF(S86="OK","Concordance générique/principal","Écart entre générique et principal")))</f>
        <v>Concordance générique/principal</v>
      </c>
      <c r="U86" t="str" cm="1">
        <f t="array" ref="U86">_xlfn.LET(_xlpm.yr, A86, _xlpm.diag, IF(N86&lt;&gt;"", N86, H86), _xlpm.base, TRIM(SUBSTITUTE(SUBSTITUTE(SUBSTITUTE(SUBSTITUTE(_xlpm.diag,"•"," "),CHAR(160)," "),CHAR(10)," "),"  "," ")), LOWER(_xlpm.yr&amp;"|"&amp;_xlpm.base))</f>
        <v>2014|cataracte</v>
      </c>
      <c r="V86" t="str">
        <f>IFERROR(_xlfn.XLOOKUP($AB86,'Cas 2013-2017'!$K:$K,'Cas 2013-2017'!$D:$D,""),"")</f>
        <v>trouble vision chez patiente de 70 ans</v>
      </c>
      <c r="W86">
        <f>IFERROR(_xlfn.XLOOKUP($AB86,'Cas 2013-2017'!$K:$K,'Cas 2013-2017'!$E:$E,""),"")</f>
        <v>0</v>
      </c>
      <c r="X86">
        <f>IFERROR(_xlfn.XLOOKUP($AB86,'Cas 2013-2017'!$K:$K,'Cas 2013-2017'!$F:$F,""),"")</f>
        <v>0</v>
      </c>
      <c r="Y86">
        <f>IFERROR(_xlfn.XLOOKUP($AB86,'Cas 2013-2017'!$K:$K,'Cas 2013-2017'!$G:$G,""),"")</f>
        <v>0</v>
      </c>
      <c r="Z86">
        <f>IFERROR(_xlfn.XLOOKUP($AB86,'Cas 2013-2017'!$K:$K,'Cas 2013-2017'!$I:$I,""),"")</f>
        <v>0</v>
      </c>
      <c r="AA86">
        <f>IFERROR(_xlfn.XLOOKUP($AB86,'Cas 2013-2017'!$K:$K,'Cas 2013-2017'!$H:$H,""),"")</f>
        <v>0</v>
      </c>
      <c r="AB86" t="str">
        <f>LOWER($A86 &amp; "|" &amp; $AF86)</f>
        <v>2014|cataracte</v>
      </c>
      <c r="AC86" t="str">
        <f>TRIM(SUBSTITUTE(SUBSTITUTE(SUBSTITUTE(SUBSTITUTE(" " &amp; LOWER(TRIM(IF($N86&lt;&gt;"", $N86, $H86))) &amp; " ", " aomi ", " arteriopathie des membres inferieurs "), " hta ", " hypertension arterielle "), " saos ", " syndrome d'apnees obstructives du sommeil "), " rgo ", " reflux gastro-oesophagien ") )</f>
        <v>cataracte</v>
      </c>
      <c r="AD86" t="str">
        <f>TRIM(SUBSTITUTE(SUBSTITUTE(SUBSTITUTE(SUBSTITUTE(" " &amp; LOWER(TRIM($AC86)) &amp; " ", " oacr ", " occlusion de l'artere centrale de la retine "), " hsd ", " hematome sous-dural "), " fa ", " fibrillation auriculaire "), " ep ", " embolie pulmonaire ") )</f>
        <v>cataracte</v>
      </c>
      <c r="AE86" t="str" cm="1">
        <f t="array" ref="AE86">_xlfn.LET(_xlpm.base, " " &amp; LOWER(TRIM($AD86))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cataracte</v>
      </c>
      <c r="AF86" t="str" cm="1">
        <f t="array" ref="AF86">_xlfn.LET(_xlpm.base, " " &amp; LOWER(TRIM($AE86))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cataracte</v>
      </c>
    </row>
    <row r="87" spans="1:32" ht="33.75">
      <c r="A87" s="8">
        <v>2014</v>
      </c>
      <c r="B87" s="10" t="s">
        <v>115</v>
      </c>
      <c r="C87" s="8" t="s">
        <v>33</v>
      </c>
      <c r="D87" s="20">
        <v>33</v>
      </c>
      <c r="E87" s="11" t="str">
        <f>IF(D87="","",IFERROR(INDEX(SSP!$E$2:$E$266, MATCH(D87, SSP!$F$2:$F$266, 0)),""))</f>
        <v>Douleur, rougeur, prurit oculaire ; écoulement oculaire</v>
      </c>
      <c r="F87" s="11" t="str">
        <f>Feuil1!E87</f>
        <v>Douleur oculaire</v>
      </c>
      <c r="G87" s="12" t="s">
        <v>244</v>
      </c>
      <c r="H87" s="13" t="s">
        <v>359</v>
      </c>
      <c r="I87" s="13" t="s">
        <v>360</v>
      </c>
      <c r="J87" s="15" t="s">
        <v>361</v>
      </c>
      <c r="K87" s="9" t="s">
        <v>33</v>
      </c>
      <c r="L87" s="9" t="s">
        <v>33</v>
      </c>
      <c r="M87" s="9" t="s">
        <v>33</v>
      </c>
      <c r="N87" t="s">
        <v>362</v>
      </c>
      <c r="O87" t="str">
        <f>IFERROR(_xlfn.XLOOKUP($D87, SSP!$F:$F, SSP!$E:$E, "Inconnu"), "")</f>
        <v>Douleur, rougeur, prurit oculaire ; écoulement oculaire</v>
      </c>
      <c r="P87" t="str">
        <f>IF(OR(E87="", O87=""), "", IF(LOWER(E87)=LOWER(O87), "OK", "⚠️ Libellé ≠ n°"))</f>
        <v>OK</v>
      </c>
      <c r="Q87" t="str">
        <f>IF(Feuil1!$E87="", "", IF(LOWER(Feuil1!$E87)=LOWER(E87), "Identique", "Différent"))</f>
        <v>Différent</v>
      </c>
      <c r="R87" t="str">
        <f>IF(OR(P87="⚠️ Libellé ≠ n°", O87="Inconnu"), "⚠️", IF(Q87="Différent", "ℹ️", ""))</f>
        <v>ℹ️</v>
      </c>
      <c r="S87" t="str" cm="1">
        <f t="array" ref="S87">_xlfn.LET(_xlpm.genCat,IFERROR(LOWER(TRIM(G87)),""),_xlpm.principal,IFERROR(LOWER(TRIM(H87)),""),_xlpm.orig,IFERROR(LOWER(TRIM(N87)),""),IF(OR(_xlpm.genCat="",_xlpm.principal=""),"",IF(LEFT(LOWER(G87),5)="autre","OK (Autre)",IF(OR(ISNUMBER(SEARCH(_xlpm.genCat,_xlpm.principal)),ISNUMBER(SEARCH(_xlpm.principal,_xlpm.genCat)),AND(_xlpm.orig&lt;&gt;"",OR(ISNUMBER(SEARCH(_xlpm.genCat,_xlpm.orig)),ISNUMBER(SEARCH(_xlpm.orig,_xlpm.genCat))))),"OK","⚠️ À vérifier"))))</f>
        <v>OK</v>
      </c>
      <c r="T87" t="str">
        <f>IF(S87="","",IF(S87="OK (Autre)","Diagnostic générique = 'Autre – …'",IF(S87="OK","Concordance générique/principal","Écart entre générique et principal")))</f>
        <v>Concordance générique/principal</v>
      </c>
      <c r="U87" t="str" cm="1">
        <f t="array" ref="U87">_xlfn.LET(_xlpm.yr, A87, _xlpm.diag, IF(N87&lt;&gt;"", N87, H87), _xlpm.base, TRIM(SUBSTITUTE(SUBSTITUTE(SUBSTITUTE(SUBSTITUTE(_xlpm.diag,"•"," "),CHAR(160)," "),CHAR(10)," "),"  "," ")), LOWER(_xlpm.yr&amp;"|"&amp;_xlpm.base))</f>
        <v>2014|glaucome aigu/uvéite</v>
      </c>
      <c r="V87" t="str">
        <f>IFERROR(_xlfn.XLOOKUP($AB87,'Cas 2013-2017'!$K:$K,'Cas 2013-2017'!$D:$D,""),"")</f>
        <v/>
      </c>
      <c r="W87" t="str">
        <f>IFERROR(_xlfn.XLOOKUP($AB87,'Cas 2013-2017'!$K:$K,'Cas 2013-2017'!$E:$E,""),"")</f>
        <v/>
      </c>
      <c r="X87" t="str">
        <f>IFERROR(_xlfn.XLOOKUP($AB87,'Cas 2013-2017'!$K:$K,'Cas 2013-2017'!$F:$F,""),"")</f>
        <v/>
      </c>
      <c r="Y87" t="str">
        <f>IFERROR(_xlfn.XLOOKUP($AB87,'Cas 2013-2017'!$K:$K,'Cas 2013-2017'!$G:$G,""),"")</f>
        <v/>
      </c>
      <c r="Z87" t="str">
        <f>IFERROR(_xlfn.XLOOKUP($AB87,'Cas 2013-2017'!$K:$K,'Cas 2013-2017'!$I:$I,""),"")</f>
        <v/>
      </c>
      <c r="AA87" t="str">
        <f>IFERROR(_xlfn.XLOOKUP($AB87,'Cas 2013-2017'!$K:$K,'Cas 2013-2017'!$H:$H,""),"")</f>
        <v/>
      </c>
      <c r="AB87" t="str">
        <f>LOWER($A87 &amp; "|" &amp; $AF87)</f>
        <v>2014|glaucome aigu/uvéite</v>
      </c>
      <c r="AC87" t="str">
        <f>TRIM(SUBSTITUTE(SUBSTITUTE(SUBSTITUTE(SUBSTITUTE(" " &amp; LOWER(TRIM(IF($N87&lt;&gt;"", $N87, $H87))) &amp; " ", " aomi ", " arteriopathie des membres inferieurs "), " hta ", " hypertension arterielle "), " saos ", " syndrome d'apnees obstructives du sommeil "), " rgo ", " reflux gastro-oesophagien ") )</f>
        <v>glaucome aigu/uvéite</v>
      </c>
      <c r="AD87" t="str">
        <f>TRIM(SUBSTITUTE(SUBSTITUTE(SUBSTITUTE(SUBSTITUTE(" " &amp; LOWER(TRIM($AC87)) &amp; " ", " oacr ", " occlusion de l'artere centrale de la retine "), " hsd ", " hematome sous-dural "), " fa ", " fibrillation auriculaire "), " ep ", " embolie pulmonaire ") )</f>
        <v>glaucome aigu/uvéite</v>
      </c>
      <c r="AE87" t="str" cm="1">
        <f t="array" ref="AE87">_xlfn.LET(_xlpm.base, " " &amp; LOWER(TRIM($AD87))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glaucome aigu/uvéite</v>
      </c>
      <c r="AF87" t="str" cm="1">
        <f t="array" ref="AF87">_xlfn.LET(_xlpm.base, " " &amp; LOWER(TRIM($AE87))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glaucome aigu/uvéite</v>
      </c>
    </row>
    <row r="88" spans="1:32" ht="33.75">
      <c r="A88" s="8">
        <v>2014</v>
      </c>
      <c r="B88" s="10" t="s">
        <v>82</v>
      </c>
      <c r="C88" s="8" t="s">
        <v>33</v>
      </c>
      <c r="D88" s="20">
        <v>18</v>
      </c>
      <c r="E88" s="11" t="str">
        <f>IF(D88="","",IFERROR(INDEX(SSP!$E$2:$E$266, MATCH(D88, SSP!$F$2:$F$266, 0)),""))</f>
        <v>Perte de vision aiguë ou progressive (brutale, lente, transitoire, partielle)</v>
      </c>
      <c r="F88" s="11" t="str">
        <f>Feuil1!E88</f>
        <v>Trouble de la vision</v>
      </c>
      <c r="G88" s="12" t="s">
        <v>83</v>
      </c>
      <c r="H88" s="13" t="s">
        <v>363</v>
      </c>
      <c r="I88" s="13"/>
      <c r="J88" s="15" t="s">
        <v>357</v>
      </c>
      <c r="K88" s="9" t="s">
        <v>33</v>
      </c>
      <c r="L88" s="9" t="s">
        <v>33</v>
      </c>
      <c r="M88" s="9" t="s">
        <v>33</v>
      </c>
      <c r="N88" t="s">
        <v>364</v>
      </c>
      <c r="O88" t="str">
        <f>IFERROR(_xlfn.XLOOKUP($D88, SSP!$F:$F, SSP!$E:$E, "Inconnu"), "")</f>
        <v>Perte de vision aiguë ou progressive (brutale, lente, transitoire, partielle)</v>
      </c>
      <c r="P88" t="str">
        <f>IF(OR(E88="", O88=""), "", IF(LOWER(E88)=LOWER(O88), "OK", "⚠️ Libellé ≠ n°"))</f>
        <v>OK</v>
      </c>
      <c r="Q88" t="str">
        <f>IF(Feuil1!$E88="", "", IF(LOWER(Feuil1!$E88)=LOWER(E88), "Identique", "Différent"))</f>
        <v>Différent</v>
      </c>
      <c r="R88" t="str">
        <f>IF(OR(P88="⚠️ Libellé ≠ n°", O88="Inconnu"), "⚠️", IF(Q88="Différent", "ℹ️", ""))</f>
        <v>ℹ️</v>
      </c>
      <c r="S88" t="str" cm="1">
        <f t="array" ref="S88">_xlfn.LET(_xlpm.genCat,IFERROR(LOWER(TRIM(G88)),""),_xlpm.principal,IFERROR(LOWER(TRIM(H88)),""),_xlpm.orig,IFERROR(LOWER(TRIM(N88)),""),IF(OR(_xlpm.genCat="",_xlpm.principal=""),"",IF(LEFT(LOWER(G88),5)="autre","OK (Autre)",IF(OR(ISNUMBER(SEARCH(_xlpm.genCat,_xlpm.principal)),ISNUMBER(SEARCH(_xlpm.principal,_xlpm.genCat)),AND(_xlpm.orig&lt;&gt;"",OR(ISNUMBER(SEARCH(_xlpm.genCat,_xlpm.orig)),ISNUMBER(SEARCH(_xlpm.orig,_xlpm.genCat))))),"OK","⚠️ À vérifier"))))</f>
        <v>OK (Autre)</v>
      </c>
      <c r="T88" t="str">
        <f>IF(S88="","",IF(S88="OK (Autre)","Diagnostic générique = 'Autre – …'",IF(S88="OK","Concordance générique/principal","Écart entre générique et principal")))</f>
        <v>Diagnostic générique = 'Autre – …'</v>
      </c>
      <c r="U88" t="str" cm="1">
        <f t="array" ref="U88">_xlfn.LET(_xlpm.yr, A88, _xlpm.diag, IF(N88&lt;&gt;"", N88, H88), _xlpm.base, TRIM(SUBSTITUTE(SUBSTITUTE(SUBSTITUTE(SUBSTITUTE(_xlpm.diag,"•"," "),CHAR(160)," "),CHAR(10)," "),"  "," ")), LOWER(_xlpm.yr&amp;"|"&amp;_xlpm.base))</f>
        <v>2014|sep</v>
      </c>
      <c r="V88" t="str">
        <f>IFERROR(_xlfn.XLOOKUP($AB88,'Cas 2013-2017'!$K:$K,'Cas 2013-2017'!$D:$D,""),"")</f>
        <v/>
      </c>
      <c r="W88" t="str">
        <f>IFERROR(_xlfn.XLOOKUP($AB88,'Cas 2013-2017'!$K:$K,'Cas 2013-2017'!$E:$E,""),"")</f>
        <v/>
      </c>
      <c r="X88" t="str">
        <f>IFERROR(_xlfn.XLOOKUP($AB88,'Cas 2013-2017'!$K:$K,'Cas 2013-2017'!$F:$F,""),"")</f>
        <v/>
      </c>
      <c r="Y88" t="str">
        <f>IFERROR(_xlfn.XLOOKUP($AB88,'Cas 2013-2017'!$K:$K,'Cas 2013-2017'!$G:$G,""),"")</f>
        <v/>
      </c>
      <c r="Z88" t="str">
        <f>IFERROR(_xlfn.XLOOKUP($AB88,'Cas 2013-2017'!$K:$K,'Cas 2013-2017'!$I:$I,""),"")</f>
        <v/>
      </c>
      <c r="AA88" t="str">
        <f>IFERROR(_xlfn.XLOOKUP($AB88,'Cas 2013-2017'!$K:$K,'Cas 2013-2017'!$H:$H,""),"")</f>
        <v/>
      </c>
      <c r="AB88" t="str">
        <f>LOWER($A88 &amp; "|" &amp; $AF88)</f>
        <v>2014|sep</v>
      </c>
      <c r="AC88" t="str">
        <f>TRIM(SUBSTITUTE(SUBSTITUTE(SUBSTITUTE(SUBSTITUTE(" " &amp; LOWER(TRIM(IF($N88&lt;&gt;"", $N88, $H88))) &amp; " ", " aomi ", " arteriopathie des membres inferieurs "), " hta ", " hypertension arterielle "), " saos ", " syndrome d'apnees obstructives du sommeil "), " rgo ", " reflux gastro-oesophagien ") )</f>
        <v>sep</v>
      </c>
      <c r="AD88" t="str">
        <f>TRIM(SUBSTITUTE(SUBSTITUTE(SUBSTITUTE(SUBSTITUTE(" " &amp; LOWER(TRIM($AC88)) &amp; " ", " oacr ", " occlusion de l'artere centrale de la retine "), " hsd ", " hematome sous-dural "), " fa ", " fibrillation auriculaire "), " ep ", " embolie pulmonaire ") )</f>
        <v>sep</v>
      </c>
      <c r="AE88" t="str" cm="1">
        <f t="array" ref="AE88">_xlfn.LET(_xlpm.base, " " &amp; LOWER(TRIM($AD88))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sep</v>
      </c>
      <c r="AF88" t="str" cm="1">
        <f t="array" ref="AF88">_xlfn.LET(_xlpm.base, " " &amp; LOWER(TRIM($AE88))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sep</v>
      </c>
    </row>
    <row r="89" spans="1:32" ht="134.25">
      <c r="A89" s="8">
        <v>2014</v>
      </c>
      <c r="B89" s="10" t="s">
        <v>82</v>
      </c>
      <c r="C89" s="8" t="s">
        <v>33</v>
      </c>
      <c r="D89" s="20">
        <v>6</v>
      </c>
      <c r="E89" s="11" t="str">
        <f>IF(D89="","",IFERROR(INDEX(SSP!$E$2:$E$266, MATCH(D89, SSP!$F$2:$F$266, 0)),""))</f>
        <v>Fièvre, frissons, hyperthermie</v>
      </c>
      <c r="F89" s="11" t="str">
        <f>Feuil1!E89</f>
        <v>Fièvre</v>
      </c>
      <c r="G89" s="12" t="s">
        <v>83</v>
      </c>
      <c r="H89" s="13" t="s">
        <v>365</v>
      </c>
      <c r="I89" s="13"/>
      <c r="J89" s="16" t="s">
        <v>165</v>
      </c>
      <c r="K89" s="9" t="s">
        <v>366</v>
      </c>
      <c r="L89" s="9" t="s">
        <v>367</v>
      </c>
      <c r="M89" s="9" t="s">
        <v>368</v>
      </c>
      <c r="N89" t="s">
        <v>365</v>
      </c>
      <c r="O89" t="str">
        <f>IFERROR(_xlfn.XLOOKUP($D89, SSP!$F:$F, SSP!$E:$E, "Inconnu"), "")</f>
        <v>Fièvre, frissons, hyperthermie</v>
      </c>
      <c r="P89" t="str">
        <f>IF(OR(E89="", O89=""), "", IF(LOWER(E89)=LOWER(O89), "OK", "⚠️ Libellé ≠ n°"))</f>
        <v>OK</v>
      </c>
      <c r="Q89" t="str">
        <f>IF(Feuil1!$E89="", "", IF(LOWER(Feuil1!$E89)=LOWER(E89), "Identique", "Différent"))</f>
        <v>Différent</v>
      </c>
      <c r="R89" t="str">
        <f>IF(OR(P89="⚠️ Libellé ≠ n°", O89="Inconnu"), "⚠️", IF(Q89="Différent", "ℹ️", ""))</f>
        <v>ℹ️</v>
      </c>
      <c r="S89" t="str" cm="1">
        <f t="array" ref="S89">_xlfn.LET(_xlpm.genCat,IFERROR(LOWER(TRIM(G89)),""),_xlpm.principal,IFERROR(LOWER(TRIM(H89)),""),_xlpm.orig,IFERROR(LOWER(TRIM(N89)),""),IF(OR(_xlpm.genCat="",_xlpm.principal=""),"",IF(LEFT(LOWER(G89),5)="autre","OK (Autre)",IF(OR(ISNUMBER(SEARCH(_xlpm.genCat,_xlpm.principal)),ISNUMBER(SEARCH(_xlpm.principal,_xlpm.genCat)),AND(_xlpm.orig&lt;&gt;"",OR(ISNUMBER(SEARCH(_xlpm.genCat,_xlpm.orig)),ISNUMBER(SEARCH(_xlpm.orig,_xlpm.genCat))))),"OK","⚠️ À vérifier"))))</f>
        <v>OK (Autre)</v>
      </c>
      <c r="T89" t="str">
        <f>IF(S89="","",IF(S89="OK (Autre)","Diagnostic générique = 'Autre – …'",IF(S89="OK","Concordance générique/principal","Écart entre générique et principal")))</f>
        <v>Diagnostic générique = 'Autre – …'</v>
      </c>
      <c r="U89" t="str" cm="1">
        <f t="array" ref="U89">_xlfn.LET(_xlpm.yr, A89, _xlpm.diag, IF(N89&lt;&gt;"", N89, H89), _xlpm.base, TRIM(SUBSTITUTE(SUBSTITUTE(SUBSTITUTE(SUBSTITUTE(_xlpm.diag,"•"," "),CHAR(160)," "),CHAR(10)," "),"  "," ")), LOWER(_xlpm.yr&amp;"|"&amp;_xlpm.base))</f>
        <v>2014|otite</v>
      </c>
      <c r="V89" t="str">
        <f>IFERROR(_xlfn.XLOOKUP($AB89,'Cas 2013-2017'!$K:$K,'Cas 2013-2017'!$D:$D,""),"")</f>
        <v>Pas d’info si chez adulte ou enfant</v>
      </c>
      <c r="W89" t="str">
        <f>IFERROR(_xlfn.XLOOKUP($AB89,'Cas 2013-2017'!$K:$K,'Cas 2013-2017'!$E:$E,""),"")</f>
        <v>Dans 1 oreille ou les 2 • Otalgie, écoulement, prurit, • Fièvre, frissons • Ouïe diminue, acouphène, vertiges • Nez congestionné? Rhinorrhée, odynodysphagie, céphalées • si externe: otorrhée + notion de baignade en piscine (Attention diabétique!!) •</v>
      </c>
      <c r="X89" t="str">
        <f>IFERROR(_xlfn.XLOOKUP($AB89,'Cas 2013-2017'!$K:$K,'Cas 2013-2017'!$F:$F,""),"")</f>
        <v>Moyenne: tympan érythémateux, épaissi, fin ou bombé • Externe: CAE érythémateux, rétréci • Pas oublier de regarder et palper mastoïde • Examen ORL complet: avec ggl aussi, Rinné, Weber, audition</v>
      </c>
      <c r="Y89">
        <f>IFERROR(_xlfn.XLOOKUP($AB89,'Cas 2013-2017'!$K:$K,'Cas 2013-2017'!$G:$G,""),"")</f>
        <v>0</v>
      </c>
      <c r="Z89" t="str">
        <f>IFERROR(_xlfn.XLOOKUP($AB89,'Cas 2013-2017'!$K:$K,'Cas 2013-2017'!$I:$I,""),"")</f>
        <v>Moyenne: initialement décongestionnants nasaux et AINS (surtout pour OMA débutante) si inefficace au bout de 2j =&gt; AB amox • Externe: ciproxine HC en goutte • si diabétique =&gt; ciproxine p.os!!</v>
      </c>
      <c r="AA89">
        <f>IFERROR(_xlfn.XLOOKUP($AB89,'Cas 2013-2017'!$K:$K,'Cas 2013-2017'!$H:$H,""),"")</f>
        <v>0</v>
      </c>
      <c r="AB89" t="str">
        <f>LOWER($A89 &amp; "|" &amp; $AF89)</f>
        <v>2014|otite</v>
      </c>
      <c r="AC89" t="str">
        <f>TRIM(SUBSTITUTE(SUBSTITUTE(SUBSTITUTE(SUBSTITUTE(" " &amp; LOWER(TRIM(IF($N89&lt;&gt;"", $N89, $H89))) &amp; " ", " aomi ", " arteriopathie des membres inferieurs "), " hta ", " hypertension arterielle "), " saos ", " syndrome d'apnees obstructives du sommeil "), " rgo ", " reflux gastro-oesophagien ") )</f>
        <v>otite</v>
      </c>
      <c r="AD89" t="str">
        <f>TRIM(SUBSTITUTE(SUBSTITUTE(SUBSTITUTE(SUBSTITUTE(" " &amp; LOWER(TRIM($AC89)) &amp; " ", " oacr ", " occlusion de l'artere centrale de la retine "), " hsd ", " hematome sous-dural "), " fa ", " fibrillation auriculaire "), " ep ", " embolie pulmonaire ") )</f>
        <v>otite</v>
      </c>
      <c r="AE89" t="str" cm="1">
        <f t="array" ref="AE89">_xlfn.LET(_xlpm.base, " " &amp; LOWER(TRIM($AD89))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otite</v>
      </c>
      <c r="AF89" t="str" cm="1">
        <f t="array" ref="AF89">_xlfn.LET(_xlpm.base, " " &amp; LOWER(TRIM($AE89))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otite</v>
      </c>
    </row>
    <row r="90" spans="1:32" ht="33.75">
      <c r="A90" s="8">
        <v>2014</v>
      </c>
      <c r="B90" s="10" t="s">
        <v>82</v>
      </c>
      <c r="C90" s="8" t="s">
        <v>33</v>
      </c>
      <c r="D90" s="20">
        <v>6</v>
      </c>
      <c r="E90" s="11" t="str">
        <f>IF(D90="","",IFERROR(INDEX(SSP!$E$2:$E$266, MATCH(D90, SSP!$F$2:$F$266, 0)),""))</f>
        <v>Fièvre, frissons, hyperthermie</v>
      </c>
      <c r="F90" s="11" t="str">
        <f>Feuil1!E90</f>
        <v>Fièvre</v>
      </c>
      <c r="G90" s="12" t="s">
        <v>83</v>
      </c>
      <c r="H90" s="13" t="s">
        <v>369</v>
      </c>
      <c r="I90" s="13"/>
      <c r="J90" s="15" t="s">
        <v>370</v>
      </c>
      <c r="K90" s="9" t="s">
        <v>371</v>
      </c>
      <c r="L90" s="9" t="s">
        <v>33</v>
      </c>
      <c r="M90" s="9" t="s">
        <v>33</v>
      </c>
      <c r="N90" t="s">
        <v>369</v>
      </c>
      <c r="O90" t="str">
        <f>IFERROR(_xlfn.XLOOKUP($D90, SSP!$F:$F, SSP!$E:$E, "Inconnu"), "")</f>
        <v>Fièvre, frissons, hyperthermie</v>
      </c>
      <c r="P90" t="str">
        <f>IF(OR(E90="", O90=""), "", IF(LOWER(E90)=LOWER(O90), "OK", "⚠️ Libellé ≠ n°"))</f>
        <v>OK</v>
      </c>
      <c r="Q90" t="str">
        <f>IF(Feuil1!$E90="", "", IF(LOWER(Feuil1!$E90)=LOWER(E90), "Identique", "Différent"))</f>
        <v>Différent</v>
      </c>
      <c r="R90" t="str">
        <f>IF(OR(P90="⚠️ Libellé ≠ n°", O90="Inconnu"), "⚠️", IF(Q90="Différent", "ℹ️", ""))</f>
        <v>ℹ️</v>
      </c>
      <c r="S90" t="str" cm="1">
        <f t="array" ref="S90">_xlfn.LET(_xlpm.genCat,IFERROR(LOWER(TRIM(G90)),""),_xlpm.principal,IFERROR(LOWER(TRIM(H90)),""),_xlpm.orig,IFERROR(LOWER(TRIM(N90)),""),IF(OR(_xlpm.genCat="",_xlpm.principal=""),"",IF(LEFT(LOWER(G90),5)="autre","OK (Autre)",IF(OR(ISNUMBER(SEARCH(_xlpm.genCat,_xlpm.principal)),ISNUMBER(SEARCH(_xlpm.principal,_xlpm.genCat)),AND(_xlpm.orig&lt;&gt;"",OR(ISNUMBER(SEARCH(_xlpm.genCat,_xlpm.orig)),ISNUMBER(SEARCH(_xlpm.orig,_xlpm.genCat))))),"OK","⚠️ À vérifier"))))</f>
        <v>OK (Autre)</v>
      </c>
      <c r="T90" t="str">
        <f>IF(S90="","",IF(S90="OK (Autre)","Diagnostic générique = 'Autre – …'",IF(S90="OK","Concordance générique/principal","Écart entre générique et principal")))</f>
        <v>Diagnostic générique = 'Autre – …'</v>
      </c>
      <c r="U90" t="str" cm="1">
        <f t="array" ref="U90">_xlfn.LET(_xlpm.yr, A90, _xlpm.diag, IF(N90&lt;&gt;"", N90, H90), _xlpm.base, TRIM(SUBSTITUTE(SUBSTITUTE(SUBSTITUTE(SUBSTITUTE(_xlpm.diag,"•"," "),CHAR(160)," "),CHAR(10)," "),"  "," ")), LOWER(_xlpm.yr&amp;"|"&amp;_xlpm.base))</f>
        <v>2014|fièvre enfant</v>
      </c>
      <c r="V90" t="str">
        <f>IFERROR(_xlfn.XLOOKUP($AB90,'Cas 2013-2017'!$K:$K,'Cas 2013-2017'!$D:$D,""),"")</f>
        <v/>
      </c>
      <c r="W90" t="str">
        <f>IFERROR(_xlfn.XLOOKUP($AB90,'Cas 2013-2017'!$K:$K,'Cas 2013-2017'!$E:$E,""),"")</f>
        <v/>
      </c>
      <c r="X90" t="str">
        <f>IFERROR(_xlfn.XLOOKUP($AB90,'Cas 2013-2017'!$K:$K,'Cas 2013-2017'!$F:$F,""),"")</f>
        <v/>
      </c>
      <c r="Y90" t="str">
        <f>IFERROR(_xlfn.XLOOKUP($AB90,'Cas 2013-2017'!$K:$K,'Cas 2013-2017'!$G:$G,""),"")</f>
        <v/>
      </c>
      <c r="Z90" t="str">
        <f>IFERROR(_xlfn.XLOOKUP($AB90,'Cas 2013-2017'!$K:$K,'Cas 2013-2017'!$I:$I,""),"")</f>
        <v/>
      </c>
      <c r="AA90" t="str">
        <f>IFERROR(_xlfn.XLOOKUP($AB90,'Cas 2013-2017'!$K:$K,'Cas 2013-2017'!$H:$H,""),"")</f>
        <v/>
      </c>
      <c r="AB90" t="str">
        <f>LOWER($A90 &amp; "|" &amp; $AF90)</f>
        <v>2014|fièvre enfant</v>
      </c>
      <c r="AC90" t="str">
        <f>TRIM(SUBSTITUTE(SUBSTITUTE(SUBSTITUTE(SUBSTITUTE(" " &amp; LOWER(TRIM(IF($N90&lt;&gt;"", $N90, $H90))) &amp; " ", " aomi ", " arteriopathie des membres inferieurs "), " hta ", " hypertension arterielle "), " saos ", " syndrome d'apnees obstructives du sommeil "), " rgo ", " reflux gastro-oesophagien ") )</f>
        <v>fièvre enfant</v>
      </c>
      <c r="AD90" t="str">
        <f>TRIM(SUBSTITUTE(SUBSTITUTE(SUBSTITUTE(SUBSTITUTE(" " &amp; LOWER(TRIM($AC90)) &amp; " ", " oacr ", " occlusion de l'artere centrale de la retine "), " hsd ", " hematome sous-dural "), " fa ", " fibrillation auriculaire "), " ep ", " embolie pulmonaire ") )</f>
        <v>fièvre enfant</v>
      </c>
      <c r="AE90" t="str" cm="1">
        <f t="array" ref="AE90">_xlfn.LET(_xlpm.base, " " &amp; LOWER(TRIM($AD90))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fièvre enfant</v>
      </c>
      <c r="AF90" t="str" cm="1">
        <f t="array" ref="AF90">_xlfn.LET(_xlpm.base, " " &amp; LOWER(TRIM($AE90))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fièvre enfant</v>
      </c>
    </row>
    <row r="91" spans="1:32" ht="33.75">
      <c r="A91" s="8">
        <v>2014</v>
      </c>
      <c r="B91" s="10" t="s">
        <v>87</v>
      </c>
      <c r="C91" s="8" t="s">
        <v>33</v>
      </c>
      <c r="D91" s="20">
        <v>91</v>
      </c>
      <c r="E91" s="11" t="str">
        <f>IF(D91="","",IFERROR(INDEX(SSP!$E$2:$E$266, MATCH(D91, SSP!$F$2:$F$266, 0)),""))</f>
        <v>Ictère</v>
      </c>
      <c r="F91" s="11" t="str">
        <f>Feuil1!E91</f>
        <v>Ictère</v>
      </c>
      <c r="G91" s="12" t="s">
        <v>372</v>
      </c>
      <c r="H91" s="13" t="s">
        <v>373</v>
      </c>
      <c r="I91" s="13"/>
      <c r="J91" s="15" t="s">
        <v>370</v>
      </c>
      <c r="K91" s="9" t="s">
        <v>374</v>
      </c>
      <c r="L91" s="9" t="s">
        <v>33</v>
      </c>
      <c r="M91" s="9" t="s">
        <v>33</v>
      </c>
      <c r="N91" t="s">
        <v>373</v>
      </c>
      <c r="O91" t="str">
        <f>IFERROR(_xlfn.XLOOKUP($D91, SSP!$F:$F, SSP!$E:$E, "Inconnu"), "")</f>
        <v>Ictère</v>
      </c>
      <c r="P91" t="str">
        <f>IF(OR(E91="", O91=""), "", IF(LOWER(E91)=LOWER(O91), "OK", "⚠️ Libellé ≠ n°"))</f>
        <v>OK</v>
      </c>
      <c r="Q91" t="str">
        <f>IF(Feuil1!$E91="", "", IF(LOWER(Feuil1!$E91)=LOWER(E91), "Identique", "Différent"))</f>
        <v>Identique</v>
      </c>
      <c r="R91" t="str">
        <f>IF(OR(P91="⚠️ Libellé ≠ n°", O91="Inconnu"), "⚠️", IF(Q91="Différent", "ℹ️", ""))</f>
        <v/>
      </c>
      <c r="S91" t="str" cm="1">
        <f t="array" ref="S91">_xlfn.LET(_xlpm.genCat,IFERROR(LOWER(TRIM(G91)),""),_xlpm.principal,IFERROR(LOWER(TRIM(H91)),""),_xlpm.orig,IFERROR(LOWER(TRIM(N91)),""),IF(OR(_xlpm.genCat="",_xlpm.principal=""),"",IF(LEFT(LOWER(G91),5)="autre","OK (Autre)",IF(OR(ISNUMBER(SEARCH(_xlpm.genCat,_xlpm.principal)),ISNUMBER(SEARCH(_xlpm.principal,_xlpm.genCat)),AND(_xlpm.orig&lt;&gt;"",OR(ISNUMBER(SEARCH(_xlpm.genCat,_xlpm.orig)),ISNUMBER(SEARCH(_xlpm.orig,_xlpm.genCat))))),"OK","⚠️ À vérifier"))))</f>
        <v>⚠️ À vérifier</v>
      </c>
      <c r="T91" t="str">
        <f>IF(S91="","",IF(S91="OK (Autre)","Diagnostic générique = 'Autre – …'",IF(S91="OK","Concordance générique/principal","Écart entre générique et principal")))</f>
        <v>Écart entre générique et principal</v>
      </c>
      <c r="U91" t="str" cm="1">
        <f t="array" ref="U91">_xlfn.LET(_xlpm.yr, A91, _xlpm.diag, IF(N91&lt;&gt;"", N91, H91), _xlpm.base, TRIM(SUBSTITUTE(SUBSTITUTE(SUBSTITUTE(SUBSTITUTE(_xlpm.diag,"•"," "),CHAR(160)," "),CHAR(10)," "),"  "," ")), LOWER(_xlpm.yr&amp;"|"&amp;_xlpm.base))</f>
        <v>2014|ictère du nouveau-né</v>
      </c>
      <c r="V91" t="str">
        <f>IFERROR(_xlfn.XLOOKUP($AB91,'Cas 2013-2017'!$K:$K,'Cas 2013-2017'!$D:$D,""),"")</f>
        <v/>
      </c>
      <c r="W91" t="str">
        <f>IFERROR(_xlfn.XLOOKUP($AB91,'Cas 2013-2017'!$K:$K,'Cas 2013-2017'!$E:$E,""),"")</f>
        <v/>
      </c>
      <c r="X91" t="str">
        <f>IFERROR(_xlfn.XLOOKUP($AB91,'Cas 2013-2017'!$K:$K,'Cas 2013-2017'!$F:$F,""),"")</f>
        <v/>
      </c>
      <c r="Y91" t="str">
        <f>IFERROR(_xlfn.XLOOKUP($AB91,'Cas 2013-2017'!$K:$K,'Cas 2013-2017'!$G:$G,""),"")</f>
        <v/>
      </c>
      <c r="Z91" t="str">
        <f>IFERROR(_xlfn.XLOOKUP($AB91,'Cas 2013-2017'!$K:$K,'Cas 2013-2017'!$I:$I,""),"")</f>
        <v/>
      </c>
      <c r="AA91" t="str">
        <f>IFERROR(_xlfn.XLOOKUP($AB91,'Cas 2013-2017'!$K:$K,'Cas 2013-2017'!$H:$H,""),"")</f>
        <v/>
      </c>
      <c r="AB91" t="str">
        <f>LOWER($A91 &amp; "|" &amp; $AF91)</f>
        <v>2014|ictère du nouveau-né</v>
      </c>
      <c r="AC91" t="str">
        <f>TRIM(SUBSTITUTE(SUBSTITUTE(SUBSTITUTE(SUBSTITUTE(" " &amp; LOWER(TRIM(IF($N91&lt;&gt;"", $N91, $H91))) &amp; " ", " aomi ", " arteriopathie des membres inferieurs "), " hta ", " hypertension arterielle "), " saos ", " syndrome d'apnees obstructives du sommeil "), " rgo ", " reflux gastro-oesophagien ") )</f>
        <v>ictère du nouveau-né</v>
      </c>
      <c r="AD91" t="str">
        <f>TRIM(SUBSTITUTE(SUBSTITUTE(SUBSTITUTE(SUBSTITUTE(" " &amp; LOWER(TRIM($AC91)) &amp; " ", " oacr ", " occlusion de l'artere centrale de la retine "), " hsd ", " hematome sous-dural "), " fa ", " fibrillation auriculaire "), " ep ", " embolie pulmonaire ") )</f>
        <v>ictère du nouveau-né</v>
      </c>
      <c r="AE91" t="str" cm="1">
        <f t="array" ref="AE91">_xlfn.LET(_xlpm.base, " " &amp; LOWER(TRIM($AD91))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ictère du nouveau-né</v>
      </c>
      <c r="AF91" t="str" cm="1">
        <f t="array" ref="AF91">_xlfn.LET(_xlpm.base, " " &amp; LOWER(TRIM($AE91))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ictère du nouveau-né</v>
      </c>
    </row>
    <row r="92" spans="1:32" ht="150.75">
      <c r="A92" s="8">
        <v>2014</v>
      </c>
      <c r="B92" s="10" t="s">
        <v>133</v>
      </c>
      <c r="C92" s="8" t="s">
        <v>33</v>
      </c>
      <c r="D92" s="20">
        <v>45</v>
      </c>
      <c r="E92" s="11" t="str">
        <f>IF(D92="","",IFERROR(INDEX(SSP!$E$2:$E$266, MATCH(D92, SSP!$F$2:$F$266, 0)),""))</f>
        <v>Toux, expectoration, hémoptysie</v>
      </c>
      <c r="F92" s="11" t="str">
        <f>Feuil1!E92</f>
        <v>Toux</v>
      </c>
      <c r="G92" s="12" t="s">
        <v>375</v>
      </c>
      <c r="H92" s="13" t="s">
        <v>375</v>
      </c>
      <c r="I92" s="13" t="s">
        <v>376</v>
      </c>
      <c r="J92" s="15" t="s">
        <v>377</v>
      </c>
      <c r="K92" s="9" t="s">
        <v>378</v>
      </c>
      <c r="L92" s="9" t="s">
        <v>379</v>
      </c>
      <c r="M92" s="9" t="s">
        <v>380</v>
      </c>
      <c r="N92" t="s">
        <v>375</v>
      </c>
      <c r="O92" t="str">
        <f>IFERROR(_xlfn.XLOOKUP($D92, SSP!$F:$F, SSP!$E:$E, "Inconnu"), "")</f>
        <v>Toux, expectoration, hémoptysie</v>
      </c>
      <c r="P92" t="str">
        <f>IF(OR(E92="", O92=""), "", IF(LOWER(E92)=LOWER(O92), "OK", "⚠️ Libellé ≠ n°"))</f>
        <v>OK</v>
      </c>
      <c r="Q92" t="str">
        <f>IF(Feuil1!$E92="", "", IF(LOWER(Feuil1!$E92)=LOWER(E92), "Identique", "Différent"))</f>
        <v>Différent</v>
      </c>
      <c r="R92" t="str">
        <f>IF(OR(P92="⚠️ Libellé ≠ n°", O92="Inconnu"), "⚠️", IF(Q92="Différent", "ℹ️", ""))</f>
        <v>ℹ️</v>
      </c>
      <c r="S92" t="str" cm="1">
        <f t="array" ref="S92">_xlfn.LET(_xlpm.genCat,IFERROR(LOWER(TRIM(G92)),""),_xlpm.principal,IFERROR(LOWER(TRIM(H92)),""),_xlpm.orig,IFERROR(LOWER(TRIM(N92)),""),IF(OR(_xlpm.genCat="",_xlpm.principal=""),"",IF(LEFT(LOWER(G92),5)="autre","OK (Autre)",IF(OR(ISNUMBER(SEARCH(_xlpm.genCat,_xlpm.principal)),ISNUMBER(SEARCH(_xlpm.principal,_xlpm.genCat)),AND(_xlpm.orig&lt;&gt;"",OR(ISNUMBER(SEARCH(_xlpm.genCat,_xlpm.orig)),ISNUMBER(SEARCH(_xlpm.orig,_xlpm.genCat))))),"OK","⚠️ À vérifier"))))</f>
        <v>OK</v>
      </c>
      <c r="T92" t="str">
        <f>IF(S92="","",IF(S92="OK (Autre)","Diagnostic générique = 'Autre – …'",IF(S92="OK","Concordance générique/principal","Écart entre générique et principal")))</f>
        <v>Concordance générique/principal</v>
      </c>
      <c r="U92" t="str" cm="1">
        <f t="array" ref="U92">_xlfn.LET(_xlpm.yr, A92, _xlpm.diag, IF(N92&lt;&gt;"", N92, H92), _xlpm.base, TRIM(SUBSTITUTE(SUBSTITUTE(SUBSTITUTE(SUBSTITUTE(_xlpm.diag,"•"," "),CHAR(160)," "),CHAR(10)," "),"  "," ")), LOWER(_xlpm.yr&amp;"|"&amp;_xlpm.base))</f>
        <v>2014|asthme</v>
      </c>
      <c r="V92" t="str">
        <f>IFERROR(_xlfn.XLOOKUP($AB92,'Cas 2013-2017'!$K:$K,'Cas 2013-2017'!$D:$D,""),"")</f>
        <v>Toux chez homme jeune</v>
      </c>
      <c r="W92" t="str">
        <f>IFERROR(_xlfn.XLOOKUP($AB92,'Cas 2013-2017'!$K:$K,'Cas 2013-2017'!$E:$E,""),"")</f>
        <v>Toux, quand (+ le matin, nuit?) expectos, sang? dyspnée, douleur, reflux, contage, animaux, Tb, bruits pendant respiration? Infection récente, fièvre, symptômes B. • Rhinite allergique, eczéma, • Allergie, toux saisonnière? Profession? Voyages? • Exposition à animaux, poussière/moisissure</v>
      </c>
      <c r="X92" t="str">
        <f>IFERROR(_xlfn.XLOOKUP($AB92,'Cas 2013-2017'!$K:$K,'Cas 2013-2017'!$F:$F,""),"")</f>
        <v>Pulmonaire (pas oublier ongles, ganglions) • Evtl Cardio</v>
      </c>
      <c r="Y92" t="str">
        <f>IFERROR(_xlfn.XLOOKUP($AB92,'Cas 2013-2017'!$K:$K,'Cas 2013-2017'!$G:$G,""),"")</f>
        <v>Pneumonie typique/atypique • Bronchite • GERD • BPCO</v>
      </c>
      <c r="Z92" t="str">
        <f>IFERROR(_xlfn.XLOOKUP($AB92,'Cas 2013-2017'!$K:$K,'Cas 2013-2017'!$I:$I,""),"")</f>
        <v>O2 • SABA (Ventolin) • Cortico iv • Adrénaline inhalation • Si échec : • B2 en IV attention répercussion hémodynamique • Chronique : • Éviter trigger • Ventolin au besoin • Budésonide • LABA (Salbutamol)</v>
      </c>
      <c r="AA92" t="str">
        <f>IFERROR(_xlfn.XLOOKUP($AB92,'Cas 2013-2017'!$K:$K,'Cas 2013-2017'!$H:$H,""),"")</f>
        <v>FSC: paramètres inflammatoires, éosinophilie • Gazométrie • Sat02 • Spirométrie • Peak flow (et post- SABA) • Test de provocation à la métacholine • Evtl Rx thorax • Dx allergie : • Prick test • IgE totaux</v>
      </c>
      <c r="AB92" t="str">
        <f>LOWER($A92 &amp; "|" &amp; $AF92)</f>
        <v>2014|asthme</v>
      </c>
      <c r="AC92" t="str">
        <f>TRIM(SUBSTITUTE(SUBSTITUTE(SUBSTITUTE(SUBSTITUTE(" " &amp; LOWER(TRIM(IF($N92&lt;&gt;"", $N92, $H92))) &amp; " ", " aomi ", " arteriopathie des membres inferieurs "), " hta ", " hypertension arterielle "), " saos ", " syndrome d'apnees obstructives du sommeil "), " rgo ", " reflux gastro-oesophagien ") )</f>
        <v>asthme</v>
      </c>
      <c r="AD92" t="str">
        <f>TRIM(SUBSTITUTE(SUBSTITUTE(SUBSTITUTE(SUBSTITUTE(" " &amp; LOWER(TRIM($AC92)) &amp; " ", " oacr ", " occlusion de l'artere centrale de la retine "), " hsd ", " hematome sous-dural "), " fa ", " fibrillation auriculaire "), " ep ", " embolie pulmonaire ") )</f>
        <v>asthme</v>
      </c>
      <c r="AE92" t="str" cm="1">
        <f t="array" ref="AE92">_xlfn.LET(_xlpm.base, " " &amp; LOWER(TRIM($AD92))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asthme</v>
      </c>
      <c r="AF92" t="str" cm="1">
        <f t="array" ref="AF92">_xlfn.LET(_xlpm.base, " " &amp; LOWER(TRIM($AE92))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asthme</v>
      </c>
    </row>
    <row r="93" spans="1:32" ht="16.5">
      <c r="A93" s="8">
        <v>2014</v>
      </c>
      <c r="B93" s="10" t="s">
        <v>133</v>
      </c>
      <c r="C93" s="8" t="s">
        <v>33</v>
      </c>
      <c r="D93" s="20">
        <v>45</v>
      </c>
      <c r="E93" s="11" t="str">
        <f>IF(D93="","",IFERROR(INDEX(SSP!$E$2:$E$266, MATCH(D93, SSP!$F$2:$F$266, 0)),""))</f>
        <v>Toux, expectoration, hémoptysie</v>
      </c>
      <c r="F93" s="11" t="str">
        <f>Feuil1!E93</f>
        <v>Toux</v>
      </c>
      <c r="G93" s="12" t="s">
        <v>381</v>
      </c>
      <c r="H93" s="13" t="s">
        <v>382</v>
      </c>
      <c r="I93" s="13"/>
      <c r="J93" s="15" t="s">
        <v>383</v>
      </c>
      <c r="K93" s="9" t="s">
        <v>33</v>
      </c>
      <c r="L93" s="9" t="s">
        <v>33</v>
      </c>
      <c r="M93" s="9" t="s">
        <v>33</v>
      </c>
      <c r="N93" t="s">
        <v>382</v>
      </c>
      <c r="O93" t="str">
        <f>IFERROR(_xlfn.XLOOKUP($D93, SSP!$F:$F, SSP!$E:$E, "Inconnu"), "")</f>
        <v>Toux, expectoration, hémoptysie</v>
      </c>
      <c r="P93" t="str">
        <f>IF(OR(E93="", O93=""), "", IF(LOWER(E93)=LOWER(O93), "OK", "⚠️ Libellé ≠ n°"))</f>
        <v>OK</v>
      </c>
      <c r="Q93" t="str">
        <f>IF(Feuil1!$E93="", "", IF(LOWER(Feuil1!$E93)=LOWER(E93), "Identique", "Différent"))</f>
        <v>Différent</v>
      </c>
      <c r="R93" t="str">
        <f>IF(OR(P93="⚠️ Libellé ≠ n°", O93="Inconnu"), "⚠️", IF(Q93="Différent", "ℹ️", ""))</f>
        <v>ℹ️</v>
      </c>
      <c r="S93" t="str" cm="1">
        <f t="array" ref="S93">_xlfn.LET(_xlpm.genCat,IFERROR(LOWER(TRIM(G93)),""),_xlpm.principal,IFERROR(LOWER(TRIM(H93)),""),_xlpm.orig,IFERROR(LOWER(TRIM(N93)),""),IF(OR(_xlpm.genCat="",_xlpm.principal=""),"",IF(LEFT(LOWER(G93),5)="autre","OK (Autre)",IF(OR(ISNUMBER(SEARCH(_xlpm.genCat,_xlpm.principal)),ISNUMBER(SEARCH(_xlpm.principal,_xlpm.genCat)),AND(_xlpm.orig&lt;&gt;"",OR(ISNUMBER(SEARCH(_xlpm.genCat,_xlpm.orig)),ISNUMBER(SEARCH(_xlpm.orig,_xlpm.genCat))))),"OK","⚠️ À vérifier"))))</f>
        <v>⚠️ À vérifier</v>
      </c>
      <c r="T93" t="str">
        <f>IF(S93="","",IF(S93="OK (Autre)","Diagnostic générique = 'Autre – …'",IF(S93="OK","Concordance générique/principal","Écart entre générique et principal")))</f>
        <v>Écart entre générique et principal</v>
      </c>
      <c r="U93" t="str" cm="1">
        <f t="array" ref="U93">_xlfn.LET(_xlpm.yr, A93, _xlpm.diag, IF(N93&lt;&gt;"", N93, H93), _xlpm.base, TRIM(SUBSTITUTE(SUBSTITUTE(SUBSTITUTE(SUBSTITUTE(_xlpm.diag,"•"," "),CHAR(160)," "),CHAR(10)," "),"  "," ")), LOWER(_xlpm.yr&amp;"|"&amp;_xlpm.base))</f>
        <v>2014|bronchite ou pneumonie</v>
      </c>
      <c r="V93" t="str">
        <f>IFERROR(_xlfn.XLOOKUP($AB93,'Cas 2013-2017'!$K:$K,'Cas 2013-2017'!$D:$D,""),"")</f>
        <v/>
      </c>
      <c r="W93" t="str">
        <f>IFERROR(_xlfn.XLOOKUP($AB93,'Cas 2013-2017'!$K:$K,'Cas 2013-2017'!$E:$E,""),"")</f>
        <v/>
      </c>
      <c r="X93" t="str">
        <f>IFERROR(_xlfn.XLOOKUP($AB93,'Cas 2013-2017'!$K:$K,'Cas 2013-2017'!$F:$F,""),"")</f>
        <v/>
      </c>
      <c r="Y93" t="str">
        <f>IFERROR(_xlfn.XLOOKUP($AB93,'Cas 2013-2017'!$K:$K,'Cas 2013-2017'!$G:$G,""),"")</f>
        <v/>
      </c>
      <c r="Z93" t="str">
        <f>IFERROR(_xlfn.XLOOKUP($AB93,'Cas 2013-2017'!$K:$K,'Cas 2013-2017'!$I:$I,""),"")</f>
        <v/>
      </c>
      <c r="AA93" t="str">
        <f>IFERROR(_xlfn.XLOOKUP($AB93,'Cas 2013-2017'!$K:$K,'Cas 2013-2017'!$H:$H,""),"")</f>
        <v/>
      </c>
      <c r="AB93" t="str">
        <f>LOWER($A93 &amp; "|" &amp; $AF93)</f>
        <v>2014|bronchite ou pneumonie</v>
      </c>
      <c r="AC93" t="str">
        <f>TRIM(SUBSTITUTE(SUBSTITUTE(SUBSTITUTE(SUBSTITUTE(" " &amp; LOWER(TRIM(IF($N93&lt;&gt;"", $N93, $H93))) &amp; " ", " aomi ", " arteriopathie des membres inferieurs "), " hta ", " hypertension arterielle "), " saos ", " syndrome d'apnees obstructives du sommeil "), " rgo ", " reflux gastro-oesophagien ") )</f>
        <v>bronchite ou pneumonie</v>
      </c>
      <c r="AD93" t="str">
        <f>TRIM(SUBSTITUTE(SUBSTITUTE(SUBSTITUTE(SUBSTITUTE(" " &amp; LOWER(TRIM($AC93)) &amp; " ", " oacr ", " occlusion de l'artere centrale de la retine "), " hsd ", " hematome sous-dural "), " fa ", " fibrillation auriculaire "), " ep ", " embolie pulmonaire ") )</f>
        <v>bronchite ou pneumonie</v>
      </c>
      <c r="AE93" t="str" cm="1">
        <f t="array" ref="AE93">_xlfn.LET(_xlpm.base, " " &amp; LOWER(TRIM($AD93))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bronchite ou pneumonie</v>
      </c>
      <c r="AF93" t="str" cm="1">
        <f t="array" ref="AF93">_xlfn.LET(_xlpm.base, " " &amp; LOWER(TRIM($AE93))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bronchite ou pneumonie</v>
      </c>
    </row>
    <row r="94" spans="1:32" ht="16.5">
      <c r="A94" s="8">
        <v>2014</v>
      </c>
      <c r="B94" s="10" t="s">
        <v>141</v>
      </c>
      <c r="C94" s="8" t="s">
        <v>33</v>
      </c>
      <c r="D94" s="20">
        <v>119</v>
      </c>
      <c r="E94" s="11" t="str">
        <f>IF(D94="","",IFERROR(INDEX(SSP!$E$2:$E$266, MATCH(D94, SSP!$F$2:$F$266, 0)),""))</f>
        <v>Trouble du déficit de l’attention</v>
      </c>
      <c r="F94" s="11" t="str">
        <f>Feuil1!E94</f>
        <v>Trouble de l’humeur</v>
      </c>
      <c r="G94" s="12" t="s">
        <v>291</v>
      </c>
      <c r="H94" s="13" t="s">
        <v>384</v>
      </c>
      <c r="I94" s="13"/>
      <c r="J94" s="15" t="s">
        <v>385</v>
      </c>
      <c r="K94" s="9" t="s">
        <v>386</v>
      </c>
      <c r="L94" s="9" t="s">
        <v>33</v>
      </c>
      <c r="M94" s="9" t="s">
        <v>33</v>
      </c>
      <c r="N94" t="s">
        <v>384</v>
      </c>
      <c r="O94" t="str">
        <f>IFERROR(_xlfn.XLOOKUP($D94, SSP!$F:$F, SSP!$E:$E, "Inconnu"), "")</f>
        <v>Trouble du déficit de l’attention</v>
      </c>
      <c r="P94" t="str">
        <f>IF(OR(E94="", O94=""), "", IF(LOWER(E94)=LOWER(O94), "OK", "⚠️ Libellé ≠ n°"))</f>
        <v>OK</v>
      </c>
      <c r="Q94" t="str">
        <f>IF(Feuil1!$E94="", "", IF(LOWER(Feuil1!$E94)=LOWER(E94), "Identique", "Différent"))</f>
        <v>Différent</v>
      </c>
      <c r="R94" t="str">
        <f>IF(OR(P94="⚠️ Libellé ≠ n°", O94="Inconnu"), "⚠️", IF(Q94="Différent", "ℹ️", ""))</f>
        <v>ℹ️</v>
      </c>
      <c r="S94" t="str" cm="1">
        <f t="array" ref="S94">_xlfn.LET(_xlpm.genCat,IFERROR(LOWER(TRIM(G94)),""),_xlpm.principal,IFERROR(LOWER(TRIM(H94)),""),_xlpm.orig,IFERROR(LOWER(TRIM(N94)),""),IF(OR(_xlpm.genCat="",_xlpm.principal=""),"",IF(LEFT(LOWER(G94),5)="autre","OK (Autre)",IF(OR(ISNUMBER(SEARCH(_xlpm.genCat,_xlpm.principal)),ISNUMBER(SEARCH(_xlpm.principal,_xlpm.genCat)),AND(_xlpm.orig&lt;&gt;"",OR(ISNUMBER(SEARCH(_xlpm.genCat,_xlpm.orig)),ISNUMBER(SEARCH(_xlpm.orig,_xlpm.genCat))))),"OK","⚠️ À vérifier"))))</f>
        <v>⚠️ À vérifier</v>
      </c>
      <c r="T94" t="str">
        <f>IF(S94="","",IF(S94="OK (Autre)","Diagnostic générique = 'Autre – …'",IF(S94="OK","Concordance générique/principal","Écart entre générique et principal")))</f>
        <v>Écart entre générique et principal</v>
      </c>
      <c r="U94" t="str" cm="1">
        <f t="array" ref="U94">_xlfn.LET(_xlpm.yr, A94, _xlpm.diag, IF(N94&lt;&gt;"", N94, H94), _xlpm.base, TRIM(SUBSTITUTE(SUBSTITUTE(SUBSTITUTE(SUBSTITUTE(_xlpm.diag,"•"," "),CHAR(160)," "),CHAR(10)," "),"  "," ")), LOWER(_xlpm.yr&amp;"|"&amp;_xlpm.base))</f>
        <v>2014|dépression</v>
      </c>
      <c r="V94" t="str">
        <f>IFERROR(_xlfn.XLOOKUP($AB94,'Cas 2013-2017'!$K:$K,'Cas 2013-2017'!$D:$D,""),"")</f>
        <v/>
      </c>
      <c r="W94" t="str">
        <f>IFERROR(_xlfn.XLOOKUP($AB94,'Cas 2013-2017'!$K:$K,'Cas 2013-2017'!$E:$E,""),"")</f>
        <v/>
      </c>
      <c r="X94" t="str">
        <f>IFERROR(_xlfn.XLOOKUP($AB94,'Cas 2013-2017'!$K:$K,'Cas 2013-2017'!$F:$F,""),"")</f>
        <v/>
      </c>
      <c r="Y94" t="str">
        <f>IFERROR(_xlfn.XLOOKUP($AB94,'Cas 2013-2017'!$K:$K,'Cas 2013-2017'!$G:$G,""),"")</f>
        <v/>
      </c>
      <c r="Z94" t="str">
        <f>IFERROR(_xlfn.XLOOKUP($AB94,'Cas 2013-2017'!$K:$K,'Cas 2013-2017'!$I:$I,""),"")</f>
        <v/>
      </c>
      <c r="AA94" t="str">
        <f>IFERROR(_xlfn.XLOOKUP($AB94,'Cas 2013-2017'!$K:$K,'Cas 2013-2017'!$H:$H,""),"")</f>
        <v/>
      </c>
      <c r="AB94" t="str">
        <f>LOWER($A94 &amp; "|" &amp; $AF94)</f>
        <v>2014|dépression</v>
      </c>
      <c r="AC94" t="str">
        <f>TRIM(SUBSTITUTE(SUBSTITUTE(SUBSTITUTE(SUBSTITUTE(" " &amp; LOWER(TRIM(IF($N94&lt;&gt;"", $N94, $H94))) &amp; " ", " aomi ", " arteriopathie des membres inferieurs "), " hta ", " hypertension arterielle "), " saos ", " syndrome d'apnees obstructives du sommeil "), " rgo ", " reflux gastro-oesophagien ") )</f>
        <v>dépression</v>
      </c>
      <c r="AD94" t="str">
        <f>TRIM(SUBSTITUTE(SUBSTITUTE(SUBSTITUTE(SUBSTITUTE(" " &amp; LOWER(TRIM($AC94)) &amp; " ", " oacr ", " occlusion de l'artere centrale de la retine "), " hsd ", " hematome sous-dural "), " fa ", " fibrillation auriculaire "), " ep ", " embolie pulmonaire ") )</f>
        <v>dépression</v>
      </c>
      <c r="AE94" t="str" cm="1">
        <f t="array" ref="AE94">_xlfn.LET(_xlpm.base, " " &amp; LOWER(TRIM($AD94))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dépression</v>
      </c>
      <c r="AF94" t="str" cm="1">
        <f t="array" ref="AF94">_xlfn.LET(_xlpm.base, " " &amp; LOWER(TRIM($AE94))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dépression</v>
      </c>
    </row>
    <row r="95" spans="1:32" ht="250.5">
      <c r="A95" s="8">
        <v>2014</v>
      </c>
      <c r="B95" s="10" t="s">
        <v>141</v>
      </c>
      <c r="C95" s="8" t="s">
        <v>33</v>
      </c>
      <c r="D95" s="20">
        <v>118</v>
      </c>
      <c r="E95" s="11" t="str">
        <f>IF(D95="","",IFERROR(INDEX(SSP!$E$2:$E$266, MATCH(D95, SSP!$F$2:$F$266, 0)),""))</f>
        <v>Anxiété et crises de panique</v>
      </c>
      <c r="F95" s="11" t="str">
        <f>Feuil1!E95</f>
        <v>Anxiété</v>
      </c>
      <c r="G95" s="12" t="s">
        <v>387</v>
      </c>
      <c r="H95" s="13" t="s">
        <v>387</v>
      </c>
      <c r="I95" s="13" t="s">
        <v>388</v>
      </c>
      <c r="J95" s="15" t="s">
        <v>33</v>
      </c>
      <c r="K95" s="9" t="s">
        <v>389</v>
      </c>
      <c r="L95" s="9" t="s">
        <v>390</v>
      </c>
      <c r="M95" s="9" t="s">
        <v>391</v>
      </c>
      <c r="N95" t="s">
        <v>387</v>
      </c>
      <c r="O95" t="str">
        <f>IFERROR(_xlfn.XLOOKUP($D95, SSP!$F:$F, SSP!$E:$E, "Inconnu"), "")</f>
        <v>Anxiété et crises de panique</v>
      </c>
      <c r="P95" t="str">
        <f>IF(OR(E95="", O95=""), "", IF(LOWER(E95)=LOWER(O95), "OK", "⚠️ Libellé ≠ n°"))</f>
        <v>OK</v>
      </c>
      <c r="Q95" t="str">
        <f>IF(Feuil1!$E95="", "", IF(LOWER(Feuil1!$E95)=LOWER(E95), "Identique", "Différent"))</f>
        <v>Différent</v>
      </c>
      <c r="R95" t="str">
        <f>IF(OR(P95="⚠️ Libellé ≠ n°", O95="Inconnu"), "⚠️", IF(Q95="Différent", "ℹ️", ""))</f>
        <v>ℹ️</v>
      </c>
      <c r="S95" t="str" cm="1">
        <f t="array" ref="S95">_xlfn.LET(_xlpm.genCat,IFERROR(LOWER(TRIM(G95)),""),_xlpm.principal,IFERROR(LOWER(TRIM(H95)),""),_xlpm.orig,IFERROR(LOWER(TRIM(N95)),""),IF(OR(_xlpm.genCat="",_xlpm.principal=""),"",IF(LEFT(LOWER(G95),5)="autre","OK (Autre)",IF(OR(ISNUMBER(SEARCH(_xlpm.genCat,_xlpm.principal)),ISNUMBER(SEARCH(_xlpm.principal,_xlpm.genCat)),AND(_xlpm.orig&lt;&gt;"",OR(ISNUMBER(SEARCH(_xlpm.genCat,_xlpm.orig)),ISNUMBER(SEARCH(_xlpm.orig,_xlpm.genCat))))),"OK","⚠️ À vérifier"))))</f>
        <v>OK</v>
      </c>
      <c r="T95" t="str">
        <f>IF(S95="","",IF(S95="OK (Autre)","Diagnostic générique = 'Autre – …'",IF(S95="OK","Concordance générique/principal","Écart entre générique et principal")))</f>
        <v>Concordance générique/principal</v>
      </c>
      <c r="U95" t="str" cm="1">
        <f t="array" ref="U95">_xlfn.LET(_xlpm.yr, A95, _xlpm.diag, IF(N95&lt;&gt;"", N95, H95), _xlpm.base, TRIM(SUBSTITUTE(SUBSTITUTE(SUBSTITUTE(SUBSTITUTE(_xlpm.diag,"•"," "),CHAR(160)," "),CHAR(10)," "),"  "," ")), LOWER(_xlpm.yr&amp;"|"&amp;_xlpm.base))</f>
        <v>2014|trouble anxieux</v>
      </c>
      <c r="V95">
        <f>IFERROR(_xlfn.XLOOKUP($AB95,'Cas 2013-2017'!$K:$K,'Cas 2013-2017'!$D:$D,""),"")</f>
        <v>0</v>
      </c>
      <c r="W95" t="str">
        <f>IFERROR(_xlfn.XLOOKUP($AB95,'Cas 2013-2017'!$K:$K,'Cas 2013-2017'!$E:$E,""),"")</f>
        <v>Depuis quand? • Progression • Trigger? • Bouche sèche, sudation, tremblement, palpitation? Dyspnée, drs, N/V, hot flushes • Conséquence sur sa vie personnelle, familiale, professionnelle • Attaque de panique? • Phobie • Tout le temps stressé pour tout, personne soucieuse? • TOC: pensées intrusives, routines/rites qu’il se sent obligé de suivre? • Humeur? • Hallucinations? • Hyperthyroïdie: tremor, perte poids, augm appétit, oligo/aménorrhée/dysfonction érectile/gynécomastie, intol</v>
      </c>
      <c r="X95" t="str">
        <f>IFERROR(_xlfn.XLOOKUP($AB95,'Cas 2013-2017'!$K:$K,'Cas 2013-2017'!$F:$F,""),"")</f>
        <v>Cardio • Pulm • Thyroïde • Psy: orientation, mémoire, décrire son humeur</v>
      </c>
      <c r="Y95" t="str">
        <f>IFERROR(_xlfn.XLOOKUP($AB95,'Cas 2013-2017'!$K:$K,'Cas 2013-2017'!$G:$G,""),"")</f>
        <v>Tr anxieux généralisé • Attaque panique • Phobies • PTSD • Angor • FA • Hyperthyroïdisme • Sevrage OH •</v>
      </c>
      <c r="Z95" t="str">
        <f>IFERROR(_xlfn.XLOOKUP($AB95,'Cas 2013-2017'!$K:$K,'Cas 2013-2017'!$I:$I,""),"")</f>
        <v>Psychothérapie TCC • Relaxation • Bb bloqueur • SSRI</v>
      </c>
      <c r="AA95" t="str">
        <f>IFERROR(_xlfn.XLOOKUP($AB95,'Cas 2013-2017'!$K:$K,'Cas 2013-2017'!$H:$H,""),"")</f>
        <v>Labo: TSH • ECG?</v>
      </c>
      <c r="AB95" t="str">
        <f>LOWER($A95 &amp; "|" &amp; $AF95)</f>
        <v>2014|trouble anxieux</v>
      </c>
      <c r="AC95" t="str">
        <f>TRIM(SUBSTITUTE(SUBSTITUTE(SUBSTITUTE(SUBSTITUTE(" " &amp; LOWER(TRIM(IF($N95&lt;&gt;"", $N95, $H95))) &amp; " ", " aomi ", " arteriopathie des membres inferieurs "), " hta ", " hypertension arterielle "), " saos ", " syndrome d'apnees obstructives du sommeil "), " rgo ", " reflux gastro-oesophagien ") )</f>
        <v>trouble anxieux</v>
      </c>
      <c r="AD95" t="str">
        <f>TRIM(SUBSTITUTE(SUBSTITUTE(SUBSTITUTE(SUBSTITUTE(" " &amp; LOWER(TRIM($AC95)) &amp; " ", " oacr ", " occlusion de l'artere centrale de la retine "), " hsd ", " hematome sous-dural "), " fa ", " fibrillation auriculaire "), " ep ", " embolie pulmonaire ") )</f>
        <v>trouble anxieux</v>
      </c>
      <c r="AE95" t="str" cm="1">
        <f t="array" ref="AE95">_xlfn.LET(_xlpm.base, " " &amp; LOWER(TRIM($AD95))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anxieux</v>
      </c>
      <c r="AF95" t="str" cm="1">
        <f t="array" ref="AF95">_xlfn.LET(_xlpm.base, " " &amp; LOWER(TRIM($AE95))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anxieux</v>
      </c>
    </row>
    <row r="96" spans="1:32" ht="33.75">
      <c r="A96" s="8">
        <v>2014</v>
      </c>
      <c r="B96" s="10" t="s">
        <v>100</v>
      </c>
      <c r="C96" s="8" t="s">
        <v>33</v>
      </c>
      <c r="D96" s="20">
        <v>11</v>
      </c>
      <c r="E96" s="11" t="str">
        <f>IF(D96="","",IFERROR(INDEX(SSP!$E$2:$E$266, MATCH(D96, SSP!$F$2:$F$266, 0)),""))</f>
        <v>Troubles du sommeil (insomnie, hypersomnie, parasomnies)</v>
      </c>
      <c r="F96" s="11" t="str">
        <f>Feuil1!E96</f>
        <v>Trouble du sommeil</v>
      </c>
      <c r="G96" s="12" t="s">
        <v>392</v>
      </c>
      <c r="H96" s="13" t="s">
        <v>392</v>
      </c>
      <c r="I96" s="13"/>
      <c r="J96" s="15" t="s">
        <v>392</v>
      </c>
      <c r="K96" s="9" t="s">
        <v>393</v>
      </c>
      <c r="L96" s="9" t="s">
        <v>33</v>
      </c>
      <c r="M96" s="9" t="s">
        <v>33</v>
      </c>
      <c r="N96" t="s">
        <v>392</v>
      </c>
      <c r="O96" t="str">
        <f>IFERROR(_xlfn.XLOOKUP($D96, SSP!$F:$F, SSP!$E:$E, "Inconnu"), "")</f>
        <v>Troubles du sommeil (insomnie, hypersomnie, parasomnies)</v>
      </c>
      <c r="P96" t="str">
        <f>IF(OR(E96="", O96=""), "", IF(LOWER(E96)=LOWER(O96), "OK", "⚠️ Libellé ≠ n°"))</f>
        <v>OK</v>
      </c>
      <c r="Q96" t="str">
        <f>IF(Feuil1!$E96="", "", IF(LOWER(Feuil1!$E96)=LOWER(E96), "Identique", "Différent"))</f>
        <v>Différent</v>
      </c>
      <c r="R96" t="str">
        <f>IF(OR(P96="⚠️ Libellé ≠ n°", O96="Inconnu"), "⚠️", IF(Q96="Différent", "ℹ️", ""))</f>
        <v>ℹ️</v>
      </c>
      <c r="S96" t="str" cm="1">
        <f t="array" ref="S96">_xlfn.LET(_xlpm.genCat,IFERROR(LOWER(TRIM(G96)),""),_xlpm.principal,IFERROR(LOWER(TRIM(H96)),""),_xlpm.orig,IFERROR(LOWER(TRIM(N96)),""),IF(OR(_xlpm.genCat="",_xlpm.principal=""),"",IF(LEFT(LOWER(G96),5)="autre","OK (Autre)",IF(OR(ISNUMBER(SEARCH(_xlpm.genCat,_xlpm.principal)),ISNUMBER(SEARCH(_xlpm.principal,_xlpm.genCat)),AND(_xlpm.orig&lt;&gt;"",OR(ISNUMBER(SEARCH(_xlpm.genCat,_xlpm.orig)),ISNUMBER(SEARCH(_xlpm.orig,_xlpm.genCat))))),"OK","⚠️ À vérifier"))))</f>
        <v>OK</v>
      </c>
      <c r="T96" t="str">
        <f>IF(S96="","",IF(S96="OK (Autre)","Diagnostic générique = 'Autre – …'",IF(S96="OK","Concordance générique/principal","Écart entre générique et principal")))</f>
        <v>Concordance générique/principal</v>
      </c>
      <c r="U96" t="str" cm="1">
        <f t="array" ref="U96">_xlfn.LET(_xlpm.yr, A96, _xlpm.diag, IF(N96&lt;&gt;"", N96, H96), _xlpm.base, TRIM(SUBSTITUTE(SUBSTITUTE(SUBSTITUTE(SUBSTITUTE(_xlpm.diag,"•"," "),CHAR(160)," "),CHAR(10)," "),"  "," ")), LOWER(_xlpm.yr&amp;"|"&amp;_xlpm.base))</f>
        <v>2014|trouble du sommeil</v>
      </c>
      <c r="V96" t="str">
        <f>IFERROR(_xlfn.XLOOKUP($AB96,'Cas 2013-2017'!$K:$K,'Cas 2013-2017'!$D:$D,""),"")</f>
        <v>Stress et mauvaise hygiène</v>
      </c>
      <c r="W96" t="str">
        <f>IFERROR(_xlfn.XLOOKUP($AB96,'Cas 2013-2017'!$K:$K,'Cas 2013-2017'!$E:$E,""),"")</f>
        <v>cf cas 16 Amboss</v>
      </c>
      <c r="X96">
        <f>IFERROR(_xlfn.XLOOKUP($AB96,'Cas 2013-2017'!$K:$K,'Cas 2013-2017'!$F:$F,""),"")</f>
        <v>0</v>
      </c>
      <c r="Y96">
        <f>IFERROR(_xlfn.XLOOKUP($AB96,'Cas 2013-2017'!$K:$K,'Cas 2013-2017'!$G:$G,""),"")</f>
        <v>0</v>
      </c>
      <c r="Z96">
        <f>IFERROR(_xlfn.XLOOKUP($AB96,'Cas 2013-2017'!$K:$K,'Cas 2013-2017'!$I:$I,""),"")</f>
        <v>0</v>
      </c>
      <c r="AA96">
        <f>IFERROR(_xlfn.XLOOKUP($AB96,'Cas 2013-2017'!$K:$K,'Cas 2013-2017'!$H:$H,""),"")</f>
        <v>0</v>
      </c>
      <c r="AB96" t="str">
        <f>LOWER($A96 &amp; "|" &amp; $AF96)</f>
        <v>2014|trouble du sommeil</v>
      </c>
      <c r="AC96" t="str">
        <f>TRIM(SUBSTITUTE(SUBSTITUTE(SUBSTITUTE(SUBSTITUTE(" " &amp; LOWER(TRIM(IF($N96&lt;&gt;"", $N96, $H96))) &amp; " ", " aomi ", " arteriopathie des membres inferieurs "), " hta ", " hypertension arterielle "), " saos ", " syndrome d'apnees obstructives du sommeil "), " rgo ", " reflux gastro-oesophagien ") )</f>
        <v>trouble du sommeil</v>
      </c>
      <c r="AD96" t="str">
        <f>TRIM(SUBSTITUTE(SUBSTITUTE(SUBSTITUTE(SUBSTITUTE(" " &amp; LOWER(TRIM($AC96)) &amp; " ", " oacr ", " occlusion de l'artere centrale de la retine "), " hsd ", " hematome sous-dural "), " fa ", " fibrillation auriculaire "), " ep ", " embolie pulmonaire ") )</f>
        <v>trouble du sommeil</v>
      </c>
      <c r="AE96" t="str" cm="1">
        <f t="array" ref="AE96">_xlfn.LET(_xlpm.base, " " &amp; LOWER(TRIM($AD96))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du sommeil</v>
      </c>
      <c r="AF96" t="str" cm="1">
        <f t="array" ref="AF96">_xlfn.LET(_xlpm.base, " " &amp; LOWER(TRIM($AE96))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du sommeil</v>
      </c>
    </row>
    <row r="97" spans="1:32" ht="33.75">
      <c r="A97" s="8">
        <v>2014</v>
      </c>
      <c r="B97" s="10" t="s">
        <v>51</v>
      </c>
      <c r="C97" s="8" t="s">
        <v>33</v>
      </c>
      <c r="D97" s="20">
        <v>4</v>
      </c>
      <c r="E97" s="11" t="str">
        <f>IF(D97="","",IFERROR(INDEX(SSP!$E$2:$E$266, MATCH(D97, SSP!$F$2:$F$266, 0)),""))</f>
        <v>Fatigue, asthénie</v>
      </c>
      <c r="F97" s="11" t="str">
        <f>Feuil1!E97</f>
        <v>Fatigue</v>
      </c>
      <c r="G97" s="12" t="s">
        <v>394</v>
      </c>
      <c r="H97" s="13" t="s">
        <v>395</v>
      </c>
      <c r="I97" s="13"/>
      <c r="J97" s="15" t="s">
        <v>396</v>
      </c>
      <c r="K97" s="9" t="s">
        <v>397</v>
      </c>
      <c r="L97" s="9" t="s">
        <v>33</v>
      </c>
      <c r="M97" s="9" t="s">
        <v>33</v>
      </c>
      <c r="N97" t="s">
        <v>395</v>
      </c>
      <c r="O97" t="str">
        <f>IFERROR(_xlfn.XLOOKUP($D97, SSP!$F:$F, SSP!$E:$E, "Inconnu"), "")</f>
        <v>Fatigue, asthénie</v>
      </c>
      <c r="P97" t="str">
        <f>IF(OR(E97="", O97=""), "", IF(LOWER(E97)=LOWER(O97), "OK", "⚠️ Libellé ≠ n°"))</f>
        <v>OK</v>
      </c>
      <c r="Q97" t="str">
        <f>IF(Feuil1!$E97="", "", IF(LOWER(Feuil1!$E97)=LOWER(E97), "Identique", "Différent"))</f>
        <v>Différent</v>
      </c>
      <c r="R97" t="str">
        <f>IF(OR(P97="⚠️ Libellé ≠ n°", O97="Inconnu"), "⚠️", IF(Q97="Différent", "ℹ️", ""))</f>
        <v>ℹ️</v>
      </c>
      <c r="S97" t="str" cm="1">
        <f t="array" ref="S97">_xlfn.LET(_xlpm.genCat,IFERROR(LOWER(TRIM(G97)),""),_xlpm.principal,IFERROR(LOWER(TRIM(H97)),""),_xlpm.orig,IFERROR(LOWER(TRIM(N97)),""),IF(OR(_xlpm.genCat="",_xlpm.principal=""),"",IF(LEFT(LOWER(G97),5)="autre","OK (Autre)",IF(OR(ISNUMBER(SEARCH(_xlpm.genCat,_xlpm.principal)),ISNUMBER(SEARCH(_xlpm.principal,_xlpm.genCat)),AND(_xlpm.orig&lt;&gt;"",OR(ISNUMBER(SEARCH(_xlpm.genCat,_xlpm.orig)),ISNUMBER(SEARCH(_xlpm.orig,_xlpm.genCat))))),"OK","⚠️ À vérifier"))))</f>
        <v>⚠️ À vérifier</v>
      </c>
      <c r="T97" t="str">
        <f>IF(S97="","",IF(S97="OK (Autre)","Diagnostic générique = 'Autre – …'",IF(S97="OK","Concordance générique/principal","Écart entre générique et principal")))</f>
        <v>Écart entre générique et principal</v>
      </c>
      <c r="U97" t="str" cm="1">
        <f t="array" ref="U97">_xlfn.LET(_xlpm.yr, A97, _xlpm.diag, IF(N97&lt;&gt;"", N97, H97), _xlpm.base, TRIM(SUBSTITUTE(SUBSTITUTE(SUBSTITUTE(SUBSTITUTE(_xlpm.diag,"•"," "),CHAR(160)," "),CHAR(10)," "),"  "," ")), LOWER(_xlpm.yr&amp;"|"&amp;_xlpm.base))</f>
        <v>2014|lupus</v>
      </c>
      <c r="V97" t="str">
        <f>IFERROR(_xlfn.XLOOKUP($AB97,'Cas 2013-2017'!$K:$K,'Cas 2013-2017'!$D:$D,""),"")</f>
        <v/>
      </c>
      <c r="W97" t="str">
        <f>IFERROR(_xlfn.XLOOKUP($AB97,'Cas 2013-2017'!$K:$K,'Cas 2013-2017'!$E:$E,""),"")</f>
        <v/>
      </c>
      <c r="X97" t="str">
        <f>IFERROR(_xlfn.XLOOKUP($AB97,'Cas 2013-2017'!$K:$K,'Cas 2013-2017'!$F:$F,""),"")</f>
        <v/>
      </c>
      <c r="Y97" t="str">
        <f>IFERROR(_xlfn.XLOOKUP($AB97,'Cas 2013-2017'!$K:$K,'Cas 2013-2017'!$G:$G,""),"")</f>
        <v/>
      </c>
      <c r="Z97" t="str">
        <f>IFERROR(_xlfn.XLOOKUP($AB97,'Cas 2013-2017'!$K:$K,'Cas 2013-2017'!$I:$I,""),"")</f>
        <v/>
      </c>
      <c r="AA97" t="str">
        <f>IFERROR(_xlfn.XLOOKUP($AB97,'Cas 2013-2017'!$K:$K,'Cas 2013-2017'!$H:$H,""),"")</f>
        <v/>
      </c>
      <c r="AB97" t="str">
        <f>LOWER($A97 &amp; "|" &amp; $AF97)</f>
        <v>2014|lupus</v>
      </c>
      <c r="AC97" t="str">
        <f>TRIM(SUBSTITUTE(SUBSTITUTE(SUBSTITUTE(SUBSTITUTE(" " &amp; LOWER(TRIM(IF($N97&lt;&gt;"", $N97, $H97))) &amp; " ", " aomi ", " arteriopathie des membres inferieurs "), " hta ", " hypertension arterielle "), " saos ", " syndrome d'apnees obstructives du sommeil "), " rgo ", " reflux gastro-oesophagien ") )</f>
        <v>lupus</v>
      </c>
      <c r="AD97" t="str">
        <f>TRIM(SUBSTITUTE(SUBSTITUTE(SUBSTITUTE(SUBSTITUTE(" " &amp; LOWER(TRIM($AC97)) &amp; " ", " oacr ", " occlusion de l'artere centrale de la retine "), " hsd ", " hematome sous-dural "), " fa ", " fibrillation auriculaire "), " ep ", " embolie pulmonaire ") )</f>
        <v>lupus</v>
      </c>
      <c r="AE97" t="str" cm="1">
        <f t="array" ref="AE97">_xlfn.LET(_xlpm.base, " " &amp; LOWER(TRIM($AD97))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lupus</v>
      </c>
      <c r="AF97" t="str" cm="1">
        <f t="array" ref="AF97">_xlfn.LET(_xlpm.base, " " &amp; LOWER(TRIM($AE97))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lupus</v>
      </c>
    </row>
    <row r="98" spans="1:32" ht="50.25">
      <c r="A98" s="8">
        <v>2014</v>
      </c>
      <c r="B98" s="10" t="s">
        <v>82</v>
      </c>
      <c r="C98" s="8" t="s">
        <v>33</v>
      </c>
      <c r="D98" s="20">
        <v>6</v>
      </c>
      <c r="E98" s="11" t="str">
        <f>IF(D98="","",IFERROR(INDEX(SSP!$E$2:$E$266, MATCH(D98, SSP!$F$2:$F$266, 0)),""))</f>
        <v>Fièvre, frissons, hyperthermie</v>
      </c>
      <c r="F98" s="11" t="str">
        <f>Feuil1!E98</f>
        <v>Fièvre</v>
      </c>
      <c r="G98" s="12" t="s">
        <v>83</v>
      </c>
      <c r="H98" s="13" t="s">
        <v>398</v>
      </c>
      <c r="I98" s="13" t="s">
        <v>399</v>
      </c>
      <c r="J98" s="15" t="s">
        <v>400</v>
      </c>
      <c r="K98" s="9" t="s">
        <v>401</v>
      </c>
      <c r="L98" s="9" t="s">
        <v>402</v>
      </c>
      <c r="M98" s="9" t="s">
        <v>403</v>
      </c>
      <c r="N98" t="s">
        <v>398</v>
      </c>
      <c r="O98" t="str">
        <f>IFERROR(_xlfn.XLOOKUP($D98, SSP!$F:$F, SSP!$E:$E, "Inconnu"), "")</f>
        <v>Fièvre, frissons, hyperthermie</v>
      </c>
      <c r="P98" t="str">
        <f>IF(OR(E98="", O98=""), "", IF(LOWER(E98)=LOWER(O98), "OK", "⚠️ Libellé ≠ n°"))</f>
        <v>OK</v>
      </c>
      <c r="Q98" t="str">
        <f>IF(Feuil1!$E98="", "", IF(LOWER(Feuil1!$E98)=LOWER(E98), "Identique", "Différent"))</f>
        <v>Différent</v>
      </c>
      <c r="R98" t="str">
        <f>IF(OR(P98="⚠️ Libellé ≠ n°", O98="Inconnu"), "⚠️", IF(Q98="Différent", "ℹ️", ""))</f>
        <v>ℹ️</v>
      </c>
      <c r="S98" t="str" cm="1">
        <f t="array" ref="S98">_xlfn.LET(_xlpm.genCat,IFERROR(LOWER(TRIM(G98)),""),_xlpm.principal,IFERROR(LOWER(TRIM(H98)),""),_xlpm.orig,IFERROR(LOWER(TRIM(N98)),""),IF(OR(_xlpm.genCat="",_xlpm.principal=""),"",IF(LEFT(LOWER(G98),5)="autre","OK (Autre)",IF(OR(ISNUMBER(SEARCH(_xlpm.genCat,_xlpm.principal)),ISNUMBER(SEARCH(_xlpm.principal,_xlpm.genCat)),AND(_xlpm.orig&lt;&gt;"",OR(ISNUMBER(SEARCH(_xlpm.genCat,_xlpm.orig)),ISNUMBER(SEARCH(_xlpm.orig,_xlpm.genCat))))),"OK","⚠️ À vérifier"))))</f>
        <v>OK (Autre)</v>
      </c>
      <c r="T98" t="str">
        <f>IF(S98="","",IF(S98="OK (Autre)","Diagnostic générique = 'Autre – …'",IF(S98="OK","Concordance générique/principal","Écart entre générique et principal")))</f>
        <v>Diagnostic générique = 'Autre – …'</v>
      </c>
      <c r="U98" t="str" cm="1">
        <f t="array" ref="U98">_xlfn.LET(_xlpm.yr, A98, _xlpm.diag, IF(N98&lt;&gt;"", N98, H98), _xlpm.base, TRIM(SUBSTITUTE(SUBSTITUTE(SUBSTITUTE(SUBSTITUTE(_xlpm.diag,"•"," "),CHAR(160)," "),CHAR(10)," "),"  "," ")), LOWER(_xlpm.yr&amp;"|"&amp;_xlpm.base))</f>
        <v>2014|sarcoïdose</v>
      </c>
      <c r="V98" t="str">
        <f>IFERROR(_xlfn.XLOOKUP($AB98,'Cas 2013-2017'!$K:$K,'Cas 2013-2017'!$D:$D,""),"")</f>
        <v>Érythème noueux, fièvre et arthralgies</v>
      </c>
      <c r="W98" t="str">
        <f>IFERROR(_xlfn.XLOOKUP($AB98,'Cas 2013-2017'!$K:$K,'Cas 2013-2017'!$E:$E,""),"")</f>
        <v>Caractérisation? Evolution? • Arthralgie: localisation, symétrie, migration, oedème, chaleur, rougeur, notion d’infection récente • Fièvre: T°, depuis, quand ondulante, persistante, fatigue perte de poids sudation nocturne • IBD: trouble du transit, diarrhée, sang • Toux ? Dyspnée • Dlr yeux/rougeur/photophobie→ uvéite</v>
      </c>
      <c r="X98" t="str">
        <f>IFERROR(_xlfn.XLOOKUP($AB98,'Cas 2013-2017'!$K:$K,'Cas 2013-2017'!$F:$F,""),"")</f>
        <v>CV PULM • Cutané • Osté-articulaire</v>
      </c>
      <c r="Y98" t="str">
        <f>IFERROR(_xlfn.XLOOKUP($AB98,'Cas 2013-2017'!$K:$K,'Cas 2013-2017'!$G:$G,""),"")</f>
        <v>TB • Lymphome • (Lupus, IBD)</v>
      </c>
      <c r="Z98" t="str">
        <f>IFERROR(_xlfn.XLOOKUP($AB98,'Cas 2013-2017'!$K:$K,'Cas 2013-2017'!$I:$I,""),"")</f>
        <v>PEC en ambulatoire ? • Glucocorticoïde immunosuppresseur • AINS pour les sympt.</v>
      </c>
      <c r="AA98" t="str">
        <f>IFERROR(_xlfn.XLOOKUP($AB98,'Cas 2013-2017'!$K:$K,'Cas 2013-2017'!$H:$H,""),"")</f>
        <v>FSC paramètre inflammatoire • enzyme de conversion IgG calcium CD4/CD8 augmenté • RX pulm • CT • Bronchoscopie + Biopsie</v>
      </c>
      <c r="AB98" t="str">
        <f>LOWER($A98 &amp; "|" &amp; $AF98)</f>
        <v>2014|sarcoïdose</v>
      </c>
      <c r="AC98" t="str">
        <f>TRIM(SUBSTITUTE(SUBSTITUTE(SUBSTITUTE(SUBSTITUTE(" " &amp; LOWER(TRIM(IF($N98&lt;&gt;"", $N98, $H98))) &amp; " ", " aomi ", " arteriopathie des membres inferieurs "), " hta ", " hypertension arterielle "), " saos ", " syndrome d'apnees obstructives du sommeil "), " rgo ", " reflux gastro-oesophagien ") )</f>
        <v>sarcoïdose</v>
      </c>
      <c r="AD98" t="str">
        <f>TRIM(SUBSTITUTE(SUBSTITUTE(SUBSTITUTE(SUBSTITUTE(" " &amp; LOWER(TRIM($AC98)) &amp; " ", " oacr ", " occlusion de l'artere centrale de la retine "), " hsd ", " hematome sous-dural "), " fa ", " fibrillation auriculaire "), " ep ", " embolie pulmonaire ") )</f>
        <v>sarcoïdose</v>
      </c>
      <c r="AE98" t="str" cm="1">
        <f t="array" ref="AE98">_xlfn.LET(_xlpm.base, " " &amp; LOWER(TRIM($AD98))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sarcoïdose</v>
      </c>
      <c r="AF98" t="str" cm="1">
        <f t="array" ref="AF98">_xlfn.LET(_xlpm.base, " " &amp; LOWER(TRIM($AE98))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sarcoïdose</v>
      </c>
    </row>
    <row r="99" spans="1:32" ht="183.75">
      <c r="A99" s="8">
        <v>2014</v>
      </c>
      <c r="B99" s="10" t="s">
        <v>221</v>
      </c>
      <c r="C99" s="8" t="s">
        <v>33</v>
      </c>
      <c r="D99" s="20">
        <v>10</v>
      </c>
      <c r="E99" s="11" t="str">
        <f>IF(D99="","",IFERROR(INDEX(SSP!$E$2:$E$266, MATCH(D99, SSP!$F$2:$F$266, 0)),""))</f>
        <v>Douleur (toutes localisations et types confondus)</v>
      </c>
      <c r="F99" s="11" t="str">
        <f>Feuil1!E99</f>
        <v>Douleur dorsale</v>
      </c>
      <c r="G99" s="12" t="s">
        <v>226</v>
      </c>
      <c r="H99" s="13" t="s">
        <v>404</v>
      </c>
      <c r="I99" s="13" t="s">
        <v>405</v>
      </c>
      <c r="J99" s="15" t="s">
        <v>406</v>
      </c>
      <c r="K99" s="9" t="s">
        <v>407</v>
      </c>
      <c r="L99" s="9" t="s">
        <v>408</v>
      </c>
      <c r="M99" s="9" t="s">
        <v>409</v>
      </c>
      <c r="N99" t="s">
        <v>404</v>
      </c>
      <c r="O99" t="str">
        <f>IFERROR(_xlfn.XLOOKUP($D99, SSP!$F:$F, SSP!$E:$E, "Inconnu"), "")</f>
        <v>Douleur (toutes localisations et types confondus)</v>
      </c>
      <c r="P99" t="str">
        <f>IF(OR(E99="", O99=""), "", IF(LOWER(E99)=LOWER(O99), "OK", "⚠️ Libellé ≠ n°"))</f>
        <v>OK</v>
      </c>
      <c r="Q99" t="str">
        <f>IF(Feuil1!$E99="", "", IF(LOWER(Feuil1!$E99)=LOWER(E99), "Identique", "Différent"))</f>
        <v>Différent</v>
      </c>
      <c r="R99" t="str">
        <f>IF(OR(P99="⚠️ Libellé ≠ n°", O99="Inconnu"), "⚠️", IF(Q99="Différent", "ℹ️", ""))</f>
        <v>ℹ️</v>
      </c>
      <c r="S99" t="str" cm="1">
        <f t="array" ref="S99">_xlfn.LET(_xlpm.genCat,IFERROR(LOWER(TRIM(G99)),""),_xlpm.principal,IFERROR(LOWER(TRIM(H99)),""),_xlpm.orig,IFERROR(LOWER(TRIM(N99)),""),IF(OR(_xlpm.genCat="",_xlpm.principal=""),"",IF(LEFT(LOWER(G99),5)="autre","OK (Autre)",IF(OR(ISNUMBER(SEARCH(_xlpm.genCat,_xlpm.principal)),ISNUMBER(SEARCH(_xlpm.principal,_xlpm.genCat)),AND(_xlpm.orig&lt;&gt;"",OR(ISNUMBER(SEARCH(_xlpm.genCat,_xlpm.orig)),ISNUMBER(SEARCH(_xlpm.orig,_xlpm.genCat))))),"OK","⚠️ À vérifier"))))</f>
        <v>OK (Autre)</v>
      </c>
      <c r="T99" t="str">
        <f>IF(S99="","",IF(S99="OK (Autre)","Diagnostic générique = 'Autre – …'",IF(S99="OK","Concordance générique/principal","Écart entre générique et principal")))</f>
        <v>Diagnostic générique = 'Autre – …'</v>
      </c>
      <c r="U99" t="str" cm="1">
        <f t="array" ref="U99">_xlfn.LET(_xlpm.yr, A99, _xlpm.diag, IF(N99&lt;&gt;"", N99, H99), _xlpm.base, TRIM(SUBSTITUTE(SUBSTITUTE(SUBSTITUTE(SUBSTITUTE(_xlpm.diag,"•"," "),CHAR(160)," "),CHAR(10)," "),"  "," ")), LOWER(_xlpm.yr&amp;"|"&amp;_xlpm.base))</f>
        <v>2014|spondylarthrite ankylosante</v>
      </c>
      <c r="V99" t="str">
        <f>IFERROR(_xlfn.XLOOKUP($AB99,'Cas 2013-2017'!$K:$K,'Cas 2013-2017'!$D:$D,""),"")</f>
        <v>Douleur lombaire chez patient 40 ans =&gt; spondylarthrite ankylosante</v>
      </c>
      <c r="W99" t="str">
        <f>IFERROR(_xlfn.XLOOKUP($AB99,'Cas 2013-2017'!$K:$K,'Cas 2013-2017'!$E:$E,""),"")</f>
        <v>Douleur iliosacrale et vertébrale • Présente la nuit • Raideur matinale • Amélioré au mvt • Enthésopathies ? (Achille et tubérosité tibiale) • Arthrite d’autres articulations proches du tronc ? • Iritis ? Uvéite ? • RCUH/Crohn ?</v>
      </c>
      <c r="X99" t="str">
        <f>IFERROR(_xlfn.XLOOKUP($AB99,'Cas 2013-2017'!$K:$K,'Cas 2013-2017'!$F:$F,""),"")</f>
        <v>Inspection / Palpation (y.c sacro-iliaques) / Percussion • Flexion/Ext / Inclinaison lat / Rotation de la colonne • Distance doigts-sol et Schober (aussi colonne cervicale) • Marche • Examen mvts hanche • Signe de Lasègue + force/sensibilité MI • TR : sphincters • Signe de Mennell (amboss) • FABER • Test de Gaenslen • Test de Yeoman • Régurgitation valve aortique</v>
      </c>
      <c r="Y99" t="str">
        <f>IFERROR(_xlfn.XLOOKUP($AB99,'Cas 2013-2017'!$K:$K,'Cas 2013-2017'!$G:$G,""),"")</f>
        <v>Ostéoporose • Hernie discale • Spondylite • Arthrite réactive • Arthrite psoriasique</v>
      </c>
      <c r="Z99" t="str">
        <f>IFERROR(_xlfn.XLOOKUP($AB99,'Cas 2013-2017'!$K:$K,'Cas 2013-2017'!$I:$I,""),"")</f>
        <v>Physique est le plus important : Physio et sport • AINS selon besoins • Cortico si crise sévère • Anti-TNF alpha dans cas réservé</v>
      </c>
      <c r="AA99" t="str">
        <f>IFERROR(_xlfn.XLOOKUP($AB99,'Cas 2013-2017'!$K:$K,'Cas 2013-2017'!$H:$H,""),"")</f>
        <v>Sang : CRP et VS augmenté selon activité. Evtl légère anémie • HLA B27 • IRM (GOLDSTANDARD) • Rx permet de voir des modifs dues à l’inflammation (plus tardive)</v>
      </c>
      <c r="AB99" t="str">
        <f>LOWER($A99 &amp; "|" &amp; $AF99)</f>
        <v>2014|spondylarthrite ankylosante</v>
      </c>
      <c r="AC99" t="str">
        <f>TRIM(SUBSTITUTE(SUBSTITUTE(SUBSTITUTE(SUBSTITUTE(" " &amp; LOWER(TRIM(IF($N99&lt;&gt;"", $N99, $H99))) &amp; " ", " aomi ", " arteriopathie des membres inferieurs "), " hta ", " hypertension arterielle "), " saos ", " syndrome d'apnees obstructives du sommeil "), " rgo ", " reflux gastro-oesophagien ") )</f>
        <v>spondylarthrite ankylosante</v>
      </c>
      <c r="AD99" t="str">
        <f>TRIM(SUBSTITUTE(SUBSTITUTE(SUBSTITUTE(SUBSTITUTE(" " &amp; LOWER(TRIM($AC99)) &amp; " ", " oacr ", " occlusion de l'artere centrale de la retine "), " hsd ", " hematome sous-dural "), " fa ", " fibrillation auriculaire "), " ep ", " embolie pulmonaire ") )</f>
        <v>spondylarthrite ankylosante</v>
      </c>
      <c r="AE99" t="str" cm="1">
        <f t="array" ref="AE99">_xlfn.LET(_xlpm.base, " " &amp; LOWER(TRIM($AD99))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spondylarthrite ankylosante</v>
      </c>
      <c r="AF99" t="str" cm="1">
        <f t="array" ref="AF99">_xlfn.LET(_xlpm.base, " " &amp; LOWER(TRIM($AE99))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spondylarthrite ankylosante</v>
      </c>
    </row>
    <row r="100" spans="1:32" ht="33.75">
      <c r="A100" s="8">
        <v>2014</v>
      </c>
      <c r="B100" s="10" t="s">
        <v>221</v>
      </c>
      <c r="C100" s="8" t="s">
        <v>352</v>
      </c>
      <c r="D100" s="20">
        <v>220</v>
      </c>
      <c r="E100" s="11" t="str">
        <f>IF(D100="","",IFERROR(INDEX(SSP!$E$2:$E$266, MATCH(D100, SSP!$F$2:$F$266, 0)),""))</f>
        <v>Traumatisme simple et bénin</v>
      </c>
      <c r="F100" s="11" t="str">
        <f>Feuil1!E100</f>
        <v>Chute / traumatisme</v>
      </c>
      <c r="G100" s="12" t="s">
        <v>222</v>
      </c>
      <c r="H100" s="13" t="s">
        <v>410</v>
      </c>
      <c r="I100" s="13"/>
      <c r="J100" s="15" t="s">
        <v>411</v>
      </c>
      <c r="K100" s="9" t="s">
        <v>33</v>
      </c>
      <c r="L100" s="9" t="s">
        <v>33</v>
      </c>
      <c r="M100" s="9" t="s">
        <v>33</v>
      </c>
      <c r="N100" t="s">
        <v>412</v>
      </c>
      <c r="O100" t="str">
        <f>IFERROR(_xlfn.XLOOKUP($D100, SSP!$F:$F, SSP!$E:$E, "Inconnu"), "")</f>
        <v>Traumatisme simple et bénin</v>
      </c>
      <c r="P100" t="str">
        <f>IF(OR(E100="", O100=""), "", IF(LOWER(E100)=LOWER(O100), "OK", "⚠️ Libellé ≠ n°"))</f>
        <v>OK</v>
      </c>
      <c r="Q100" t="str">
        <f>IF(Feuil1!$E100="", "", IF(LOWER(Feuil1!$E100)=LOWER(E100), "Identique", "Différent"))</f>
        <v>Différent</v>
      </c>
      <c r="R100" t="str">
        <f>IF(OR(P100="⚠️ Libellé ≠ n°", O100="Inconnu"), "⚠️", IF(Q100="Différent", "ℹ️", ""))</f>
        <v>ℹ️</v>
      </c>
      <c r="S100" t="str" cm="1">
        <f t="array" ref="S100">_xlfn.LET(_xlpm.genCat,IFERROR(LOWER(TRIM(G100)),""),_xlpm.principal,IFERROR(LOWER(TRIM(H100)),""),_xlpm.orig,IFERROR(LOWER(TRIM(N100)),""),IF(OR(_xlpm.genCat="",_xlpm.principal=""),"",IF(LEFT(LOWER(G100),5)="autre","OK (Autre)",IF(OR(ISNUMBER(SEARCH(_xlpm.genCat,_xlpm.principal)),ISNUMBER(SEARCH(_xlpm.principal,_xlpm.genCat)),AND(_xlpm.orig&lt;&gt;"",OR(ISNUMBER(SEARCH(_xlpm.genCat,_xlpm.orig)),ISNUMBER(SEARCH(_xlpm.orig,_xlpm.genCat))))),"OK","⚠️ À vérifier"))))</f>
        <v>OK</v>
      </c>
      <c r="T100" t="str">
        <f>IF(S100="","",IF(S100="OK (Autre)","Diagnostic générique = 'Autre – …'",IF(S100="OK","Concordance générique/principal","Écart entre générique et principal")))</f>
        <v>Concordance générique/principal</v>
      </c>
      <c r="U100" t="str" cm="1">
        <f t="array" ref="U100">_xlfn.LET(_xlpm.yr, A100, _xlpm.diag, IF(N100&lt;&gt;"", N100, H100), _xlpm.base, TRIM(SUBSTITUTE(SUBSTITUTE(SUBSTITUTE(SUBSTITUTE(_xlpm.diag,"•"," "),CHAR(160)," "),CHAR(10)," "),"  "," ")), LOWER(_xlpm.yr&amp;"|"&amp;_xlpm.base))</f>
        <v>2014|fracture du bassin.</v>
      </c>
      <c r="V100" t="str">
        <f>IFERROR(_xlfn.XLOOKUP($AB100,'Cas 2013-2017'!$K:$K,'Cas 2013-2017'!$D:$D,""),"")</f>
        <v/>
      </c>
      <c r="W100" t="str">
        <f>IFERROR(_xlfn.XLOOKUP($AB100,'Cas 2013-2017'!$K:$K,'Cas 2013-2017'!$E:$E,""),"")</f>
        <v/>
      </c>
      <c r="X100" t="str">
        <f>IFERROR(_xlfn.XLOOKUP($AB100,'Cas 2013-2017'!$K:$K,'Cas 2013-2017'!$F:$F,""),"")</f>
        <v/>
      </c>
      <c r="Y100" t="str">
        <f>IFERROR(_xlfn.XLOOKUP($AB100,'Cas 2013-2017'!$K:$K,'Cas 2013-2017'!$G:$G,""),"")</f>
        <v/>
      </c>
      <c r="Z100" t="str">
        <f>IFERROR(_xlfn.XLOOKUP($AB100,'Cas 2013-2017'!$K:$K,'Cas 2013-2017'!$I:$I,""),"")</f>
        <v/>
      </c>
      <c r="AA100" t="str">
        <f>IFERROR(_xlfn.XLOOKUP($AB100,'Cas 2013-2017'!$K:$K,'Cas 2013-2017'!$H:$H,""),"")</f>
        <v/>
      </c>
      <c r="AB100" t="str">
        <f>LOWER($A100 &amp; "|" &amp; $AF100)</f>
        <v>2014|fracture du bassin.</v>
      </c>
      <c r="AC100" t="str">
        <f>TRIM(SUBSTITUTE(SUBSTITUTE(SUBSTITUTE(SUBSTITUTE(" " &amp; LOWER(TRIM(IF($N100&lt;&gt;"", $N100, $H100))) &amp; " ", " aomi ", " arteriopathie des membres inferieurs "), " hta ", " hypertension arterielle "), " saos ", " syndrome d'apnees obstructives du sommeil "), " rgo ", " reflux gastro-oesophagien ") )</f>
        <v>fracture du bassin.</v>
      </c>
      <c r="AD100" t="str">
        <f>TRIM(SUBSTITUTE(SUBSTITUTE(SUBSTITUTE(SUBSTITUTE(" " &amp; LOWER(TRIM($AC100)) &amp; " ", " oacr ", " occlusion de l'artere centrale de la retine "), " hsd ", " hematome sous-dural "), " fa ", " fibrillation auriculaire "), " ep ", " embolie pulmonaire ") )</f>
        <v>fracture du bassin.</v>
      </c>
      <c r="AE100" t="str" cm="1">
        <f t="array" ref="AE100">_xlfn.LET(_xlpm.base, " " &amp; LOWER(TRIM($AD100))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fracture du bassin.</v>
      </c>
      <c r="AF100" t="str" cm="1">
        <f t="array" ref="AF100">_xlfn.LET(_xlpm.base, " " &amp; LOWER(TRIM($AE100))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fracture du bassin.</v>
      </c>
    </row>
    <row r="101" spans="1:32" ht="250.5">
      <c r="A101" s="8">
        <v>2014</v>
      </c>
      <c r="B101" s="10" t="s">
        <v>87</v>
      </c>
      <c r="C101" s="8" t="s">
        <v>33</v>
      </c>
      <c r="D101" s="20">
        <v>119</v>
      </c>
      <c r="E101" s="11" t="str">
        <f>IF(D101="","",IFERROR(INDEX(SSP!$E$2:$E$266, MATCH(D101, SSP!$F$2:$F$266, 0)),""))</f>
        <v>Trouble du déficit de l’attention</v>
      </c>
      <c r="F101" s="11" t="str">
        <f>Feuil1!E101</f>
        <v>Trouble de l'érection</v>
      </c>
      <c r="G101" s="12" t="s">
        <v>413</v>
      </c>
      <c r="H101" s="13" t="s">
        <v>414</v>
      </c>
      <c r="I101" s="13" t="s">
        <v>415</v>
      </c>
      <c r="J101" s="16" t="s">
        <v>165</v>
      </c>
      <c r="K101" s="9" t="s">
        <v>416</v>
      </c>
      <c r="L101" s="9" t="s">
        <v>417</v>
      </c>
      <c r="M101" s="9" t="s">
        <v>418</v>
      </c>
      <c r="N101" t="s">
        <v>414</v>
      </c>
      <c r="O101" t="str">
        <f>IFERROR(_xlfn.XLOOKUP($D101, SSP!$F:$F, SSP!$E:$E, "Inconnu"), "")</f>
        <v>Trouble du déficit de l’attention</v>
      </c>
      <c r="P101" t="str">
        <f>IF(OR(E101="", O101=""), "", IF(LOWER(E101)=LOWER(O101), "OK", "⚠️ Libellé ≠ n°"))</f>
        <v>OK</v>
      </c>
      <c r="Q101" t="str">
        <f>IF(Feuil1!$E101="", "", IF(LOWER(Feuil1!$E101)=LOWER(E101), "Identique", "Différent"))</f>
        <v>Différent</v>
      </c>
      <c r="R101" t="str">
        <f>IF(OR(P101="⚠️ Libellé ≠ n°", O101="Inconnu"), "⚠️", IF(Q101="Différent", "ℹ️", ""))</f>
        <v>ℹ️</v>
      </c>
      <c r="S101" t="str" cm="1">
        <f t="array" ref="S101">_xlfn.LET(_xlpm.genCat,IFERROR(LOWER(TRIM(G101)),""),_xlpm.principal,IFERROR(LOWER(TRIM(H101)),""),_xlpm.orig,IFERROR(LOWER(TRIM(N101)),""),IF(OR(_xlpm.genCat="",_xlpm.principal=""),"",IF(LEFT(LOWER(G101),5)="autre","OK (Autre)",IF(OR(ISNUMBER(SEARCH(_xlpm.genCat,_xlpm.principal)),ISNUMBER(SEARCH(_xlpm.principal,_xlpm.genCat)),AND(_xlpm.orig&lt;&gt;"",OR(ISNUMBER(SEARCH(_xlpm.genCat,_xlpm.orig)),ISNUMBER(SEARCH(_xlpm.orig,_xlpm.genCat))))),"OK","⚠️ À vérifier"))))</f>
        <v>⚠️ À vérifier</v>
      </c>
      <c r="T101" t="str">
        <f>IF(S101="","",IF(S101="OK (Autre)","Diagnostic générique = 'Autre – …'",IF(S101="OK","Concordance générique/principal","Écart entre générique et principal")))</f>
        <v>Écart entre générique et principal</v>
      </c>
      <c r="U101" t="str" cm="1">
        <f t="array" ref="U101">_xlfn.LET(_xlpm.yr, A101, _xlpm.diag, IF(N101&lt;&gt;"", N101, H101), _xlpm.base, TRIM(SUBSTITUTE(SUBSTITUTE(SUBSTITUTE(SUBSTITUTE(_xlpm.diag,"•"," "),CHAR(160)," "),CHAR(10)," "),"  "," ")), LOWER(_xlpm.yr&amp;"|"&amp;_xlpm.base))</f>
        <v>2014|dysfonction érectile</v>
      </c>
      <c r="V101">
        <f>IFERROR(_xlfn.XLOOKUP($AB101,'Cas 2013-2017'!$K:$K,'Cas 2013-2017'!$D:$D,""),"")</f>
        <v>0</v>
      </c>
      <c r="W101" t="str">
        <f>IFERROR(_xlfn.XLOOKUP($AB101,'Cas 2013-2017'!$K:$K,'Cas 2013-2017'!$E:$E,""),"")</f>
        <v>Minimum depuis 6 mois, depuis quand, continu/intermittent, progression. • Désir? Ejaculation? • Difficulté à initier, à maintenir • Erection matinale • Anamnèse sexuelle • Avec tous ses partenaires ou certaines? MST? Médicaments!! (betabloquant!) Anamnèse psychosocial • Dépression, anxiété • Céphalées, tr visuel, gynécomastie (tumeur pituitaire) Neuro-vasculaire. • Claudication MI • Endocrino (diminution force, barbe pousse + lentement, perte cheveux), thyroïde Trauma? • Intervention uro?</v>
      </c>
      <c r="X101" t="str">
        <f>IFERROR(_xlfn.XLOOKUP($AB101,'Cas 2013-2017'!$K:$K,'Cas 2013-2017'!$F:$F,""),"")</f>
        <v>CV • → palper les pouls • Abdo: souffle? • Examen génital</v>
      </c>
      <c r="Y101" t="str">
        <f>IFERROR(_xlfn.XLOOKUP($AB101,'Cas 2013-2017'!$K:$K,'Cas 2013-2017'!$G:$G,""),"")</f>
        <v>Etiologies: • -vasculaire: HTA, DM, maladie CV, hyperlipid., tabac, AVC • - Endocrino: Hypogonadisme, hyperprolactinémie • hypo/hyperthyroïdie • - Medic: BB,SSRi, antipsychotique • - Trauma uro • - Psy</v>
      </c>
      <c r="Z101" t="str">
        <f>IFERROR(_xlfn.XLOOKUP($AB101,'Cas 2013-2017'!$K:$K,'Cas 2013-2017'!$I:$I,""),"")</f>
        <v>Traiter en fonction de la cause: • Stop tabac • Psychothérapie • inhibiteur phosphodiesterase 5 (sidénafil=viagra) • injection intracaverneuse • Testostérone • Pompe • Prothèse</v>
      </c>
      <c r="AA101" t="str">
        <f>IFERROR(_xlfn.XLOOKUP($AB101,'Cas 2013-2017'!$K:$K,'Cas 2013-2017'!$H:$H,""),"")</f>
        <v>Diagnostic clinique • Dosage des hormones: testo, prolactine, TSH, LH/FSH • HbA1c, lipides • Phallographie (mesure les érections nocturnes) • US doppler du pénis</v>
      </c>
      <c r="AB101" t="str">
        <f>LOWER($A101 &amp; "|" &amp; $AF101)</f>
        <v>2014|dysfonction érectile</v>
      </c>
      <c r="AC101" t="str">
        <f>TRIM(SUBSTITUTE(SUBSTITUTE(SUBSTITUTE(SUBSTITUTE(" " &amp; LOWER(TRIM(IF($N101&lt;&gt;"", $N101, $H101))) &amp; " ", " aomi ", " arteriopathie des membres inferieurs "), " hta ", " hypertension arterielle "), " saos ", " syndrome d'apnees obstructives du sommeil "), " rgo ", " reflux gastro-oesophagien ") )</f>
        <v>dysfonction érectile</v>
      </c>
      <c r="AD101" t="str">
        <f>TRIM(SUBSTITUTE(SUBSTITUTE(SUBSTITUTE(SUBSTITUTE(" " &amp; LOWER(TRIM($AC101)) &amp; " ", " oacr ", " occlusion de l'artere centrale de la retine "), " hsd ", " hematome sous-dural "), " fa ", " fibrillation auriculaire "), " ep ", " embolie pulmonaire ") )</f>
        <v>dysfonction érectile</v>
      </c>
      <c r="AE101" t="str" cm="1">
        <f t="array" ref="AE101">_xlfn.LET(_xlpm.base, " " &amp; LOWER(TRIM($AD101))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dysfonction érectile</v>
      </c>
      <c r="AF101" t="str" cm="1">
        <f t="array" ref="AF101">_xlfn.LET(_xlpm.base, " " &amp; LOWER(TRIM($AE101))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dysfonction érectile</v>
      </c>
    </row>
    <row r="102" spans="1:32" ht="33.75">
      <c r="A102" s="8">
        <v>2014</v>
      </c>
      <c r="B102" s="10" t="s">
        <v>91</v>
      </c>
      <c r="C102" s="8" t="s">
        <v>33</v>
      </c>
      <c r="D102" s="20">
        <v>10</v>
      </c>
      <c r="E102" s="11" t="str">
        <f>IF(D102="","",IFERROR(INDEX(SSP!$E$2:$E$266, MATCH(D102, SSP!$F$2:$F$266, 0)),""))</f>
        <v>Douleur (toutes localisations et types confondus)</v>
      </c>
      <c r="F102" s="11" t="str">
        <f>Feuil1!E102</f>
        <v>Douleur dorsale</v>
      </c>
      <c r="G102" s="12" t="s">
        <v>160</v>
      </c>
      <c r="H102" s="13" t="s">
        <v>419</v>
      </c>
      <c r="I102" s="13"/>
      <c r="J102" s="16" t="s">
        <v>165</v>
      </c>
      <c r="K102" s="9" t="s">
        <v>33</v>
      </c>
      <c r="L102" s="9" t="s">
        <v>33</v>
      </c>
      <c r="M102" s="9" t="s">
        <v>33</v>
      </c>
      <c r="N102" t="s">
        <v>420</v>
      </c>
      <c r="O102" t="str">
        <f>IFERROR(_xlfn.XLOOKUP($D102, SSP!$F:$F, SSP!$E:$E, "Inconnu"), "")</f>
        <v>Douleur (toutes localisations et types confondus)</v>
      </c>
      <c r="P102" t="str">
        <f>IF(OR(E102="", O102=""), "", IF(LOWER(E102)=LOWER(O102), "OK", "⚠️ Libellé ≠ n°"))</f>
        <v>OK</v>
      </c>
      <c r="Q102" t="str">
        <f>IF(Feuil1!$E102="", "", IF(LOWER(Feuil1!$E102)=LOWER(E102), "Identique", "Différent"))</f>
        <v>Différent</v>
      </c>
      <c r="R102" t="str">
        <f>IF(OR(P102="⚠️ Libellé ≠ n°", O102="Inconnu"), "⚠️", IF(Q102="Différent", "ℹ️", ""))</f>
        <v>ℹ️</v>
      </c>
      <c r="S102" t="str" cm="1">
        <f t="array" ref="S102">_xlfn.LET(_xlpm.genCat,IFERROR(LOWER(TRIM(G102)),""),_xlpm.principal,IFERROR(LOWER(TRIM(H102)),""),_xlpm.orig,IFERROR(LOWER(TRIM(N102)),""),IF(OR(_xlpm.genCat="",_xlpm.principal=""),"",IF(LEFT(LOWER(G102),5)="autre","OK (Autre)",IF(OR(ISNUMBER(SEARCH(_xlpm.genCat,_xlpm.principal)),ISNUMBER(SEARCH(_xlpm.principal,_xlpm.genCat)),AND(_xlpm.orig&lt;&gt;"",OR(ISNUMBER(SEARCH(_xlpm.genCat,_xlpm.orig)),ISNUMBER(SEARCH(_xlpm.orig,_xlpm.genCat))))),"OK","⚠️ À vérifier"))))</f>
        <v>OK (Autre)</v>
      </c>
      <c r="T102" t="str">
        <f>IF(S102="","",IF(S102="OK (Autre)","Diagnostic générique = 'Autre – …'",IF(S102="OK","Concordance générique/principal","Écart entre générique et principal")))</f>
        <v>Diagnostic générique = 'Autre – …'</v>
      </c>
      <c r="U102" t="str" cm="1">
        <f t="array" ref="U102">_xlfn.LET(_xlpm.yr, A102, _xlpm.diag, IF(N102&lt;&gt;"", N102, H102), _xlpm.base, TRIM(SUBSTITUTE(SUBSTITUTE(SUBSTITUTE(SUBSTITUTE(_xlpm.diag,"•"," "),CHAR(160)," "),CHAR(10)," "),"  "," ")), LOWER(_xlpm.yr&amp;"|"&amp;_xlpm.base))</f>
        <v>2014|pyélonéphrite.</v>
      </c>
      <c r="V102" t="str">
        <f>IFERROR(_xlfn.XLOOKUP($AB102,'Cas 2013-2017'!$K:$K,'Cas 2013-2017'!$D:$D,""),"")</f>
        <v/>
      </c>
      <c r="W102" t="str">
        <f>IFERROR(_xlfn.XLOOKUP($AB102,'Cas 2013-2017'!$K:$K,'Cas 2013-2017'!$E:$E,""),"")</f>
        <v/>
      </c>
      <c r="X102" t="str">
        <f>IFERROR(_xlfn.XLOOKUP($AB102,'Cas 2013-2017'!$K:$K,'Cas 2013-2017'!$F:$F,""),"")</f>
        <v/>
      </c>
      <c r="Y102" t="str">
        <f>IFERROR(_xlfn.XLOOKUP($AB102,'Cas 2013-2017'!$K:$K,'Cas 2013-2017'!$G:$G,""),"")</f>
        <v/>
      </c>
      <c r="Z102" t="str">
        <f>IFERROR(_xlfn.XLOOKUP($AB102,'Cas 2013-2017'!$K:$K,'Cas 2013-2017'!$I:$I,""),"")</f>
        <v/>
      </c>
      <c r="AA102" t="str">
        <f>IFERROR(_xlfn.XLOOKUP($AB102,'Cas 2013-2017'!$K:$K,'Cas 2013-2017'!$H:$H,""),"")</f>
        <v/>
      </c>
      <c r="AB102" t="str">
        <f>LOWER($A102 &amp; "|" &amp; $AF102)</f>
        <v>2014|pyélonéphrite.</v>
      </c>
      <c r="AC102" t="str">
        <f>TRIM(SUBSTITUTE(SUBSTITUTE(SUBSTITUTE(SUBSTITUTE(" " &amp; LOWER(TRIM(IF($N102&lt;&gt;"", $N102, $H102))) &amp; " ", " aomi ", " arteriopathie des membres inferieurs "), " hta ", " hypertension arterielle "), " saos ", " syndrome d'apnees obstructives du sommeil "), " rgo ", " reflux gastro-oesophagien ") )</f>
        <v>pyélonéphrite.</v>
      </c>
      <c r="AD102" t="str">
        <f>TRIM(SUBSTITUTE(SUBSTITUTE(SUBSTITUTE(SUBSTITUTE(" " &amp; LOWER(TRIM($AC102)) &amp; " ", " oacr ", " occlusion de l'artere centrale de la retine "), " hsd ", " hematome sous-dural "), " fa ", " fibrillation auriculaire "), " ep ", " embolie pulmonaire ") )</f>
        <v>pyélonéphrite.</v>
      </c>
      <c r="AE102" t="str" cm="1">
        <f t="array" ref="AE102">_xlfn.LET(_xlpm.base, " " &amp; LOWER(TRIM($AD102))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pyélonéphrite.</v>
      </c>
      <c r="AF102" t="str" cm="1">
        <f t="array" ref="AF102">_xlfn.LET(_xlpm.base, " " &amp; LOWER(TRIM($AE102))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pyélonéphrite.</v>
      </c>
    </row>
    <row r="103" spans="1:32" ht="66.75">
      <c r="A103" s="8">
        <v>2015</v>
      </c>
      <c r="B103" s="10" t="s">
        <v>82</v>
      </c>
      <c r="C103" s="8" t="s">
        <v>33</v>
      </c>
      <c r="D103" s="20">
        <v>44</v>
      </c>
      <c r="E103" s="11" t="str">
        <f>IF(D103="","",IFERROR(INDEX(SSP!$E$2:$E$266, MATCH(D103, SSP!$F$2:$F$266, 0)),""))</f>
        <v>Douleur thoracique</v>
      </c>
      <c r="F103" s="11" t="str">
        <f>Feuil1!E103</f>
        <v>Douleur thoracique</v>
      </c>
      <c r="G103" s="12" t="s">
        <v>83</v>
      </c>
      <c r="H103" s="13" t="s">
        <v>421</v>
      </c>
      <c r="I103" s="13"/>
      <c r="J103" s="15" t="s">
        <v>422</v>
      </c>
      <c r="K103" s="9" t="s">
        <v>423</v>
      </c>
      <c r="L103" s="9" t="s">
        <v>33</v>
      </c>
      <c r="M103" s="9" t="s">
        <v>33</v>
      </c>
      <c r="N103" t="s">
        <v>424</v>
      </c>
      <c r="O103" t="str">
        <f>IFERROR(_xlfn.XLOOKUP($D103, SSP!$F:$F, SSP!$E:$E, "Inconnu"), "")</f>
        <v>Douleur thoracique</v>
      </c>
      <c r="P103" t="str">
        <f>IF(OR(E103="", O103=""), "", IF(LOWER(E103)=LOWER(O103), "OK", "⚠️ Libellé ≠ n°"))</f>
        <v>OK</v>
      </c>
      <c r="Q103" t="str">
        <f>IF(Feuil1!$E103="", "", IF(LOWER(Feuil1!$E103)=LOWER(E103), "Identique", "Différent"))</f>
        <v>Identique</v>
      </c>
      <c r="R103" t="str">
        <f>IF(OR(P103="⚠️ Libellé ≠ n°", O103="Inconnu"), "⚠️", IF(Q103="Différent", "ℹ️", ""))</f>
        <v/>
      </c>
      <c r="S103" t="str" cm="1">
        <f t="array" ref="S103">_xlfn.LET(_xlpm.genCat,IFERROR(LOWER(TRIM(G103)),""),_xlpm.principal,IFERROR(LOWER(TRIM(H103)),""),_xlpm.orig,IFERROR(LOWER(TRIM(N103)),""),IF(OR(_xlpm.genCat="",_xlpm.principal=""),"",IF(LEFT(LOWER(G103),5)="autre","OK (Autre)",IF(OR(ISNUMBER(SEARCH(_xlpm.genCat,_xlpm.principal)),ISNUMBER(SEARCH(_xlpm.principal,_xlpm.genCat)),AND(_xlpm.orig&lt;&gt;"",OR(ISNUMBER(SEARCH(_xlpm.genCat,_xlpm.orig)),ISNUMBER(SEARCH(_xlpm.orig,_xlpm.genCat))))),"OK","⚠️ À vérifier"))))</f>
        <v>OK (Autre)</v>
      </c>
      <c r="T103" t="str">
        <f>IF(S103="","",IF(S103="OK (Autre)","Diagnostic générique = 'Autre – …'",IF(S103="OK","Concordance générique/principal","Écart entre générique et principal")))</f>
        <v>Diagnostic générique = 'Autre – …'</v>
      </c>
      <c r="U103" t="str" cm="1">
        <f t="array" ref="U103">_xlfn.LET(_xlpm.yr, A103, _xlpm.diag, IF(N103&lt;&gt;"", N103, H103), _xlpm.base, TRIM(SUBSTITUTE(SUBSTITUTE(SUBSTITUTE(SUBSTITUTE(_xlpm.diag,"•"," "),CHAR(160)," "),CHAR(10)," "),"  "," ")), LOWER(_xlpm.yr&amp;"|"&amp;_xlpm.base))</f>
        <v>2015|bilan pré-anesth</v>
      </c>
      <c r="V103" t="str">
        <f>IFERROR(_xlfn.XLOOKUP($AB103,'Cas 2013-2017'!$K:$K,'Cas 2013-2017'!$D:$D,""),"")</f>
        <v/>
      </c>
      <c r="W103" t="str">
        <f>IFERROR(_xlfn.XLOOKUP($AB103,'Cas 2013-2017'!$K:$K,'Cas 2013-2017'!$E:$E,""),"")</f>
        <v/>
      </c>
      <c r="X103" t="str">
        <f>IFERROR(_xlfn.XLOOKUP($AB103,'Cas 2013-2017'!$K:$K,'Cas 2013-2017'!$F:$F,""),"")</f>
        <v/>
      </c>
      <c r="Y103" t="str">
        <f>IFERROR(_xlfn.XLOOKUP($AB103,'Cas 2013-2017'!$K:$K,'Cas 2013-2017'!$G:$G,""),"")</f>
        <v/>
      </c>
      <c r="Z103" t="str">
        <f>IFERROR(_xlfn.XLOOKUP($AB103,'Cas 2013-2017'!$K:$K,'Cas 2013-2017'!$I:$I,""),"")</f>
        <v/>
      </c>
      <c r="AA103" t="str">
        <f>IFERROR(_xlfn.XLOOKUP($AB103,'Cas 2013-2017'!$K:$K,'Cas 2013-2017'!$H:$H,""),"")</f>
        <v/>
      </c>
      <c r="AB103" t="str">
        <f>LOWER($A103 &amp; "|" &amp; $AF103)</f>
        <v>2015|bilan pré-anesth</v>
      </c>
      <c r="AC103" t="str">
        <f>TRIM(SUBSTITUTE(SUBSTITUTE(SUBSTITUTE(SUBSTITUTE(" " &amp; LOWER(TRIM(IF($N103&lt;&gt;"", $N103, $H103))) &amp; " ", " aomi ", " arteriopathie des membres inferieurs "), " hta ", " hypertension arterielle "), " saos ", " syndrome d'apnees obstructives du sommeil "), " rgo ", " reflux gastro-oesophagien ") )</f>
        <v>bilan pré-anesth</v>
      </c>
      <c r="AD103" t="str">
        <f>TRIM(SUBSTITUTE(SUBSTITUTE(SUBSTITUTE(SUBSTITUTE(" " &amp; LOWER(TRIM($AC103)) &amp; " ", " oacr ", " occlusion de l'artere centrale de la retine "), " hsd ", " hematome sous-dural "), " fa ", " fibrillation auriculaire "), " ep ", " embolie pulmonaire ") )</f>
        <v>bilan pré-anesth</v>
      </c>
      <c r="AE103" t="str" cm="1">
        <f t="array" ref="AE103">_xlfn.LET(_xlpm.base, " " &amp; LOWER(TRIM($AD103))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bilan pré-anesth</v>
      </c>
      <c r="AF103" t="str" cm="1">
        <f t="array" ref="AF103">_xlfn.LET(_xlpm.base, " " &amp; LOWER(TRIM($AE103))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bilan pré-anesth</v>
      </c>
    </row>
    <row r="104" spans="1:32" ht="50.25">
      <c r="A104" s="8">
        <v>2015</v>
      </c>
      <c r="B104" s="10" t="s">
        <v>32</v>
      </c>
      <c r="C104" s="8" t="s">
        <v>33</v>
      </c>
      <c r="D104" s="20">
        <v>178</v>
      </c>
      <c r="E104" s="11" t="str">
        <f>IF(D104="","",IFERROR(INDEX(SSP!$E$2:$E$266, MATCH(D104, SSP!$F$2:$F$266, 0)),""))</f>
        <v>Complications maternelles pendant la grossesse (fièvre, œdème, hypertension, travail prématuré)</v>
      </c>
      <c r="F104" s="11" t="str">
        <f>Feuil1!E104</f>
        <v>Hypertension</v>
      </c>
      <c r="G104" s="12" t="s">
        <v>46</v>
      </c>
      <c r="H104" s="13" t="s">
        <v>47</v>
      </c>
      <c r="I104" s="13"/>
      <c r="J104" s="15" t="s">
        <v>425</v>
      </c>
      <c r="K104" s="9" t="s">
        <v>426</v>
      </c>
      <c r="L104" s="9" t="s">
        <v>33</v>
      </c>
      <c r="M104" s="9" t="s">
        <v>33</v>
      </c>
      <c r="N104" t="s">
        <v>427</v>
      </c>
      <c r="O104" t="str">
        <f>IFERROR(_xlfn.XLOOKUP($D104, SSP!$F:$F, SSP!$E:$E, "Inconnu"), "")</f>
        <v>Complications maternelles pendant la grossesse (fièvre, œdème, hypertension, travail prématuré)</v>
      </c>
      <c r="P104" t="str">
        <f>IF(OR(E104="", O104=""), "", IF(LOWER(E104)=LOWER(O104), "OK", "⚠️ Libellé ≠ n°"))</f>
        <v>OK</v>
      </c>
      <c r="Q104" t="str">
        <f>IF(Feuil1!$E104="", "", IF(LOWER(Feuil1!$E104)=LOWER(E104), "Identique", "Différent"))</f>
        <v>Différent</v>
      </c>
      <c r="R104" t="str">
        <f>IF(OR(P104="⚠️ Libellé ≠ n°", O104="Inconnu"), "⚠️", IF(Q104="Différent", "ℹ️", ""))</f>
        <v>ℹ️</v>
      </c>
      <c r="S104" t="str" cm="1">
        <f t="array" ref="S104">_xlfn.LET(_xlpm.genCat,IFERROR(LOWER(TRIM(G104)),""),_xlpm.principal,IFERROR(LOWER(TRIM(H104)),""),_xlpm.orig,IFERROR(LOWER(TRIM(N104)),""),IF(OR(_xlpm.genCat="",_xlpm.principal=""),"",IF(LEFT(LOWER(G104),5)="autre","OK (Autre)",IF(OR(ISNUMBER(SEARCH(_xlpm.genCat,_xlpm.principal)),ISNUMBER(SEARCH(_xlpm.principal,_xlpm.genCat)),AND(_xlpm.orig&lt;&gt;"",OR(ISNUMBER(SEARCH(_xlpm.genCat,_xlpm.orig)),ISNUMBER(SEARCH(_xlpm.orig,_xlpm.genCat))))),"OK","⚠️ À vérifier"))))</f>
        <v>OK</v>
      </c>
      <c r="T104" t="str">
        <f>IF(S104="","",IF(S104="OK (Autre)","Diagnostic générique = 'Autre – …'",IF(S104="OK","Concordance générique/principal","Écart entre générique et principal")))</f>
        <v>Concordance générique/principal</v>
      </c>
      <c r="U104" t="str" cm="1">
        <f t="array" ref="U104">_xlfn.LET(_xlpm.yr, A104, _xlpm.diag, IF(N104&lt;&gt;"", N104, H104), _xlpm.base, TRIM(SUBSTITUTE(SUBSTITUTE(SUBSTITUTE(SUBSTITUTE(_xlpm.diag,"•"," "),CHAR(160)," "),CHAR(10)," "),"  "," ")), LOWER(_xlpm.yr&amp;"|"&amp;_xlpm.base))</f>
        <v>2015|hta nouvelle</v>
      </c>
      <c r="V104" t="str">
        <f>IFERROR(_xlfn.XLOOKUP($AB104,'Cas 2013-2017'!$K:$K,'Cas 2013-2017'!$D:$D,""),"")</f>
        <v/>
      </c>
      <c r="W104" t="str">
        <f>IFERROR(_xlfn.XLOOKUP($AB104,'Cas 2013-2017'!$K:$K,'Cas 2013-2017'!$E:$E,""),"")</f>
        <v/>
      </c>
      <c r="X104" t="str">
        <f>IFERROR(_xlfn.XLOOKUP($AB104,'Cas 2013-2017'!$K:$K,'Cas 2013-2017'!$F:$F,""),"")</f>
        <v/>
      </c>
      <c r="Y104" t="str">
        <f>IFERROR(_xlfn.XLOOKUP($AB104,'Cas 2013-2017'!$K:$K,'Cas 2013-2017'!$G:$G,""),"")</f>
        <v/>
      </c>
      <c r="Z104" t="str">
        <f>IFERROR(_xlfn.XLOOKUP($AB104,'Cas 2013-2017'!$K:$K,'Cas 2013-2017'!$I:$I,""),"")</f>
        <v/>
      </c>
      <c r="AA104" t="str">
        <f>IFERROR(_xlfn.XLOOKUP($AB104,'Cas 2013-2017'!$K:$K,'Cas 2013-2017'!$H:$H,""),"")</f>
        <v/>
      </c>
      <c r="AB104" t="str">
        <f>LOWER($A104 &amp; "|" &amp; $AF104)</f>
        <v>2015|hypertension arterielle nouvelle</v>
      </c>
      <c r="AC104" t="str">
        <f>TRIM(SUBSTITUTE(SUBSTITUTE(SUBSTITUTE(SUBSTITUTE(" " &amp; LOWER(TRIM(IF($N104&lt;&gt;"", $N104, $H104))) &amp; " ", " aomi ", " arteriopathie des membres inferieurs "), " hta ", " hypertension arterielle "), " saos ", " syndrome d'apnees obstructives du sommeil "), " rgo ", " reflux gastro-oesophagien ") )</f>
        <v>hypertension arterielle nouvelle</v>
      </c>
      <c r="AD104" t="str">
        <f>TRIM(SUBSTITUTE(SUBSTITUTE(SUBSTITUTE(SUBSTITUTE(" " &amp; LOWER(TRIM($AC104)) &amp; " ", " oacr ", " occlusion de l'artere centrale de la retine "), " hsd ", " hematome sous-dural "), " fa ", " fibrillation auriculaire "), " ep ", " embolie pulmonaire ") )</f>
        <v>hypertension arterielle nouvelle</v>
      </c>
      <c r="AE104" t="str" cm="1">
        <f t="array" ref="AE104">_xlfn.LET(_xlpm.base, " " &amp; LOWER(TRIM($AD104))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hypertension arterielle nouvelle</v>
      </c>
      <c r="AF104" t="str" cm="1">
        <f t="array" ref="AF104">_xlfn.LET(_xlpm.base, " " &amp; LOWER(TRIM($AE104))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hypertension arterielle nouvelle</v>
      </c>
    </row>
    <row r="105" spans="1:32" ht="33.75">
      <c r="A105" s="8">
        <v>2015</v>
      </c>
      <c r="B105" s="10" t="s">
        <v>32</v>
      </c>
      <c r="C105" s="8" t="s">
        <v>33</v>
      </c>
      <c r="D105" s="20">
        <v>46</v>
      </c>
      <c r="E105" s="11" t="str">
        <f>IF(D105="","",IFERROR(INDEX(SSP!$E$2:$E$266, MATCH(D105, SSP!$F$2:$F$266, 0)),""))</f>
        <v>Dyspnée</v>
      </c>
      <c r="F105" s="11" t="str">
        <f>Feuil1!E105</f>
        <v>Dyspnée</v>
      </c>
      <c r="G105" s="12" t="s">
        <v>428</v>
      </c>
      <c r="H105" s="13" t="s">
        <v>429</v>
      </c>
      <c r="I105" s="13"/>
      <c r="J105" s="15" t="s">
        <v>430</v>
      </c>
      <c r="K105" s="9" t="s">
        <v>33</v>
      </c>
      <c r="L105" s="9" t="s">
        <v>33</v>
      </c>
      <c r="M105" s="9" t="s">
        <v>33</v>
      </c>
      <c r="N105" t="s">
        <v>429</v>
      </c>
      <c r="O105" t="str">
        <f>IFERROR(_xlfn.XLOOKUP($D105, SSP!$F:$F, SSP!$E:$E, "Inconnu"), "")</f>
        <v>Dyspnée</v>
      </c>
      <c r="P105" t="str">
        <f>IF(OR(E105="", O105=""), "", IF(LOWER(E105)=LOWER(O105), "OK", "⚠️ Libellé ≠ n°"))</f>
        <v>OK</v>
      </c>
      <c r="Q105" t="str">
        <f>IF(Feuil1!$E105="", "", IF(LOWER(Feuil1!$E105)=LOWER(E105), "Identique", "Différent"))</f>
        <v>Identique</v>
      </c>
      <c r="R105" t="str">
        <f>IF(OR(P105="⚠️ Libellé ≠ n°", O105="Inconnu"), "⚠️", IF(Q105="Différent", "ℹ️", ""))</f>
        <v/>
      </c>
      <c r="S105" t="str" cm="1">
        <f t="array" ref="S105">_xlfn.LET(_xlpm.genCat,IFERROR(LOWER(TRIM(G105)),""),_xlpm.principal,IFERROR(LOWER(TRIM(H105)),""),_xlpm.orig,IFERROR(LOWER(TRIM(N105)),""),IF(OR(_xlpm.genCat="",_xlpm.principal=""),"",IF(LEFT(LOWER(G105),5)="autre","OK (Autre)",IF(OR(ISNUMBER(SEARCH(_xlpm.genCat,_xlpm.principal)),ISNUMBER(SEARCH(_xlpm.principal,_xlpm.genCat)),AND(_xlpm.orig&lt;&gt;"",OR(ISNUMBER(SEARCH(_xlpm.genCat,_xlpm.orig)),ISNUMBER(SEARCH(_xlpm.orig,_xlpm.genCat))))),"OK","⚠️ À vérifier"))))</f>
        <v>⚠️ À vérifier</v>
      </c>
      <c r="T105" t="str">
        <f>IF(S105="","",IF(S105="OK (Autre)","Diagnostic générique = 'Autre – …'",IF(S105="OK","Concordance générique/principal","Écart entre générique et principal")))</f>
        <v>Écart entre générique et principal</v>
      </c>
      <c r="U105" t="str" cm="1">
        <f t="array" ref="U105">_xlfn.LET(_xlpm.yr, A105, _xlpm.diag, IF(N105&lt;&gt;"", N105, H105), _xlpm.base, TRIM(SUBSTITUTE(SUBSTITUTE(SUBSTITUTE(SUBSTITUTE(_xlpm.diag,"•"," "),CHAR(160)," "),CHAR(10)," "),"  "," ")), LOWER(_xlpm.yr&amp;"|"&amp;_xlpm.base))</f>
        <v>2015|tachycardie supraventriculaire wpw (tsv)</v>
      </c>
      <c r="V105" t="str">
        <f>IFERROR(_xlfn.XLOOKUP($AB105,'Cas 2013-2017'!$K:$K,'Cas 2013-2017'!$D:$D,""),"")</f>
        <v/>
      </c>
      <c r="W105" t="str">
        <f>IFERROR(_xlfn.XLOOKUP($AB105,'Cas 2013-2017'!$K:$K,'Cas 2013-2017'!$E:$E,""),"")</f>
        <v/>
      </c>
      <c r="X105" t="str">
        <f>IFERROR(_xlfn.XLOOKUP($AB105,'Cas 2013-2017'!$K:$K,'Cas 2013-2017'!$F:$F,""),"")</f>
        <v/>
      </c>
      <c r="Y105" t="str">
        <f>IFERROR(_xlfn.XLOOKUP($AB105,'Cas 2013-2017'!$K:$K,'Cas 2013-2017'!$G:$G,""),"")</f>
        <v/>
      </c>
      <c r="Z105" t="str">
        <f>IFERROR(_xlfn.XLOOKUP($AB105,'Cas 2013-2017'!$K:$K,'Cas 2013-2017'!$I:$I,""),"")</f>
        <v/>
      </c>
      <c r="AA105" t="str">
        <f>IFERROR(_xlfn.XLOOKUP($AB105,'Cas 2013-2017'!$K:$K,'Cas 2013-2017'!$H:$H,""),"")</f>
        <v/>
      </c>
      <c r="AB105" t="str">
        <f>LOWER($A105 &amp; "|" &amp; $AF105)</f>
        <v>2015|tachycardie supraventriculaire wpw (tsv)</v>
      </c>
      <c r="AC105" t="str">
        <f>TRIM(SUBSTITUTE(SUBSTITUTE(SUBSTITUTE(SUBSTITUTE(" " &amp; LOWER(TRIM(IF($N105&lt;&gt;"", $N105, $H105))) &amp; " ", " aomi ", " arteriopathie des membres inferieurs "), " hta ", " hypertension arterielle "), " saos ", " syndrome d'apnees obstructives du sommeil "), " rgo ", " reflux gastro-oesophagien ") )</f>
        <v>tachycardie supraventriculaire wpw (tsv)</v>
      </c>
      <c r="AD105" t="str">
        <f>TRIM(SUBSTITUTE(SUBSTITUTE(SUBSTITUTE(SUBSTITUTE(" " &amp; LOWER(TRIM($AC105)) &amp; " ", " oacr ", " occlusion de l'artere centrale de la retine "), " hsd ", " hematome sous-dural "), " fa ", " fibrillation auriculaire "), " ep ", " embolie pulmonaire ") )</f>
        <v>tachycardie supraventriculaire wpw (tsv)</v>
      </c>
      <c r="AE105" t="str" cm="1">
        <f t="array" ref="AE105">_xlfn.LET(_xlpm.base, " " &amp; LOWER(TRIM($AD105))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tachycardie supraventriculaire wpw (tsv)</v>
      </c>
      <c r="AF105" t="str" cm="1">
        <f t="array" ref="AF105">_xlfn.LET(_xlpm.base, " " &amp; LOWER(TRIM($AE105))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tachycardie supraventriculaire wpw (tsv)</v>
      </c>
    </row>
    <row r="106" spans="1:32" ht="100.5">
      <c r="A106" s="8">
        <v>2015</v>
      </c>
      <c r="B106" s="10" t="s">
        <v>51</v>
      </c>
      <c r="C106" s="8" t="s">
        <v>33</v>
      </c>
      <c r="D106" s="20">
        <v>93</v>
      </c>
      <c r="E106" s="11" t="str">
        <f>IF(D106="","",IFERROR(INDEX(SSP!$E$2:$E$266, MATCH(D106, SSP!$F$2:$F$266, 0)),""))</f>
        <v>Macules, papules, pustules, vésicules, ulcères, abcès, bulles, épaississement cutané, nécrose, tumeur cutanée</v>
      </c>
      <c r="F106" s="11" t="str">
        <f>Feuil1!E106</f>
        <v>Acné</v>
      </c>
      <c r="G106" s="12" t="s">
        <v>431</v>
      </c>
      <c r="H106" s="13" t="s">
        <v>432</v>
      </c>
      <c r="I106" s="13" t="s">
        <v>433</v>
      </c>
      <c r="J106" s="16" t="s">
        <v>165</v>
      </c>
      <c r="K106" s="9" t="s">
        <v>434</v>
      </c>
      <c r="L106" s="9" t="s">
        <v>435</v>
      </c>
      <c r="M106" s="9" t="s">
        <v>436</v>
      </c>
      <c r="N106" t="s">
        <v>432</v>
      </c>
      <c r="O106" t="str">
        <f>IFERROR(_xlfn.XLOOKUP($D106, SSP!$F:$F, SSP!$E:$E, "Inconnu"), "")</f>
        <v>Macules, papules, pustules, vésicules, ulcères, abcès, bulles, épaississement cutané, nécrose, tumeur cutanée</v>
      </c>
      <c r="P106" t="str">
        <f>IF(OR(E106="", O106=""), "", IF(LOWER(E106)=LOWER(O106), "OK", "⚠️ Libellé ≠ n°"))</f>
        <v>OK</v>
      </c>
      <c r="Q106" t="str">
        <f>IF(Feuil1!$E106="", "", IF(LOWER(Feuil1!$E106)=LOWER(E106), "Identique", "Différent"))</f>
        <v>Différent</v>
      </c>
      <c r="R106" t="str">
        <f>IF(OR(P106="⚠️ Libellé ≠ n°", O106="Inconnu"), "⚠️", IF(Q106="Différent", "ℹ️", ""))</f>
        <v>ℹ️</v>
      </c>
      <c r="S106" t="str" cm="1">
        <f t="array" ref="S106">_xlfn.LET(_xlpm.genCat,IFERROR(LOWER(TRIM(G106)),""),_xlpm.principal,IFERROR(LOWER(TRIM(H106)),""),_xlpm.orig,IFERROR(LOWER(TRIM(N106)),""),IF(OR(_xlpm.genCat="",_xlpm.principal=""),"",IF(LEFT(LOWER(G106),5)="autre","OK (Autre)",IF(OR(ISNUMBER(SEARCH(_xlpm.genCat,_xlpm.principal)),ISNUMBER(SEARCH(_xlpm.principal,_xlpm.genCat)),AND(_xlpm.orig&lt;&gt;"",OR(ISNUMBER(SEARCH(_xlpm.genCat,_xlpm.orig)),ISNUMBER(SEARCH(_xlpm.orig,_xlpm.genCat))))),"OK","⚠️ À vérifier"))))</f>
        <v>OK (Autre)</v>
      </c>
      <c r="T106" t="str">
        <f>IF(S106="","",IF(S106="OK (Autre)","Diagnostic générique = 'Autre – …'",IF(S106="OK","Concordance générique/principal","Écart entre générique et principal")))</f>
        <v>Diagnostic générique = 'Autre – …'</v>
      </c>
      <c r="U106" t="str" cm="1">
        <f t="array" ref="U106">_xlfn.LET(_xlpm.yr, A106, _xlpm.diag, IF(N106&lt;&gt;"", N106, H106), _xlpm.base, TRIM(SUBSTITUTE(SUBSTITUTE(SUBSTITUTE(SUBSTITUTE(_xlpm.diag,"•"," "),CHAR(160)," "),CHAR(10)," "),"  "," ")), LOWER(_xlpm.yr&amp;"|"&amp;_xlpm.base))</f>
        <v>2015|acné</v>
      </c>
      <c r="V106" t="str">
        <f>IFERROR(_xlfn.XLOOKUP($AB106,'Cas 2013-2017'!$K:$K,'Cas 2013-2017'!$D:$D,""),"")</f>
        <v>Anamnèse, décrire les images et discuter la prise en charge → comédons, papules, pustules, nodules</v>
      </c>
      <c r="W106" t="str">
        <f>IFERROR(_xlfn.XLOOKUP($AB106,'Cas 2013-2017'!$K:$K,'Cas 2013-2017'!$E:$E,""),"")</f>
        <v>Anamnèse dermato de base : depuis quand, évolution des lésions, localisation, prurit, suintement, douleurs • Qu’est-ce qu’elle a déjà essayé ou mis dessus ? • Anamnèse gynéco (pour PCOS éventuellement)</v>
      </c>
      <c r="X106" t="str">
        <f>IFERROR(_xlfn.XLOOKUP($AB106,'Cas 2013-2017'!$K:$K,'Cas 2013-2017'!$F:$F,""),"")</f>
        <v>Status dermato</v>
      </c>
      <c r="Y106" t="str">
        <f>IFERROR(_xlfn.XLOOKUP($AB106,'Cas 2013-2017'!$K:$K,'Cas 2013-2017'!$G:$G,""),"")</f>
        <v>Folliculite</v>
      </c>
      <c r="Z106" t="str">
        <f>IFERROR(_xlfn.XLOOKUP($AB106,'Cas 2013-2017'!$K:$K,'Cas 2013-2017'!$I:$I,""),"")</f>
        <v>Dépend du stade ! • Antiseptique (peroxyde de benzoyle), rétinoïdes topiques, acide azélaique • Si papulopustuleux : ATB topique ou systémique et COC • Si sévère : Isotrétinoïn po, COC</v>
      </c>
      <c r="AA106" t="str">
        <f>IFERROR(_xlfn.XLOOKUP($AB106,'Cas 2013-2017'!$K:$K,'Cas 2013-2017'!$H:$H,""),"")</f>
        <v>Diagnostic clinique • Si rebelle au ttt : exclure une hyperandrogénie !</v>
      </c>
      <c r="AB106" t="str">
        <f>LOWER($A106 &amp; "|" &amp; $AF106)</f>
        <v>2015|acné</v>
      </c>
      <c r="AC106" t="str">
        <f>TRIM(SUBSTITUTE(SUBSTITUTE(SUBSTITUTE(SUBSTITUTE(" " &amp; LOWER(TRIM(IF($N106&lt;&gt;"", $N106, $H106))) &amp; " ", " aomi ", " arteriopathie des membres inferieurs "), " hta ", " hypertension arterielle "), " saos ", " syndrome d'apnees obstructives du sommeil "), " rgo ", " reflux gastro-oesophagien ") )</f>
        <v>acné</v>
      </c>
      <c r="AD106" t="str">
        <f>TRIM(SUBSTITUTE(SUBSTITUTE(SUBSTITUTE(SUBSTITUTE(" " &amp; LOWER(TRIM($AC106)) &amp; " ", " oacr ", " occlusion de l'artere centrale de la retine "), " hsd ", " hematome sous-dural "), " fa ", " fibrillation auriculaire "), " ep ", " embolie pulmonaire ") )</f>
        <v>acné</v>
      </c>
      <c r="AE106" t="str" cm="1">
        <f t="array" ref="AE106">_xlfn.LET(_xlpm.base, " " &amp; LOWER(TRIM($AD106))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acné</v>
      </c>
      <c r="AF106" t="str" cm="1">
        <f t="array" ref="AF106">_xlfn.LET(_xlpm.base, " " &amp; LOWER(TRIM($AE106))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acné</v>
      </c>
    </row>
    <row r="107" spans="1:32" ht="100.5">
      <c r="A107" s="8">
        <v>2015</v>
      </c>
      <c r="B107" s="10" t="s">
        <v>51</v>
      </c>
      <c r="C107" s="8" t="s">
        <v>33</v>
      </c>
      <c r="D107" s="20">
        <v>9</v>
      </c>
      <c r="E107" s="11" t="str">
        <f>IF(D107="","",IFERROR(INDEX(SSP!$E$2:$E$266, MATCH(D107, SSP!$F$2:$F$266, 0)),""))</f>
        <v>Prurit</v>
      </c>
      <c r="F107" s="11" t="str">
        <f>Feuil1!E107</f>
        <v>Prurit</v>
      </c>
      <c r="G107" s="12" t="s">
        <v>183</v>
      </c>
      <c r="H107" s="13" t="s">
        <v>437</v>
      </c>
      <c r="I107" s="13" t="s">
        <v>438</v>
      </c>
      <c r="J107" s="16" t="s">
        <v>165</v>
      </c>
      <c r="K107" s="9" t="s">
        <v>439</v>
      </c>
      <c r="L107" s="9" t="s">
        <v>440</v>
      </c>
      <c r="M107" s="9" t="s">
        <v>441</v>
      </c>
      <c r="N107" t="s">
        <v>437</v>
      </c>
      <c r="O107" t="str">
        <f>IFERROR(_xlfn.XLOOKUP($D107, SSP!$F:$F, SSP!$E:$E, "Inconnu"), "")</f>
        <v>Prurit</v>
      </c>
      <c r="P107" t="str">
        <f>IF(OR(E107="", O107=""), "", IF(LOWER(E107)=LOWER(O107), "OK", "⚠️ Libellé ≠ n°"))</f>
        <v>OK</v>
      </c>
      <c r="Q107" t="str">
        <f>IF(Feuil1!$E107="", "", IF(LOWER(Feuil1!$E107)=LOWER(E107), "Identique", "Différent"))</f>
        <v>Identique</v>
      </c>
      <c r="R107" t="str">
        <f>IF(OR(P107="⚠️ Libellé ≠ n°", O107="Inconnu"), "⚠️", IF(Q107="Différent", "ℹ️", ""))</f>
        <v/>
      </c>
      <c r="S107" t="str" cm="1">
        <f t="array" ref="S107">_xlfn.LET(_xlpm.genCat,IFERROR(LOWER(TRIM(G107)),""),_xlpm.principal,IFERROR(LOWER(TRIM(H107)),""),_xlpm.orig,IFERROR(LOWER(TRIM(N107)),""),IF(OR(_xlpm.genCat="",_xlpm.principal=""),"",IF(LEFT(LOWER(G107),5)="autre","OK (Autre)",IF(OR(ISNUMBER(SEARCH(_xlpm.genCat,_xlpm.principal)),ISNUMBER(SEARCH(_xlpm.principal,_xlpm.genCat)),AND(_xlpm.orig&lt;&gt;"",OR(ISNUMBER(SEARCH(_xlpm.genCat,_xlpm.orig)),ISNUMBER(SEARCH(_xlpm.orig,_xlpm.genCat))))),"OK","⚠️ À vérifier"))))</f>
        <v>⚠️ À vérifier</v>
      </c>
      <c r="T107" t="str">
        <f>IF(S107="","",IF(S107="OK (Autre)","Diagnostic générique = 'Autre – …'",IF(S107="OK","Concordance générique/principal","Écart entre générique et principal")))</f>
        <v>Écart entre générique et principal</v>
      </c>
      <c r="U107" t="str" cm="1">
        <f t="array" ref="U107">_xlfn.LET(_xlpm.yr, A107, _xlpm.diag, IF(N107&lt;&gt;"", N107, H107), _xlpm.base, TRIM(SUBSTITUTE(SUBSTITUTE(SUBSTITUTE(SUBSTITUTE(_xlpm.diag,"•"," "),CHAR(160)," "),CHAR(10)," "),"  "," ")), LOWER(_xlpm.yr&amp;"|"&amp;_xlpm.base))</f>
        <v>2015|dermatite atopique</v>
      </c>
      <c r="V107" t="str">
        <f>IFERROR(_xlfn.XLOOKUP($AB107,'Cas 2013-2017'!$K:$K,'Cas 2013-2017'!$D:$D,""),"")</f>
        <v>Anamnèse puis photo à décrire au dermato puis PEC</v>
      </c>
      <c r="W107" t="str">
        <f>IFERROR(_xlfn.XLOOKUP($AB107,'Cas 2013-2017'!$K:$K,'Cas 2013-2017'!$E:$E,""),"")</f>
        <v>Symptômes cardinaux : Prurit ? • Xérose cutanée ? • Localisation (typique dans les plis) • Anamnèse dermato • Atopie : allergie, asthme souvent association avec rhinoconjonctivite allergique asthme allergique et allergies alimentaires • Anamnèse familiale</v>
      </c>
      <c r="X107" t="str">
        <f>IFERROR(_xlfn.XLOOKUP($AB107,'Cas 2013-2017'!$K:$K,'Cas 2013-2017'!$F:$F,""),"")</f>
        <v>Dermato inspection des plis cou et visage • xérose cutanée • dermographisme blanc • chéilite sèche • double pli sous-palpébraux • perte de la partie latérale des sourcils</v>
      </c>
      <c r="Y107" t="str">
        <f>IFERROR(_xlfn.XLOOKUP($AB107,'Cas 2013-2017'!$K:$K,'Cas 2013-2017'!$G:$G,""),"")</f>
        <v>Dermatite séborrhéique • Dermatite de contact allergique • Gale</v>
      </c>
      <c r="Z107" t="str">
        <f>IFERROR(_xlfn.XLOOKUP($AB107,'Cas 2013-2017'!$K:$K,'Cas 2013-2017'!$I:$I,""),"")</f>
        <v>Éviction des facteurs déclenchants, • Émollients, • Utiliser des produits non- irritants • Poussée : • Corticostéroïdes topiques • Immunosuppresseurs topiques • Si sévère : Photothérapie</v>
      </c>
      <c r="AA107" t="str">
        <f>IFERROR(_xlfn.XLOOKUP($AB107,'Cas 2013-2017'!$K:$K,'Cas 2013-2017'!$H:$H,""),"")</f>
        <v>IgE totaux éosinophile • Prick test</v>
      </c>
      <c r="AB107" t="str">
        <f>LOWER($A107 &amp; "|" &amp; $AF107)</f>
        <v>2015|dermatite atopique</v>
      </c>
      <c r="AC107" t="str">
        <f>TRIM(SUBSTITUTE(SUBSTITUTE(SUBSTITUTE(SUBSTITUTE(" " &amp; LOWER(TRIM(IF($N107&lt;&gt;"", $N107, $H107))) &amp; " ", " aomi ", " arteriopathie des membres inferieurs "), " hta ", " hypertension arterielle "), " saos ", " syndrome d'apnees obstructives du sommeil "), " rgo ", " reflux gastro-oesophagien ") )</f>
        <v>dermatite atopique</v>
      </c>
      <c r="AD107" t="str">
        <f>TRIM(SUBSTITUTE(SUBSTITUTE(SUBSTITUTE(SUBSTITUTE(" " &amp; LOWER(TRIM($AC107)) &amp; " ", " oacr ", " occlusion de l'artere centrale de la retine "), " hsd ", " hematome sous-dural "), " fa ", " fibrillation auriculaire "), " ep ", " embolie pulmonaire ") )</f>
        <v>dermatite atopique</v>
      </c>
      <c r="AE107" t="str" cm="1">
        <f t="array" ref="AE107">_xlfn.LET(_xlpm.base, " " &amp; LOWER(TRIM($AD107))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dermatite atopique</v>
      </c>
      <c r="AF107" t="str" cm="1">
        <f t="array" ref="AF107">_xlfn.LET(_xlpm.base, " " &amp; LOWER(TRIM($AE107))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dermatite atopique</v>
      </c>
    </row>
    <row r="108" spans="1:32" ht="33.75">
      <c r="A108" s="8">
        <v>2015</v>
      </c>
      <c r="B108" s="10" t="s">
        <v>51</v>
      </c>
      <c r="C108" s="8" t="s">
        <v>33</v>
      </c>
      <c r="D108" s="20">
        <v>119</v>
      </c>
      <c r="E108" s="11" t="str">
        <f>IF(D108="","",IFERROR(INDEX(SSP!$E$2:$E$266, MATCH(D108, SSP!$F$2:$F$266, 0)),""))</f>
        <v>Trouble du déficit de l’attention</v>
      </c>
      <c r="F108" s="11" t="str">
        <f>Feuil1!E108</f>
        <v>Trouble de la pigmentation</v>
      </c>
      <c r="G108" s="12" t="s">
        <v>442</v>
      </c>
      <c r="H108" s="13" t="s">
        <v>443</v>
      </c>
      <c r="I108" s="13"/>
      <c r="J108" s="15" t="s">
        <v>444</v>
      </c>
      <c r="K108" s="9" t="s">
        <v>445</v>
      </c>
      <c r="L108" s="9" t="s">
        <v>33</v>
      </c>
      <c r="M108" s="9" t="s">
        <v>33</v>
      </c>
      <c r="N108" t="s">
        <v>443</v>
      </c>
      <c r="O108" t="str">
        <f>IFERROR(_xlfn.XLOOKUP($D108, SSP!$F:$F, SSP!$E:$E, "Inconnu"), "")</f>
        <v>Trouble du déficit de l’attention</v>
      </c>
      <c r="P108" t="str">
        <f>IF(OR(E108="", O108=""), "", IF(LOWER(E108)=LOWER(O108), "OK", "⚠️ Libellé ≠ n°"))</f>
        <v>OK</v>
      </c>
      <c r="Q108" t="str">
        <f>IF(Feuil1!$E108="", "", IF(LOWER(Feuil1!$E108)=LOWER(E108), "Identique", "Différent"))</f>
        <v>Différent</v>
      </c>
      <c r="R108" t="str">
        <f>IF(OR(P108="⚠️ Libellé ≠ n°", O108="Inconnu"), "⚠️", IF(Q108="Différent", "ℹ️", ""))</f>
        <v>ℹ️</v>
      </c>
      <c r="S108" t="str" cm="1">
        <f t="array" ref="S108">_xlfn.LET(_xlpm.genCat,IFERROR(LOWER(TRIM(G108)),""),_xlpm.principal,IFERROR(LOWER(TRIM(H108)),""),_xlpm.orig,IFERROR(LOWER(TRIM(N108)),""),IF(OR(_xlpm.genCat="",_xlpm.principal=""),"",IF(LEFT(LOWER(G108),5)="autre","OK (Autre)",IF(OR(ISNUMBER(SEARCH(_xlpm.genCat,_xlpm.principal)),ISNUMBER(SEARCH(_xlpm.principal,_xlpm.genCat)),AND(_xlpm.orig&lt;&gt;"",OR(ISNUMBER(SEARCH(_xlpm.genCat,_xlpm.orig)),ISNUMBER(SEARCH(_xlpm.orig,_xlpm.genCat))))),"OK","⚠️ À vérifier"))))</f>
        <v>⚠️ À vérifier</v>
      </c>
      <c r="T108" t="str">
        <f>IF(S108="","",IF(S108="OK (Autre)","Diagnostic générique = 'Autre – …'",IF(S108="OK","Concordance générique/principal","Écart entre générique et principal")))</f>
        <v>Écart entre générique et principal</v>
      </c>
      <c r="U108" t="str" cm="1">
        <f t="array" ref="U108">_xlfn.LET(_xlpm.yr, A108, _xlpm.diag, IF(N108&lt;&gt;"", N108, H108), _xlpm.base, TRIM(SUBSTITUTE(SUBSTITUTE(SUBSTITUTE(SUBSTITUTE(_xlpm.diag,"•"," "),CHAR(160)," "),CHAR(10)," "),"  "," ")), LOWER(_xlpm.yr&amp;"|"&amp;_xlpm.base))</f>
        <v>2015|pityriasis versicolor</v>
      </c>
      <c r="V108" t="str">
        <f>IFERROR(_xlfn.XLOOKUP($AB108,'Cas 2013-2017'!$K:$K,'Cas 2013-2017'!$D:$D,""),"")</f>
        <v/>
      </c>
      <c r="W108" t="str">
        <f>IFERROR(_xlfn.XLOOKUP($AB108,'Cas 2013-2017'!$K:$K,'Cas 2013-2017'!$E:$E,""),"")</f>
        <v/>
      </c>
      <c r="X108" t="str">
        <f>IFERROR(_xlfn.XLOOKUP($AB108,'Cas 2013-2017'!$K:$K,'Cas 2013-2017'!$F:$F,""),"")</f>
        <v/>
      </c>
      <c r="Y108" t="str">
        <f>IFERROR(_xlfn.XLOOKUP($AB108,'Cas 2013-2017'!$K:$K,'Cas 2013-2017'!$G:$G,""),"")</f>
        <v/>
      </c>
      <c r="Z108" t="str">
        <f>IFERROR(_xlfn.XLOOKUP($AB108,'Cas 2013-2017'!$K:$K,'Cas 2013-2017'!$I:$I,""),"")</f>
        <v/>
      </c>
      <c r="AA108" t="str">
        <f>IFERROR(_xlfn.XLOOKUP($AB108,'Cas 2013-2017'!$K:$K,'Cas 2013-2017'!$H:$H,""),"")</f>
        <v/>
      </c>
      <c r="AB108" t="str">
        <f>LOWER($A108 &amp; "|" &amp; $AF108)</f>
        <v>2015|pityriasis versicolor</v>
      </c>
      <c r="AC108" t="str">
        <f>TRIM(SUBSTITUTE(SUBSTITUTE(SUBSTITUTE(SUBSTITUTE(" " &amp; LOWER(TRIM(IF($N108&lt;&gt;"", $N108, $H108))) &amp; " ", " aomi ", " arteriopathie des membres inferieurs "), " hta ", " hypertension arterielle "), " saos ", " syndrome d'apnees obstructives du sommeil "), " rgo ", " reflux gastro-oesophagien ") )</f>
        <v>pityriasis versicolor</v>
      </c>
      <c r="AD108" t="str">
        <f>TRIM(SUBSTITUTE(SUBSTITUTE(SUBSTITUTE(SUBSTITUTE(" " &amp; LOWER(TRIM($AC108)) &amp; " ", " oacr ", " occlusion de l'artere centrale de la retine "), " hsd ", " hematome sous-dural "), " fa ", " fibrillation auriculaire "), " ep ", " embolie pulmonaire ") )</f>
        <v>pityriasis versicolor</v>
      </c>
      <c r="AE108" t="str" cm="1">
        <f t="array" ref="AE108">_xlfn.LET(_xlpm.base, " " &amp; LOWER(TRIM($AD108))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pityriasis versicolor</v>
      </c>
      <c r="AF108" t="str" cm="1">
        <f t="array" ref="AF108">_xlfn.LET(_xlpm.base, " " &amp; LOWER(TRIM($AE108))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pityriasis versicolor</v>
      </c>
    </row>
    <row r="109" spans="1:32" ht="16.5">
      <c r="A109" s="8">
        <v>2015</v>
      </c>
      <c r="B109" s="10" t="s">
        <v>68</v>
      </c>
      <c r="C109" s="8" t="s">
        <v>33</v>
      </c>
      <c r="D109" s="20">
        <v>52</v>
      </c>
      <c r="E109" s="11" t="str">
        <f>IF(D109="","",IFERROR(INDEX(SSP!$E$2:$E$266, MATCH(D109, SSP!$F$2:$F$266, 0)),""))</f>
        <v>Douleur abdominale ou épigastrique</v>
      </c>
      <c r="F109" s="11" t="str">
        <f>Feuil1!E109</f>
        <v>Douleur abdominale</v>
      </c>
      <c r="G109" s="12" t="s">
        <v>446</v>
      </c>
      <c r="H109" s="13" t="s">
        <v>446</v>
      </c>
      <c r="I109" s="13"/>
      <c r="J109" s="15" t="s">
        <v>447</v>
      </c>
      <c r="K109" s="9" t="s">
        <v>33</v>
      </c>
      <c r="L109" s="9" t="s">
        <v>33</v>
      </c>
      <c r="M109" s="9" t="s">
        <v>33</v>
      </c>
      <c r="N109" t="s">
        <v>448</v>
      </c>
      <c r="O109" t="str">
        <f>IFERROR(_xlfn.XLOOKUP($D109, SSP!$F:$F, SSP!$E:$E, "Inconnu"), "")</f>
        <v>Douleur abdominale ou épigastrique</v>
      </c>
      <c r="P109" t="str">
        <f>IF(OR(E109="", O109=""), "", IF(LOWER(E109)=LOWER(O109), "OK", "⚠️ Libellé ≠ n°"))</f>
        <v>OK</v>
      </c>
      <c r="Q109" t="str">
        <f>IF(Feuil1!$E109="", "", IF(LOWER(Feuil1!$E109)=LOWER(E109), "Identique", "Différent"))</f>
        <v>Différent</v>
      </c>
      <c r="R109" t="str">
        <f>IF(OR(P109="⚠️ Libellé ≠ n°", O109="Inconnu"), "⚠️", IF(Q109="Différent", "ℹ️", ""))</f>
        <v>ℹ️</v>
      </c>
      <c r="S109" t="str" cm="1">
        <f t="array" ref="S109">_xlfn.LET(_xlpm.genCat,IFERROR(LOWER(TRIM(G109)),""),_xlpm.principal,IFERROR(LOWER(TRIM(H109)),""),_xlpm.orig,IFERROR(LOWER(TRIM(N109)),""),IF(OR(_xlpm.genCat="",_xlpm.principal=""),"",IF(LEFT(LOWER(G109),5)="autre","OK (Autre)",IF(OR(ISNUMBER(SEARCH(_xlpm.genCat,_xlpm.principal)),ISNUMBER(SEARCH(_xlpm.principal,_xlpm.genCat)),AND(_xlpm.orig&lt;&gt;"",OR(ISNUMBER(SEARCH(_xlpm.genCat,_xlpm.orig)),ISNUMBER(SEARCH(_xlpm.orig,_xlpm.genCat))))),"OK","⚠️ À vérifier"))))</f>
        <v>OK</v>
      </c>
      <c r="T109" t="str">
        <f>IF(S109="","",IF(S109="OK (Autre)","Diagnostic générique = 'Autre – …'",IF(S109="OK","Concordance générique/principal","Écart entre générique et principal")))</f>
        <v>Concordance générique/principal</v>
      </c>
      <c r="U109" t="str" cm="1">
        <f t="array" ref="U109">_xlfn.LET(_xlpm.yr, A109, _xlpm.diag, IF(N109&lt;&gt;"", N109, H109), _xlpm.base, TRIM(SUBSTITUTE(SUBSTITUTE(SUBSTITUTE(SUBSTITUTE(_xlpm.diag,"•"," "),CHAR(160)," "),CHAR(10)," "),"  "," ")), LOWER(_xlpm.yr&amp;"|"&amp;_xlpm.base))</f>
        <v>2015|péritonite.</v>
      </c>
      <c r="V109" t="str">
        <f>IFERROR(_xlfn.XLOOKUP($AB109,'Cas 2013-2017'!$K:$K,'Cas 2013-2017'!$D:$D,""),"")</f>
        <v/>
      </c>
      <c r="W109" t="str">
        <f>IFERROR(_xlfn.XLOOKUP($AB109,'Cas 2013-2017'!$K:$K,'Cas 2013-2017'!$E:$E,""),"")</f>
        <v/>
      </c>
      <c r="X109" t="str">
        <f>IFERROR(_xlfn.XLOOKUP($AB109,'Cas 2013-2017'!$K:$K,'Cas 2013-2017'!$F:$F,""),"")</f>
        <v/>
      </c>
      <c r="Y109" t="str">
        <f>IFERROR(_xlfn.XLOOKUP($AB109,'Cas 2013-2017'!$K:$K,'Cas 2013-2017'!$G:$G,""),"")</f>
        <v/>
      </c>
      <c r="Z109" t="str">
        <f>IFERROR(_xlfn.XLOOKUP($AB109,'Cas 2013-2017'!$K:$K,'Cas 2013-2017'!$I:$I,""),"")</f>
        <v/>
      </c>
      <c r="AA109" t="str">
        <f>IFERROR(_xlfn.XLOOKUP($AB109,'Cas 2013-2017'!$K:$K,'Cas 2013-2017'!$H:$H,""),"")</f>
        <v/>
      </c>
      <c r="AB109" t="str">
        <f>LOWER($A109 &amp; "|" &amp; $AF109)</f>
        <v>2015|péritonite.</v>
      </c>
      <c r="AC109" t="str">
        <f>TRIM(SUBSTITUTE(SUBSTITUTE(SUBSTITUTE(SUBSTITUTE(" " &amp; LOWER(TRIM(IF($N109&lt;&gt;"", $N109, $H109))) &amp; " ", " aomi ", " arteriopathie des membres inferieurs "), " hta ", " hypertension arterielle "), " saos ", " syndrome d'apnees obstructives du sommeil "), " rgo ", " reflux gastro-oesophagien ") )</f>
        <v>péritonite.</v>
      </c>
      <c r="AD109" t="str">
        <f>TRIM(SUBSTITUTE(SUBSTITUTE(SUBSTITUTE(SUBSTITUTE(" " &amp; LOWER(TRIM($AC109)) &amp; " ", " oacr ", " occlusion de l'artere centrale de la retine "), " hsd ", " hematome sous-dural "), " fa ", " fibrillation auriculaire "), " ep ", " embolie pulmonaire ") )</f>
        <v>péritonite.</v>
      </c>
      <c r="AE109" t="str" cm="1">
        <f t="array" ref="AE109">_xlfn.LET(_xlpm.base, " " &amp; LOWER(TRIM($AD109))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péritonite.</v>
      </c>
      <c r="AF109" t="str" cm="1">
        <f t="array" ref="AF109">_xlfn.LET(_xlpm.base, " " &amp; LOWER(TRIM($AE109))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péritonite.</v>
      </c>
    </row>
    <row r="110" spans="1:32" ht="16.5">
      <c r="A110" s="8">
        <v>2015</v>
      </c>
      <c r="B110" s="10" t="s">
        <v>68</v>
      </c>
      <c r="C110" s="8" t="s">
        <v>33</v>
      </c>
      <c r="D110" s="20">
        <v>45</v>
      </c>
      <c r="E110" s="11" t="str">
        <f>IF(D110="","",IFERROR(INDEX(SSP!$E$2:$E$266, MATCH(D110, SSP!$F$2:$F$266, 0)),""))</f>
        <v>Toux, expectoration, hémoptysie</v>
      </c>
      <c r="F110" s="11" t="str">
        <f>Feuil1!E110</f>
        <v>Toux</v>
      </c>
      <c r="G110" s="12" t="s">
        <v>321</v>
      </c>
      <c r="H110" s="13" t="s">
        <v>449</v>
      </c>
      <c r="I110" s="13"/>
      <c r="J110" s="15" t="s">
        <v>450</v>
      </c>
      <c r="K110" s="9" t="s">
        <v>33</v>
      </c>
      <c r="L110" s="9" t="s">
        <v>33</v>
      </c>
      <c r="M110" s="9" t="s">
        <v>33</v>
      </c>
      <c r="N110" t="s">
        <v>449</v>
      </c>
      <c r="O110" t="str">
        <f>IFERROR(_xlfn.XLOOKUP($D110, SSP!$F:$F, SSP!$E:$E, "Inconnu"), "")</f>
        <v>Toux, expectoration, hémoptysie</v>
      </c>
      <c r="P110" t="str">
        <f>IF(OR(E110="", O110=""), "", IF(LOWER(E110)=LOWER(O110), "OK", "⚠️ Libellé ≠ n°"))</f>
        <v>OK</v>
      </c>
      <c r="Q110" t="str">
        <f>IF(Feuil1!$E110="", "", IF(LOWER(Feuil1!$E110)=LOWER(E110), "Identique", "Différent"))</f>
        <v>Différent</v>
      </c>
      <c r="R110" t="str">
        <f>IF(OR(P110="⚠️ Libellé ≠ n°", O110="Inconnu"), "⚠️", IF(Q110="Différent", "ℹ️", ""))</f>
        <v>ℹ️</v>
      </c>
      <c r="S110" t="str" cm="1">
        <f t="array" ref="S110">_xlfn.LET(_xlpm.genCat,IFERROR(LOWER(TRIM(G110)),""),_xlpm.principal,IFERROR(LOWER(TRIM(H110)),""),_xlpm.orig,IFERROR(LOWER(TRIM(N110)),""),IF(OR(_xlpm.genCat="",_xlpm.principal=""),"",IF(LEFT(LOWER(G110),5)="autre","OK (Autre)",IF(OR(ISNUMBER(SEARCH(_xlpm.genCat,_xlpm.principal)),ISNUMBER(SEARCH(_xlpm.principal,_xlpm.genCat)),AND(_xlpm.orig&lt;&gt;"",OR(ISNUMBER(SEARCH(_xlpm.genCat,_xlpm.orig)),ISNUMBER(SEARCH(_xlpm.orig,_xlpm.genCat))))),"OK","⚠️ À vérifier"))))</f>
        <v>⚠️ À vérifier</v>
      </c>
      <c r="T110" t="str">
        <f>IF(S110="","",IF(S110="OK (Autre)","Diagnostic générique = 'Autre – …'",IF(S110="OK","Concordance générique/principal","Écart entre générique et principal")))</f>
        <v>Écart entre générique et principal</v>
      </c>
      <c r="U110" t="str" cm="1">
        <f t="array" ref="U110">_xlfn.LET(_xlpm.yr, A110, _xlpm.diag, IF(N110&lt;&gt;"", N110, H110), _xlpm.base, TRIM(SUBSTITUTE(SUBSTITUTE(SUBSTITUTE(SUBSTITUTE(_xlpm.diag,"•"," "),CHAR(160)," "),CHAR(10)," "),"  "," ")), LOWER(_xlpm.yr&amp;"|"&amp;_xlpm.base))</f>
        <v>2015|reflux gastro-œsophagien (rgo)</v>
      </c>
      <c r="V110" t="str">
        <f>IFERROR(_xlfn.XLOOKUP($AB110,'Cas 2013-2017'!$K:$K,'Cas 2013-2017'!$D:$D,""),"")</f>
        <v/>
      </c>
      <c r="W110" t="str">
        <f>IFERROR(_xlfn.XLOOKUP($AB110,'Cas 2013-2017'!$K:$K,'Cas 2013-2017'!$E:$E,""),"")</f>
        <v/>
      </c>
      <c r="X110" t="str">
        <f>IFERROR(_xlfn.XLOOKUP($AB110,'Cas 2013-2017'!$K:$K,'Cas 2013-2017'!$F:$F,""),"")</f>
        <v/>
      </c>
      <c r="Y110" t="str">
        <f>IFERROR(_xlfn.XLOOKUP($AB110,'Cas 2013-2017'!$K:$K,'Cas 2013-2017'!$G:$G,""),"")</f>
        <v/>
      </c>
      <c r="Z110" t="str">
        <f>IFERROR(_xlfn.XLOOKUP($AB110,'Cas 2013-2017'!$K:$K,'Cas 2013-2017'!$I:$I,""),"")</f>
        <v/>
      </c>
      <c r="AA110" t="str">
        <f>IFERROR(_xlfn.XLOOKUP($AB110,'Cas 2013-2017'!$K:$K,'Cas 2013-2017'!$H:$H,""),"")</f>
        <v/>
      </c>
      <c r="AB110" t="str">
        <f>LOWER($A110 &amp; "|" &amp; $AF110)</f>
        <v>2015|reflux gastro-œsophagien (rgo)</v>
      </c>
      <c r="AC110" t="str">
        <f>TRIM(SUBSTITUTE(SUBSTITUTE(SUBSTITUTE(SUBSTITUTE(" " &amp; LOWER(TRIM(IF($N110&lt;&gt;"", $N110, $H110))) &amp; " ", " aomi ", " arteriopathie des membres inferieurs "), " hta ", " hypertension arterielle "), " saos ", " syndrome d'apnees obstructives du sommeil "), " rgo ", " reflux gastro-oesophagien ") )</f>
        <v>reflux gastro-œsophagien (rgo)</v>
      </c>
      <c r="AD110" t="str">
        <f>TRIM(SUBSTITUTE(SUBSTITUTE(SUBSTITUTE(SUBSTITUTE(" " &amp; LOWER(TRIM($AC110)) &amp; " ", " oacr ", " occlusion de l'artere centrale de la retine "), " hsd ", " hematome sous-dural "), " fa ", " fibrillation auriculaire "), " ep ", " embolie pulmonaire ") )</f>
        <v>reflux gastro-œsophagien (rgo)</v>
      </c>
      <c r="AE110" t="str" cm="1">
        <f t="array" ref="AE110">_xlfn.LET(_xlpm.base, " " &amp; LOWER(TRIM($AD110))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reflux gastro-œsophagien (rgo)</v>
      </c>
      <c r="AF110" t="str" cm="1">
        <f t="array" ref="AF110">_xlfn.LET(_xlpm.base, " " &amp; LOWER(TRIM($AE110))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reflux gastro-œsophagien (rgo)</v>
      </c>
    </row>
    <row r="111" spans="1:32" ht="33.75">
      <c r="A111" s="8">
        <v>2015</v>
      </c>
      <c r="B111" s="10" t="s">
        <v>68</v>
      </c>
      <c r="C111" s="8" t="s">
        <v>451</v>
      </c>
      <c r="D111" s="20">
        <v>52</v>
      </c>
      <c r="E111" s="11" t="str">
        <f>IF(D111="","",IFERROR(INDEX(SSP!$E$2:$E$266, MATCH(D111, SSP!$F$2:$F$266, 0)),""))</f>
        <v>Douleur abdominale ou épigastrique</v>
      </c>
      <c r="F111" s="11" t="str">
        <f>Feuil1!E111</f>
        <v>Douleur abdominale</v>
      </c>
      <c r="G111" s="12" t="s">
        <v>452</v>
      </c>
      <c r="H111" s="13" t="s">
        <v>453</v>
      </c>
      <c r="I111" s="13"/>
      <c r="J111" s="15" t="s">
        <v>454</v>
      </c>
      <c r="K111" s="9" t="s">
        <v>455</v>
      </c>
      <c r="L111" s="9" t="s">
        <v>33</v>
      </c>
      <c r="M111" s="9" t="s">
        <v>33</v>
      </c>
      <c r="N111" t="s">
        <v>453</v>
      </c>
      <c r="O111" t="str">
        <f>IFERROR(_xlfn.XLOOKUP($D111, SSP!$F:$F, SSP!$E:$E, "Inconnu"), "")</f>
        <v>Douleur abdominale ou épigastrique</v>
      </c>
      <c r="P111" t="str">
        <f>IF(OR(E111="", O111=""), "", IF(LOWER(E111)=LOWER(O111), "OK", "⚠️ Libellé ≠ n°"))</f>
        <v>OK</v>
      </c>
      <c r="Q111" t="str">
        <f>IF(Feuil1!$E111="", "", IF(LOWER(Feuil1!$E111)=LOWER(E111), "Identique", "Différent"))</f>
        <v>Différent</v>
      </c>
      <c r="R111" t="str">
        <f>IF(OR(P111="⚠️ Libellé ≠ n°", O111="Inconnu"), "⚠️", IF(Q111="Différent", "ℹ️", ""))</f>
        <v>ℹ️</v>
      </c>
      <c r="S111" t="str" cm="1">
        <f t="array" ref="S111">_xlfn.LET(_xlpm.genCat,IFERROR(LOWER(TRIM(G111)),""),_xlpm.principal,IFERROR(LOWER(TRIM(H111)),""),_xlpm.orig,IFERROR(LOWER(TRIM(N111)),""),IF(OR(_xlpm.genCat="",_xlpm.principal=""),"",IF(LEFT(LOWER(G111),5)="autre","OK (Autre)",IF(OR(ISNUMBER(SEARCH(_xlpm.genCat,_xlpm.principal)),ISNUMBER(SEARCH(_xlpm.principal,_xlpm.genCat)),AND(_xlpm.orig&lt;&gt;"",OR(ISNUMBER(SEARCH(_xlpm.genCat,_xlpm.orig)),ISNUMBER(SEARCH(_xlpm.orig,_xlpm.genCat))))),"OK","⚠️ À vérifier"))))</f>
        <v>⚠️ À vérifier</v>
      </c>
      <c r="T111" t="str">
        <f>IF(S111="","",IF(S111="OK (Autre)","Diagnostic générique = 'Autre – …'",IF(S111="OK","Concordance générique/principal","Écart entre générique et principal")))</f>
        <v>Écart entre générique et principal</v>
      </c>
      <c r="U111" t="str" cm="1">
        <f t="array" ref="U111">_xlfn.LET(_xlpm.yr, A111, _xlpm.diag, IF(N111&lt;&gt;"", N111, H111), _xlpm.base, TRIM(SUBSTITUTE(SUBSTITUTE(SUBSTITUTE(SUBSTITUTE(_xlpm.diag,"•"," "),CHAR(160)," "),CHAR(10)," "),"  "," ")), LOWER(_xlpm.yr&amp;"|"&amp;_xlpm.base))</f>
        <v>2015|iléus</v>
      </c>
      <c r="V111" t="str">
        <f>IFERROR(_xlfn.XLOOKUP($AB111,'Cas 2013-2017'!$K:$K,'Cas 2013-2017'!$D:$D,""),"")</f>
        <v/>
      </c>
      <c r="W111" t="str">
        <f>IFERROR(_xlfn.XLOOKUP($AB111,'Cas 2013-2017'!$K:$K,'Cas 2013-2017'!$E:$E,""),"")</f>
        <v/>
      </c>
      <c r="X111" t="str">
        <f>IFERROR(_xlfn.XLOOKUP($AB111,'Cas 2013-2017'!$K:$K,'Cas 2013-2017'!$F:$F,""),"")</f>
        <v/>
      </c>
      <c r="Y111" t="str">
        <f>IFERROR(_xlfn.XLOOKUP($AB111,'Cas 2013-2017'!$K:$K,'Cas 2013-2017'!$G:$G,""),"")</f>
        <v/>
      </c>
      <c r="Z111" t="str">
        <f>IFERROR(_xlfn.XLOOKUP($AB111,'Cas 2013-2017'!$K:$K,'Cas 2013-2017'!$I:$I,""),"")</f>
        <v/>
      </c>
      <c r="AA111" t="str">
        <f>IFERROR(_xlfn.XLOOKUP($AB111,'Cas 2013-2017'!$K:$K,'Cas 2013-2017'!$H:$H,""),"")</f>
        <v/>
      </c>
      <c r="AB111" t="str">
        <f>LOWER($A111 &amp; "|" &amp; $AF111)</f>
        <v>2015|iléus</v>
      </c>
      <c r="AC111" t="str">
        <f>TRIM(SUBSTITUTE(SUBSTITUTE(SUBSTITUTE(SUBSTITUTE(" " &amp; LOWER(TRIM(IF($N111&lt;&gt;"", $N111, $H111))) &amp; " ", " aomi ", " arteriopathie des membres inferieurs "), " hta ", " hypertension arterielle "), " saos ", " syndrome d'apnees obstructives du sommeil "), " rgo ", " reflux gastro-oesophagien ") )</f>
        <v>iléus</v>
      </c>
      <c r="AD111" t="str">
        <f>TRIM(SUBSTITUTE(SUBSTITUTE(SUBSTITUTE(SUBSTITUTE(" " &amp; LOWER(TRIM($AC111)) &amp; " ", " oacr ", " occlusion de l'artere centrale de la retine "), " hsd ", " hematome sous-dural "), " fa ", " fibrillation auriculaire "), " ep ", " embolie pulmonaire ") )</f>
        <v>iléus</v>
      </c>
      <c r="AE111" t="str" cm="1">
        <f t="array" ref="AE111">_xlfn.LET(_xlpm.base, " " &amp; LOWER(TRIM($AD111))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iléus</v>
      </c>
      <c r="AF111" t="str" cm="1">
        <f t="array" ref="AF111">_xlfn.LET(_xlpm.base, " " &amp; LOWER(TRIM($AE111))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iléus</v>
      </c>
    </row>
    <row r="112" spans="1:32" ht="50.25">
      <c r="A112" s="8">
        <v>2015</v>
      </c>
      <c r="B112" s="10" t="s">
        <v>64</v>
      </c>
      <c r="C112" s="8" t="s">
        <v>33</v>
      </c>
      <c r="D112" s="20">
        <v>42</v>
      </c>
      <c r="E112" s="11" t="str">
        <f>IF(D112="","",IFERROR(INDEX(SSP!$E$2:$E$266, MATCH(D112, SSP!$F$2:$F$266, 0)),""))</f>
        <v>Modification du volume mammaire, masse mammaire, écoulement mammaire</v>
      </c>
      <c r="F112" s="11" t="str">
        <f>Feuil1!E112</f>
        <v>Grosseur mammaire</v>
      </c>
      <c r="G112" s="12" t="s">
        <v>65</v>
      </c>
      <c r="H112" s="13" t="s">
        <v>456</v>
      </c>
      <c r="I112" s="13" t="s">
        <v>457</v>
      </c>
      <c r="J112" s="15" t="s">
        <v>458</v>
      </c>
      <c r="K112" s="9" t="s">
        <v>459</v>
      </c>
      <c r="L112" s="9" t="s">
        <v>460</v>
      </c>
      <c r="M112" s="9" t="s">
        <v>461</v>
      </c>
      <c r="N112" t="s">
        <v>456</v>
      </c>
      <c r="O112" t="str">
        <f>IFERROR(_xlfn.XLOOKUP($D112, SSP!$F:$F, SSP!$E:$E, "Inconnu"), "")</f>
        <v>Modification du volume mammaire, masse mammaire, écoulement mammaire</v>
      </c>
      <c r="P112" t="str">
        <f>IF(OR(E112="", O112=""), "", IF(LOWER(E112)=LOWER(O112), "OK", "⚠️ Libellé ≠ n°"))</f>
        <v>OK</v>
      </c>
      <c r="Q112" t="str">
        <f>IF(Feuil1!$E112="", "", IF(LOWER(Feuil1!$E112)=LOWER(E112), "Identique", "Différent"))</f>
        <v>Différent</v>
      </c>
      <c r="R112" t="str">
        <f>IF(OR(P112="⚠️ Libellé ≠ n°", O112="Inconnu"), "⚠️", IF(Q112="Différent", "ℹ️", ""))</f>
        <v>ℹ️</v>
      </c>
      <c r="S112" t="str" cm="1">
        <f t="array" ref="S112">_xlfn.LET(_xlpm.genCat,IFERROR(LOWER(TRIM(G112)),""),_xlpm.principal,IFERROR(LOWER(TRIM(H112)),""),_xlpm.orig,IFERROR(LOWER(TRIM(N112)),""),IF(OR(_xlpm.genCat="",_xlpm.principal=""),"",IF(LEFT(LOWER(G112),5)="autre","OK (Autre)",IF(OR(ISNUMBER(SEARCH(_xlpm.genCat,_xlpm.principal)),ISNUMBER(SEARCH(_xlpm.principal,_xlpm.genCat)),AND(_xlpm.orig&lt;&gt;"",OR(ISNUMBER(SEARCH(_xlpm.genCat,_xlpm.orig)),ISNUMBER(SEARCH(_xlpm.orig,_xlpm.genCat))))),"OK","⚠️ À vérifier"))))</f>
        <v>OK</v>
      </c>
      <c r="T112" t="str">
        <f>IF(S112="","",IF(S112="OK (Autre)","Diagnostic générique = 'Autre – …'",IF(S112="OK","Concordance générique/principal","Écart entre générique et principal")))</f>
        <v>Concordance générique/principal</v>
      </c>
      <c r="U112" t="str" cm="1">
        <f t="array" ref="U112">_xlfn.LET(_xlpm.yr, A112, _xlpm.diag, IF(N112&lt;&gt;"", N112, H112), _xlpm.base, TRIM(SUBSTITUTE(SUBSTITUTE(SUBSTITUTE(SUBSTITUTE(_xlpm.diag,"•"," "),CHAR(160)," "),CHAR(10)," "),"  "," ")), LOWER(_xlpm.yr&amp;"|"&amp;_xlpm.base))</f>
        <v>2015|cancer du sein</v>
      </c>
      <c r="V112" t="str">
        <f>IFERROR(_xlfn.XLOOKUP($AB112,'Cas 2013-2017'!$K:$K,'Cas 2013-2017'!$D:$D,""),"")</f>
        <v>anamnèse status et PEC</v>
      </c>
      <c r="W112" t="str">
        <f>IFERROR(_xlfn.XLOOKUP($AB112,'Cas 2013-2017'!$K:$K,'Cas 2013-2017'!$E:$E,""),"")</f>
        <v>Si nodule depuis quand ? douleur ? Rougeur, chaleur, fièvre, évolution ? écoulement du mamelon ? variation du nodule avec les règles. Anamnèse gyneco : Ménarche/ménopause, DDR, cycle, hx obstétrique, contraception, contrôle mammo • FR: ménarche tôt, ménopause tard, adiposité, contraception, ttt hormonal pdt la ménopause , DM type 2 irradiation du thorax, anamnèse familiale</v>
      </c>
      <c r="X112" t="str">
        <f>IFERROR(_xlfn.XLOOKUP($AB112,'Cas 2013-2017'!$K:$K,'Cas 2013-2017'!$F:$F,""),"")</f>
        <v>Examen des seins • Pas oublier ggl</v>
      </c>
      <c r="Y112" t="str">
        <f>IFERROR(_xlfn.XLOOKUP($AB112,'Cas 2013-2017'!$K:$K,'Cas 2013-2017'!$G:$G,""),"")</f>
        <v>Adénome • Kyste • Lipome • Abcès • Mastite</v>
      </c>
      <c r="Z112" t="str">
        <f>IFERROR(_xlfn.XLOOKUP($AB112,'Cas 2013-2017'!$K:$K,'Cas 2013-2017'!$I:$I,""),"")</f>
        <v>imagerie biopsie PEC selon résultat</v>
      </c>
      <c r="AA112" t="str">
        <f>IFERROR(_xlfn.XLOOKUP($AB112,'Cas 2013-2017'!$K:$K,'Cas 2013-2017'!$H:$H,""),"")</f>
        <v>Mammographie • US si &lt;30 ans • IRM • selon lésion biopsie • +/- testing BRCA1 BRCA2 •</v>
      </c>
      <c r="AB112" t="str">
        <f>LOWER($A112 &amp; "|" &amp; $AF112)</f>
        <v>2015|cancer du sein</v>
      </c>
      <c r="AC112" t="str">
        <f>TRIM(SUBSTITUTE(SUBSTITUTE(SUBSTITUTE(SUBSTITUTE(" " &amp; LOWER(TRIM(IF($N112&lt;&gt;"", $N112, $H112))) &amp; " ", " aomi ", " arteriopathie des membres inferieurs "), " hta ", " hypertension arterielle "), " saos ", " syndrome d'apnees obstructives du sommeil "), " rgo ", " reflux gastro-oesophagien ") )</f>
        <v>cancer du sein</v>
      </c>
      <c r="AD112" t="str">
        <f>TRIM(SUBSTITUTE(SUBSTITUTE(SUBSTITUTE(SUBSTITUTE(" " &amp; LOWER(TRIM($AC112)) &amp; " ", " oacr ", " occlusion de l'artere centrale de la retine "), " hsd ", " hematome sous-dural "), " fa ", " fibrillation auriculaire "), " ep ", " embolie pulmonaire ") )</f>
        <v>cancer du sein</v>
      </c>
      <c r="AE112" t="str" cm="1">
        <f t="array" ref="AE112">_xlfn.LET(_xlpm.base, " " &amp; LOWER(TRIM($AD112))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cancer du sein</v>
      </c>
      <c r="AF112" t="str" cm="1">
        <f t="array" ref="AF112">_xlfn.LET(_xlpm.base, " " &amp; LOWER(TRIM($AE112))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cancer du sein</v>
      </c>
    </row>
    <row r="113" spans="1:32" ht="33.75">
      <c r="A113" s="8">
        <v>2015</v>
      </c>
      <c r="B113" s="10" t="s">
        <v>87</v>
      </c>
      <c r="C113" s="8" t="s">
        <v>33</v>
      </c>
      <c r="D113" s="20">
        <v>69</v>
      </c>
      <c r="E113" s="11" t="str">
        <f>IF(D113="","",IFERROR(INDEX(SSP!$E$2:$E$266, MATCH(D113, SSP!$F$2:$F$266, 0)),""))</f>
        <v>Demande de contraception, contraception d’urgence</v>
      </c>
      <c r="F113" s="11" t="str">
        <f>Feuil1!E113</f>
        <v>Contraception</v>
      </c>
      <c r="G113" s="12" t="s">
        <v>212</v>
      </c>
      <c r="H113" s="13" t="s">
        <v>462</v>
      </c>
      <c r="I113" s="13"/>
      <c r="J113" s="15" t="s">
        <v>463</v>
      </c>
      <c r="K113" s="9" t="s">
        <v>464</v>
      </c>
      <c r="L113" s="9" t="s">
        <v>33</v>
      </c>
      <c r="M113" s="9" t="s">
        <v>33</v>
      </c>
      <c r="N113" t="s">
        <v>462</v>
      </c>
      <c r="O113" t="str">
        <f>IFERROR(_xlfn.XLOOKUP($D113, SSP!$F:$F, SSP!$E:$E, "Inconnu"), "")</f>
        <v>Demande de contraception, contraception d’urgence</v>
      </c>
      <c r="P113" t="str">
        <f>IF(OR(E113="", O113=""), "", IF(LOWER(E113)=LOWER(O113), "OK", "⚠️ Libellé ≠ n°"))</f>
        <v>OK</v>
      </c>
      <c r="Q113" t="str">
        <f>IF(Feuil1!$E113="", "", IF(LOWER(Feuil1!$E113)=LOWER(E113), "Identique", "Différent"))</f>
        <v>Différent</v>
      </c>
      <c r="R113" t="str">
        <f>IF(OR(P113="⚠️ Libellé ≠ n°", O113="Inconnu"), "⚠️", IF(Q113="Différent", "ℹ️", ""))</f>
        <v>ℹ️</v>
      </c>
      <c r="S113" t="str" cm="1">
        <f t="array" ref="S113">_xlfn.LET(_xlpm.genCat,IFERROR(LOWER(TRIM(G113)),""),_xlpm.principal,IFERROR(LOWER(TRIM(H113)),""),_xlpm.orig,IFERROR(LOWER(TRIM(N113)),""),IF(OR(_xlpm.genCat="",_xlpm.principal=""),"",IF(LEFT(LOWER(G113),5)="autre","OK (Autre)",IF(OR(ISNUMBER(SEARCH(_xlpm.genCat,_xlpm.principal)),ISNUMBER(SEARCH(_xlpm.principal,_xlpm.genCat)),AND(_xlpm.orig&lt;&gt;"",OR(ISNUMBER(SEARCH(_xlpm.genCat,_xlpm.orig)),ISNUMBER(SEARCH(_xlpm.orig,_xlpm.genCat))))),"OK","⚠️ À vérifier"))))</f>
        <v>OK (Autre)</v>
      </c>
      <c r="T113" t="str">
        <f>IF(S113="","",IF(S113="OK (Autre)","Diagnostic générique = 'Autre – …'",IF(S113="OK","Concordance générique/principal","Écart entre générique et principal")))</f>
        <v>Diagnostic générique = 'Autre – …'</v>
      </c>
      <c r="U113" t="str" cm="1">
        <f t="array" ref="U113">_xlfn.LET(_xlpm.yr, A113, _xlpm.diag, IF(N113&lt;&gt;"", N113, H113), _xlpm.base, TRIM(SUBSTITUTE(SUBSTITUTE(SUBSTITUTE(SUBSTITUTE(_xlpm.diag,"•"," "),CHAR(160)," "),CHAR(10)," "),"  "," ")), LOWER(_xlpm.yr&amp;"|"&amp;_xlpm.base))</f>
        <v>2015|contraception</v>
      </c>
      <c r="V113" t="str">
        <f>IFERROR(_xlfn.XLOOKUP($AB113,'Cas 2013-2017'!$K:$K,'Cas 2013-2017'!$D:$D,""),"")</f>
        <v/>
      </c>
      <c r="W113" t="str">
        <f>IFERROR(_xlfn.XLOOKUP($AB113,'Cas 2013-2017'!$K:$K,'Cas 2013-2017'!$E:$E,""),"")</f>
        <v/>
      </c>
      <c r="X113" t="str">
        <f>IFERROR(_xlfn.XLOOKUP($AB113,'Cas 2013-2017'!$K:$K,'Cas 2013-2017'!$F:$F,""),"")</f>
        <v/>
      </c>
      <c r="Y113" t="str">
        <f>IFERROR(_xlfn.XLOOKUP($AB113,'Cas 2013-2017'!$K:$K,'Cas 2013-2017'!$G:$G,""),"")</f>
        <v/>
      </c>
      <c r="Z113" t="str">
        <f>IFERROR(_xlfn.XLOOKUP($AB113,'Cas 2013-2017'!$K:$K,'Cas 2013-2017'!$I:$I,""),"")</f>
        <v/>
      </c>
      <c r="AA113" t="str">
        <f>IFERROR(_xlfn.XLOOKUP($AB113,'Cas 2013-2017'!$K:$K,'Cas 2013-2017'!$H:$H,""),"")</f>
        <v/>
      </c>
      <c r="AB113" t="str">
        <f>LOWER($A113 &amp; "|" &amp; $AF113)</f>
        <v>2015|contraception</v>
      </c>
      <c r="AC113" t="str">
        <f>TRIM(SUBSTITUTE(SUBSTITUTE(SUBSTITUTE(SUBSTITUTE(" " &amp; LOWER(TRIM(IF($N113&lt;&gt;"", $N113, $H113))) &amp; " ", " aomi ", " arteriopathie des membres inferieurs "), " hta ", " hypertension arterielle "), " saos ", " syndrome d'apnees obstructives du sommeil "), " rgo ", " reflux gastro-oesophagien ") )</f>
        <v>contraception</v>
      </c>
      <c r="AD113" t="str">
        <f>TRIM(SUBSTITUTE(SUBSTITUTE(SUBSTITUTE(SUBSTITUTE(" " &amp; LOWER(TRIM($AC113)) &amp; " ", " oacr ", " occlusion de l'artere centrale de la retine "), " hsd ", " hematome sous-dural "), " fa ", " fibrillation auriculaire "), " ep ", " embolie pulmonaire ") )</f>
        <v>contraception</v>
      </c>
      <c r="AE113" t="str" cm="1">
        <f t="array" ref="AE113">_xlfn.LET(_xlpm.base, " " &amp; LOWER(TRIM($AD113))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contraception</v>
      </c>
      <c r="AF113" t="str" cm="1">
        <f t="array" ref="AF113">_xlfn.LET(_xlpm.base, " " &amp; LOWER(TRIM($AE113))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contraception</v>
      </c>
    </row>
    <row r="114" spans="1:32" ht="33.75">
      <c r="A114" s="8">
        <v>2015</v>
      </c>
      <c r="B114" s="10" t="s">
        <v>91</v>
      </c>
      <c r="C114" s="8" t="s">
        <v>33</v>
      </c>
      <c r="D114" s="20">
        <v>52</v>
      </c>
      <c r="E114" s="11" t="str">
        <f>IF(D114="","",IFERROR(INDEX(SSP!$E$2:$E$266, MATCH(D114, SSP!$F$2:$F$266, 0)),""))</f>
        <v>Douleur abdominale ou épigastrique</v>
      </c>
      <c r="F114" s="11" t="str">
        <f>Feuil1!E114</f>
        <v>Douleur abdominale</v>
      </c>
      <c r="G114" s="12" t="s">
        <v>465</v>
      </c>
      <c r="H114" s="13" t="s">
        <v>466</v>
      </c>
      <c r="I114" s="13"/>
      <c r="J114" s="15" t="s">
        <v>467</v>
      </c>
      <c r="K114" s="9" t="s">
        <v>33</v>
      </c>
      <c r="L114" s="9" t="s">
        <v>33</v>
      </c>
      <c r="M114" s="9" t="s">
        <v>33</v>
      </c>
      <c r="N114" t="s">
        <v>466</v>
      </c>
      <c r="O114" t="str">
        <f>IFERROR(_xlfn.XLOOKUP($D114, SSP!$F:$F, SSP!$E:$E, "Inconnu"), "")</f>
        <v>Douleur abdominale ou épigastrique</v>
      </c>
      <c r="P114" t="str">
        <f>IF(OR(E114="", O114=""), "", IF(LOWER(E114)=LOWER(O114), "OK", "⚠️ Libellé ≠ n°"))</f>
        <v>OK</v>
      </c>
      <c r="Q114" t="str">
        <f>IF(Feuil1!$E114="", "", IF(LOWER(Feuil1!$E114)=LOWER(E114), "Identique", "Différent"))</f>
        <v>Différent</v>
      </c>
      <c r="R114" t="str">
        <f>IF(OR(P114="⚠️ Libellé ≠ n°", O114="Inconnu"), "⚠️", IF(Q114="Différent", "ℹ️", ""))</f>
        <v>ℹ️</v>
      </c>
      <c r="S114" t="str" cm="1">
        <f t="array" ref="S114">_xlfn.LET(_xlpm.genCat,IFERROR(LOWER(TRIM(G114)),""),_xlpm.principal,IFERROR(LOWER(TRIM(H114)),""),_xlpm.orig,IFERROR(LOWER(TRIM(N114)),""),IF(OR(_xlpm.genCat="",_xlpm.principal=""),"",IF(LEFT(LOWER(G114),5)="autre","OK (Autre)",IF(OR(ISNUMBER(SEARCH(_xlpm.genCat,_xlpm.principal)),ISNUMBER(SEARCH(_xlpm.principal,_xlpm.genCat)),AND(_xlpm.orig&lt;&gt;"",OR(ISNUMBER(SEARCH(_xlpm.genCat,_xlpm.orig)),ISNUMBER(SEARCH(_xlpm.orig,_xlpm.genCat))))),"OK","⚠️ À vérifier"))))</f>
        <v>OK</v>
      </c>
      <c r="T114" t="str">
        <f>IF(S114="","",IF(S114="OK (Autre)","Diagnostic générique = 'Autre – …'",IF(S114="OK","Concordance générique/principal","Écart entre générique et principal")))</f>
        <v>Concordance générique/principal</v>
      </c>
      <c r="U114" t="str" cm="1">
        <f t="array" ref="U114">_xlfn.LET(_xlpm.yr, A114, _xlpm.diag, IF(N114&lt;&gt;"", N114, H114), _xlpm.base, TRIM(SUBSTITUTE(SUBSTITUTE(SUBSTITUTE(SUBSTITUTE(_xlpm.diag,"•"," "),CHAR(160)," "),CHAR(10)," "),"  "," ")), LOWER(_xlpm.yr&amp;"|"&amp;_xlpm.base))</f>
        <v>2015|infection pelvienne inflammatoire (pid)</v>
      </c>
      <c r="V114" t="str">
        <f>IFERROR(_xlfn.XLOOKUP($AB114,'Cas 2013-2017'!$K:$K,'Cas 2013-2017'!$D:$D,""),"")</f>
        <v/>
      </c>
      <c r="W114" t="str">
        <f>IFERROR(_xlfn.XLOOKUP($AB114,'Cas 2013-2017'!$K:$K,'Cas 2013-2017'!$E:$E,""),"")</f>
        <v/>
      </c>
      <c r="X114" t="str">
        <f>IFERROR(_xlfn.XLOOKUP($AB114,'Cas 2013-2017'!$K:$K,'Cas 2013-2017'!$F:$F,""),"")</f>
        <v/>
      </c>
      <c r="Y114" t="str">
        <f>IFERROR(_xlfn.XLOOKUP($AB114,'Cas 2013-2017'!$K:$K,'Cas 2013-2017'!$G:$G,""),"")</f>
        <v/>
      </c>
      <c r="Z114" t="str">
        <f>IFERROR(_xlfn.XLOOKUP($AB114,'Cas 2013-2017'!$K:$K,'Cas 2013-2017'!$I:$I,""),"")</f>
        <v/>
      </c>
      <c r="AA114" t="str">
        <f>IFERROR(_xlfn.XLOOKUP($AB114,'Cas 2013-2017'!$K:$K,'Cas 2013-2017'!$H:$H,""),"")</f>
        <v/>
      </c>
      <c r="AB114" t="str">
        <f>LOWER($A114 &amp; "|" &amp; $AF114)</f>
        <v>2015|infection pelvienne inflammatoire (pid)</v>
      </c>
      <c r="AC114" t="str">
        <f>TRIM(SUBSTITUTE(SUBSTITUTE(SUBSTITUTE(SUBSTITUTE(" " &amp; LOWER(TRIM(IF($N114&lt;&gt;"", $N114, $H114))) &amp; " ", " aomi ", " arteriopathie des membres inferieurs "), " hta ", " hypertension arterielle "), " saos ", " syndrome d'apnees obstructives du sommeil "), " rgo ", " reflux gastro-oesophagien ") )</f>
        <v>infection pelvienne inflammatoire (pid)</v>
      </c>
      <c r="AD114" t="str">
        <f>TRIM(SUBSTITUTE(SUBSTITUTE(SUBSTITUTE(SUBSTITUTE(" " &amp; LOWER(TRIM($AC114)) &amp; " ", " oacr ", " occlusion de l'artere centrale de la retine "), " hsd ", " hematome sous-dural "), " fa ", " fibrillation auriculaire "), " ep ", " embolie pulmonaire ") )</f>
        <v>infection pelvienne inflammatoire (pid)</v>
      </c>
      <c r="AE114" t="str" cm="1">
        <f t="array" ref="AE114">_xlfn.LET(_xlpm.base, " " &amp; LOWER(TRIM($AD114))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infection pelvienne inflammatoire (pid)</v>
      </c>
      <c r="AF114" t="str" cm="1">
        <f t="array" ref="AF114">_xlfn.LET(_xlpm.base, " " &amp; LOWER(TRIM($AE114))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infection pelvienne inflammatoire (pid)</v>
      </c>
    </row>
    <row r="115" spans="1:32" ht="33.75">
      <c r="A115" s="8">
        <v>2015</v>
      </c>
      <c r="B115" s="10" t="s">
        <v>221</v>
      </c>
      <c r="C115" s="8" t="s">
        <v>33</v>
      </c>
      <c r="D115" s="20">
        <v>10</v>
      </c>
      <c r="E115" s="11" t="str">
        <f>IF(D115="","",IFERROR(INDEX(SSP!$E$2:$E$266, MATCH(D115, SSP!$F$2:$F$266, 0)),""))</f>
        <v>Douleur (toutes localisations et types confondus)</v>
      </c>
      <c r="F115" s="11" t="str">
        <f>Feuil1!E115</f>
        <v>Douleur jambe</v>
      </c>
      <c r="G115" s="12" t="s">
        <v>222</v>
      </c>
      <c r="H115" s="13" t="s">
        <v>468</v>
      </c>
      <c r="I115" s="13"/>
      <c r="J115" s="15" t="s">
        <v>469</v>
      </c>
      <c r="K115" s="9" t="s">
        <v>33</v>
      </c>
      <c r="L115" s="9" t="s">
        <v>33</v>
      </c>
      <c r="M115" s="9" t="s">
        <v>33</v>
      </c>
      <c r="N115" t="s">
        <v>468</v>
      </c>
      <c r="O115" t="str">
        <f>IFERROR(_xlfn.XLOOKUP($D115, SSP!$F:$F, SSP!$E:$E, "Inconnu"), "")</f>
        <v>Douleur (toutes localisations et types confondus)</v>
      </c>
      <c r="P115" t="str">
        <f>IF(OR(E115="", O115=""), "", IF(LOWER(E115)=LOWER(O115), "OK", "⚠️ Libellé ≠ n°"))</f>
        <v>OK</v>
      </c>
      <c r="Q115" t="str">
        <f>IF(Feuil1!$E115="", "", IF(LOWER(Feuil1!$E115)=LOWER(E115), "Identique", "Différent"))</f>
        <v>Différent</v>
      </c>
      <c r="R115" t="str">
        <f>IF(OR(P115="⚠️ Libellé ≠ n°", O115="Inconnu"), "⚠️", IF(Q115="Différent", "ℹ️", ""))</f>
        <v>ℹ️</v>
      </c>
      <c r="S115" t="str" cm="1">
        <f t="array" ref="S115">_xlfn.LET(_xlpm.genCat,IFERROR(LOWER(TRIM(G115)),""),_xlpm.principal,IFERROR(LOWER(TRIM(H115)),""),_xlpm.orig,IFERROR(LOWER(TRIM(N115)),""),IF(OR(_xlpm.genCat="",_xlpm.principal=""),"",IF(LEFT(LOWER(G115),5)="autre","OK (Autre)",IF(OR(ISNUMBER(SEARCH(_xlpm.genCat,_xlpm.principal)),ISNUMBER(SEARCH(_xlpm.principal,_xlpm.genCat)),AND(_xlpm.orig&lt;&gt;"",OR(ISNUMBER(SEARCH(_xlpm.genCat,_xlpm.orig)),ISNUMBER(SEARCH(_xlpm.orig,_xlpm.genCat))))),"OK","⚠️ À vérifier"))))</f>
        <v>OK</v>
      </c>
      <c r="T115" t="str">
        <f>IF(S115="","",IF(S115="OK (Autre)","Diagnostic générique = 'Autre – …'",IF(S115="OK","Concordance générique/principal","Écart entre générique et principal")))</f>
        <v>Concordance générique/principal</v>
      </c>
      <c r="U115" t="str" cm="1">
        <f t="array" ref="U115">_xlfn.LET(_xlpm.yr, A115, _xlpm.diag, IF(N115&lt;&gt;"", N115, H115), _xlpm.base, TRIM(SUBSTITUTE(SUBSTITUTE(SUBSTITUTE(SUBSTITUTE(_xlpm.diag,"•"," "),CHAR(160)," "),CHAR(10)," "),"  "," ")), LOWER(_xlpm.yr&amp;"|"&amp;_xlpm.base))</f>
        <v>2015|fracture de la fibula</v>
      </c>
      <c r="V115" t="str">
        <f>IFERROR(_xlfn.XLOOKUP($AB115,'Cas 2013-2017'!$K:$K,'Cas 2013-2017'!$D:$D,""),"")</f>
        <v/>
      </c>
      <c r="W115" t="str">
        <f>IFERROR(_xlfn.XLOOKUP($AB115,'Cas 2013-2017'!$K:$K,'Cas 2013-2017'!$E:$E,""),"")</f>
        <v/>
      </c>
      <c r="X115" t="str">
        <f>IFERROR(_xlfn.XLOOKUP($AB115,'Cas 2013-2017'!$K:$K,'Cas 2013-2017'!$F:$F,""),"")</f>
        <v/>
      </c>
      <c r="Y115" t="str">
        <f>IFERROR(_xlfn.XLOOKUP($AB115,'Cas 2013-2017'!$K:$K,'Cas 2013-2017'!$G:$G,""),"")</f>
        <v/>
      </c>
      <c r="Z115" t="str">
        <f>IFERROR(_xlfn.XLOOKUP($AB115,'Cas 2013-2017'!$K:$K,'Cas 2013-2017'!$I:$I,""),"")</f>
        <v/>
      </c>
      <c r="AA115" t="str">
        <f>IFERROR(_xlfn.XLOOKUP($AB115,'Cas 2013-2017'!$K:$K,'Cas 2013-2017'!$H:$H,""),"")</f>
        <v/>
      </c>
      <c r="AB115" t="str">
        <f>LOWER($A115 &amp; "|" &amp; $AF115)</f>
        <v>2015|fracture de la fibula</v>
      </c>
      <c r="AC115" t="str">
        <f>TRIM(SUBSTITUTE(SUBSTITUTE(SUBSTITUTE(SUBSTITUTE(" " &amp; LOWER(TRIM(IF($N115&lt;&gt;"", $N115, $H115))) &amp; " ", " aomi ", " arteriopathie des membres inferieurs "), " hta ", " hypertension arterielle "), " saos ", " syndrome d'apnees obstructives du sommeil "), " rgo ", " reflux gastro-oesophagien ") )</f>
        <v>fracture de la fibula</v>
      </c>
      <c r="AD115" t="str">
        <f>TRIM(SUBSTITUTE(SUBSTITUTE(SUBSTITUTE(SUBSTITUTE(" " &amp; LOWER(TRIM($AC115)) &amp; " ", " oacr ", " occlusion de l'artere centrale de la retine "), " hsd ", " hematome sous-dural "), " fa ", " fibrillation auriculaire "), " ep ", " embolie pulmonaire ") )</f>
        <v>fracture de la fibula</v>
      </c>
      <c r="AE115" t="str" cm="1">
        <f t="array" ref="AE115">_xlfn.LET(_xlpm.base, " " &amp; LOWER(TRIM($AD115))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fracture de la fibula</v>
      </c>
      <c r="AF115" t="str" cm="1">
        <f t="array" ref="AF115">_xlfn.LET(_xlpm.base, " " &amp; LOWER(TRIM($AE115))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fracture de la fibula</v>
      </c>
    </row>
    <row r="116" spans="1:32" ht="50.25">
      <c r="A116" s="8">
        <v>2015</v>
      </c>
      <c r="B116" s="10" t="s">
        <v>221</v>
      </c>
      <c r="C116" s="8" t="s">
        <v>33</v>
      </c>
      <c r="D116" s="20">
        <v>85</v>
      </c>
      <c r="E116" s="11" t="str">
        <f>IF(D116="","",IFERROR(INDEX(SSP!$E$2:$E$266, MATCH(D116, SSP!$F$2:$F$266, 0)),""))</f>
        <v>Douleur, sensation de brûlure, crampes ou engourdissement des extrémités</v>
      </c>
      <c r="F116" s="11" t="str">
        <f>Feuil1!E116</f>
        <v>Engourdissement / faiblesse musculaire</v>
      </c>
      <c r="G116" s="12" t="s">
        <v>470</v>
      </c>
      <c r="H116" s="13" t="s">
        <v>471</v>
      </c>
      <c r="I116" s="13"/>
      <c r="J116" s="15" t="s">
        <v>472</v>
      </c>
      <c r="K116" s="9" t="s">
        <v>33</v>
      </c>
      <c r="L116" s="9" t="s">
        <v>33</v>
      </c>
      <c r="M116" s="9" t="s">
        <v>33</v>
      </c>
      <c r="N116" t="s">
        <v>471</v>
      </c>
      <c r="O116" t="str">
        <f>IFERROR(_xlfn.XLOOKUP($D116, SSP!$F:$F, SSP!$E:$E, "Inconnu"), "")</f>
        <v>Douleur, sensation de brûlure, crampes ou engourdissement des extrémités</v>
      </c>
      <c r="P116" t="str">
        <f>IF(OR(E116="", O116=""), "", IF(LOWER(E116)=LOWER(O116), "OK", "⚠️ Libellé ≠ n°"))</f>
        <v>OK</v>
      </c>
      <c r="Q116" t="str">
        <f>IF(Feuil1!$E116="", "", IF(LOWER(Feuil1!$E116)=LOWER(E116), "Identique", "Différent"))</f>
        <v>Différent</v>
      </c>
      <c r="R116" t="str">
        <f>IF(OR(P116="⚠️ Libellé ≠ n°", O116="Inconnu"), "⚠️", IF(Q116="Différent", "ℹ️", ""))</f>
        <v>ℹ️</v>
      </c>
      <c r="S116" t="str" cm="1">
        <f t="array" ref="S116">_xlfn.LET(_xlpm.genCat,IFERROR(LOWER(TRIM(G116)),""),_xlpm.principal,IFERROR(LOWER(TRIM(H116)),""),_xlpm.orig,IFERROR(LOWER(TRIM(N116)),""),IF(OR(_xlpm.genCat="",_xlpm.principal=""),"",IF(LEFT(LOWER(G116),5)="autre","OK (Autre)",IF(OR(ISNUMBER(SEARCH(_xlpm.genCat,_xlpm.principal)),ISNUMBER(SEARCH(_xlpm.principal,_xlpm.genCat)),AND(_xlpm.orig&lt;&gt;"",OR(ISNUMBER(SEARCH(_xlpm.genCat,_xlpm.orig)),ISNUMBER(SEARCH(_xlpm.orig,_xlpm.genCat))))),"OK","⚠️ À vérifier"))))</f>
        <v>⚠️ À vérifier</v>
      </c>
      <c r="T116" t="str">
        <f>IF(S116="","",IF(S116="OK (Autre)","Diagnostic générique = 'Autre – …'",IF(S116="OK","Concordance générique/principal","Écart entre générique et principal")))</f>
        <v>Écart entre générique et principal</v>
      </c>
      <c r="U116" t="str" cm="1">
        <f t="array" ref="U116">_xlfn.LET(_xlpm.yr, A116, _xlpm.diag, IF(N116&lt;&gt;"", N116, H116), _xlpm.base, TRIM(SUBSTITUTE(SUBSTITUTE(SUBSTITUTE(SUBSTITUTE(_xlpm.diag,"•"," "),CHAR(160)," "),CHAR(10)," "),"  "," ")), LOWER(_xlpm.yr&amp;"|"&amp;_xlpm.base))</f>
        <v>2015|hernie discale cervicale</v>
      </c>
      <c r="V116" t="str">
        <f>IFERROR(_xlfn.XLOOKUP($AB116,'Cas 2013-2017'!$K:$K,'Cas 2013-2017'!$D:$D,""),"")</f>
        <v/>
      </c>
      <c r="W116" t="str">
        <f>IFERROR(_xlfn.XLOOKUP($AB116,'Cas 2013-2017'!$K:$K,'Cas 2013-2017'!$E:$E,""),"")</f>
        <v/>
      </c>
      <c r="X116" t="str">
        <f>IFERROR(_xlfn.XLOOKUP($AB116,'Cas 2013-2017'!$K:$K,'Cas 2013-2017'!$F:$F,""),"")</f>
        <v/>
      </c>
      <c r="Y116" t="str">
        <f>IFERROR(_xlfn.XLOOKUP($AB116,'Cas 2013-2017'!$K:$K,'Cas 2013-2017'!$G:$G,""),"")</f>
        <v/>
      </c>
      <c r="Z116" t="str">
        <f>IFERROR(_xlfn.XLOOKUP($AB116,'Cas 2013-2017'!$K:$K,'Cas 2013-2017'!$I:$I,""),"")</f>
        <v/>
      </c>
      <c r="AA116" t="str">
        <f>IFERROR(_xlfn.XLOOKUP($AB116,'Cas 2013-2017'!$K:$K,'Cas 2013-2017'!$H:$H,""),"")</f>
        <v/>
      </c>
      <c r="AB116" t="str">
        <f>LOWER($A116 &amp; "|" &amp; $AF116)</f>
        <v>2015|hernie discale cervicale</v>
      </c>
      <c r="AC116" t="str">
        <f>TRIM(SUBSTITUTE(SUBSTITUTE(SUBSTITUTE(SUBSTITUTE(" " &amp; LOWER(TRIM(IF($N116&lt;&gt;"", $N116, $H116))) &amp; " ", " aomi ", " arteriopathie des membres inferieurs "), " hta ", " hypertension arterielle "), " saos ", " syndrome d'apnees obstructives du sommeil "), " rgo ", " reflux gastro-oesophagien ") )</f>
        <v>hernie discale cervicale</v>
      </c>
      <c r="AD116" t="str">
        <f>TRIM(SUBSTITUTE(SUBSTITUTE(SUBSTITUTE(SUBSTITUTE(" " &amp; LOWER(TRIM($AC116)) &amp; " ", " oacr ", " occlusion de l'artere centrale de la retine "), " hsd ", " hematome sous-dural "), " fa ", " fibrillation auriculaire "), " ep ", " embolie pulmonaire ") )</f>
        <v>hernie discale cervicale</v>
      </c>
      <c r="AE116" t="str" cm="1">
        <f t="array" ref="AE116">_xlfn.LET(_xlpm.base, " " &amp; LOWER(TRIM($AD116))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discale cervicale</v>
      </c>
      <c r="AF116" t="str" cm="1">
        <f t="array" ref="AF116">_xlfn.LET(_xlpm.base, " " &amp; LOWER(TRIM($AE116))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discale cervicale</v>
      </c>
    </row>
    <row r="117" spans="1:32" ht="117">
      <c r="A117" s="8">
        <v>2015</v>
      </c>
      <c r="B117" s="10" t="s">
        <v>100</v>
      </c>
      <c r="C117" s="8" t="s">
        <v>33</v>
      </c>
      <c r="D117" s="20">
        <v>207</v>
      </c>
      <c r="E117" s="11" t="str">
        <f>IF(D117="","",IFERROR(INDEX(SSP!$E$2:$E$266, MATCH(D117, SSP!$F$2:$F$266, 0)),""))</f>
        <v>Céphalée aiguë intense, syndrome méningé</v>
      </c>
      <c r="F117" s="11" t="str">
        <f>Feuil1!E117</f>
        <v>Céphalée</v>
      </c>
      <c r="G117" s="12" t="s">
        <v>473</v>
      </c>
      <c r="H117" s="13" t="s">
        <v>474</v>
      </c>
      <c r="I117" s="13" t="s">
        <v>475</v>
      </c>
      <c r="J117" s="15" t="s">
        <v>476</v>
      </c>
      <c r="K117" s="9" t="s">
        <v>477</v>
      </c>
      <c r="L117" s="9" t="s">
        <v>478</v>
      </c>
      <c r="M117" s="9" t="s">
        <v>479</v>
      </c>
      <c r="N117" t="s">
        <v>480</v>
      </c>
      <c r="O117" t="str">
        <f>IFERROR(_xlfn.XLOOKUP($D117, SSP!$F:$F, SSP!$E:$E, "Inconnu"), "")</f>
        <v>Céphalée aiguë intense, syndrome méningé</v>
      </c>
      <c r="P117" t="str">
        <f>IF(OR(E117="", O117=""), "", IF(LOWER(E117)=LOWER(O117), "OK", "⚠️ Libellé ≠ n°"))</f>
        <v>OK</v>
      </c>
      <c r="Q117" t="str">
        <f>IF(Feuil1!$E117="", "", IF(LOWER(Feuil1!$E117)=LOWER(E117), "Identique", "Différent"))</f>
        <v>Différent</v>
      </c>
      <c r="R117" t="str">
        <f>IF(OR(P117="⚠️ Libellé ≠ n°", O117="Inconnu"), "⚠️", IF(Q117="Différent", "ℹ️", ""))</f>
        <v>ℹ️</v>
      </c>
      <c r="S117" t="str" cm="1">
        <f t="array" ref="S117">_xlfn.LET(_xlpm.genCat,IFERROR(LOWER(TRIM(G117)),""),_xlpm.principal,IFERROR(LOWER(TRIM(H117)),""),_xlpm.orig,IFERROR(LOWER(TRIM(N117)),""),IF(OR(_xlpm.genCat="",_xlpm.principal=""),"",IF(LEFT(LOWER(G117),5)="autre","OK (Autre)",IF(OR(ISNUMBER(SEARCH(_xlpm.genCat,_xlpm.principal)),ISNUMBER(SEARCH(_xlpm.principal,_xlpm.genCat)),AND(_xlpm.orig&lt;&gt;"",OR(ISNUMBER(SEARCH(_xlpm.genCat,_xlpm.orig)),ISNUMBER(SEARCH(_xlpm.orig,_xlpm.genCat))))),"OK","⚠️ À vérifier"))))</f>
        <v>⚠️ À vérifier</v>
      </c>
      <c r="T117" t="str">
        <f>IF(S117="","",IF(S117="OK (Autre)","Diagnostic générique = 'Autre – …'",IF(S117="OK","Concordance générique/principal","Écart entre générique et principal")))</f>
        <v>Écart entre générique et principal</v>
      </c>
      <c r="U117" t="str" cm="1">
        <f t="array" ref="U117">_xlfn.LET(_xlpm.yr, A117, _xlpm.diag, IF(N117&lt;&gt;"", N117, H117), _xlpm.base, TRIM(SUBSTITUTE(SUBSTITUTE(SUBSTITUTE(SUBSTITUTE(_xlpm.diag,"•"," "),CHAR(160)," "),CHAR(10)," "),"  "," ")), LOWER(_xlpm.yr&amp;"|"&amp;_xlpm.base))</f>
        <v>2015|hsa</v>
      </c>
      <c r="V117">
        <f>IFERROR(_xlfn.XLOOKUP($AB117,'Cas 2013-2017'!$K:$K,'Cas 2013-2017'!$D:$D,""),"")</f>
        <v>0</v>
      </c>
      <c r="W117" t="str">
        <f>IFERROR(_xlfn.XLOOKUP($AB117,'Cas 2013-2017'!$K:$K,'Cas 2013-2017'!$E:$E,""),"")</f>
        <v>Céphalée sentinelle avec diplopie transitoire • Céphalée en coup de tonnerre holo céphalique, irradie dans le cou et le dos • Méningisme: N/V, photophobie, raideur nuque • Fièvre Parésie, aphasie, convulsion • Trauma? •</v>
      </c>
      <c r="X117" t="str">
        <f>IFERROR(_xlfn.XLOOKUP($AB117,'Cas 2013-2017'!$K:$K,'Cas 2013-2017'!$F:$F,""),"")</f>
        <v>Neuro complet: avec FO</v>
      </c>
      <c r="Y117" t="str">
        <f>IFERROR(_xlfn.XLOOKUP($AB117,'Cas 2013-2017'!$K:$K,'Cas 2013-2017'!$G:$G,""),"")</f>
        <v>HSA sur trauma • HSA sur anévrisme • HSD • Hémorragie intracrânienne • AVC</v>
      </c>
      <c r="Z117" t="str">
        <f>IFERROR(_xlfn.XLOOKUP($AB117,'Cas 2013-2017'!$K:$K,'Cas 2013-2017'!$I:$I,""),"")</f>
        <v>Lit stricte • Analgésie • Hydrat • Réverser anticoag • Contrôle TA &lt;160 • Bloqueur canaux calciques • Contrôle PIC: tête 30°, mannitol…. • Clipping ou coiling</v>
      </c>
      <c r="AA117" t="str">
        <f>IFERROR(_xlfn.XLOOKUP($AB117,'Cas 2013-2017'!$K:$K,'Cas 2013-2017'!$H:$H,""),"")</f>
        <v>CT cérébral • Angio CT • Labo: Fss, électrolytes, VS, CRP, créat, crase</v>
      </c>
      <c r="AB117" t="str">
        <f>LOWER($A117 &amp; "|" &amp; $AF117)</f>
        <v>2015|hemorragie sous-arachnoidienne</v>
      </c>
      <c r="AC117" t="str">
        <f>TRIM(SUBSTITUTE(SUBSTITUTE(SUBSTITUTE(SUBSTITUTE(" " &amp; LOWER(TRIM(IF($N117&lt;&gt;"", $N117, $H117))) &amp; " ", " aomi ", " arteriopathie des membres inferieurs "), " hta ", " hypertension arterielle "), " saos ", " syndrome d'apnees obstructives du sommeil "), " rgo ", " reflux gastro-oesophagien ") )</f>
        <v>hsa</v>
      </c>
      <c r="AD117" t="str">
        <f>TRIM(SUBSTITUTE(SUBSTITUTE(SUBSTITUTE(SUBSTITUTE(" " &amp; LOWER(TRIM($AC117)) &amp; " ", " oacr ", " occlusion de l'artere centrale de la retine "), " hsd ", " hematome sous-dural "), " fa ", " fibrillation auriculaire "), " ep ", " embolie pulmonaire ") )</f>
        <v>hsa</v>
      </c>
      <c r="AE117" t="str" cm="1">
        <f t="array" ref="AE117">_xlfn.LET(_xlpm.base, " " &amp; LOWER(TRIM($AD117))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hemorragie sous-arachnoidienne</v>
      </c>
      <c r="AF117" t="str" cm="1">
        <f t="array" ref="AF117">_xlfn.LET(_xlpm.base, " " &amp; LOWER(TRIM($AE117))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hemorragie sous-arachnoidienne</v>
      </c>
    </row>
    <row r="118" spans="1:32" ht="33.75">
      <c r="A118" s="8">
        <v>2015</v>
      </c>
      <c r="B118" s="10" t="s">
        <v>100</v>
      </c>
      <c r="C118" s="8" t="s">
        <v>33</v>
      </c>
      <c r="D118" s="20">
        <v>20</v>
      </c>
      <c r="E118" s="11" t="str">
        <f>IF(D118="","",IFERROR(INDEX(SSP!$E$2:$E$266, MATCH(D118, SSP!$F$2:$F$266, 0)),""))</f>
        <v>Asymétrie faciale, déformation du visage</v>
      </c>
      <c r="F118" s="11" t="str">
        <f>Feuil1!E118</f>
        <v>Paralysie faciale</v>
      </c>
      <c r="G118" s="12" t="s">
        <v>481</v>
      </c>
      <c r="H118" s="13" t="s">
        <v>482</v>
      </c>
      <c r="I118" s="13" t="s">
        <v>483</v>
      </c>
      <c r="J118" s="15" t="s">
        <v>484</v>
      </c>
      <c r="K118" s="9" t="s">
        <v>485</v>
      </c>
      <c r="L118" s="9" t="s">
        <v>33</v>
      </c>
      <c r="M118" s="9" t="s">
        <v>33</v>
      </c>
      <c r="N118" t="s">
        <v>486</v>
      </c>
      <c r="O118" t="str">
        <f>IFERROR(_xlfn.XLOOKUP($D118, SSP!$F:$F, SSP!$E:$E, "Inconnu"), "")</f>
        <v>Asymétrie faciale, déformation du visage</v>
      </c>
      <c r="P118" t="str">
        <f>IF(OR(E118="", O118=""), "", IF(LOWER(E118)=LOWER(O118), "OK", "⚠️ Libellé ≠ n°"))</f>
        <v>OK</v>
      </c>
      <c r="Q118" t="str">
        <f>IF(Feuil1!$E118="", "", IF(LOWER(Feuil1!$E118)=LOWER(E118), "Identique", "Différent"))</f>
        <v>Différent</v>
      </c>
      <c r="R118" t="str">
        <f>IF(OR(P118="⚠️ Libellé ≠ n°", O118="Inconnu"), "⚠️", IF(Q118="Différent", "ℹ️", ""))</f>
        <v>ℹ️</v>
      </c>
      <c r="S118" t="str" cm="1">
        <f t="array" ref="S118">_xlfn.LET(_xlpm.genCat,IFERROR(LOWER(TRIM(G118)),""),_xlpm.principal,IFERROR(LOWER(TRIM(H118)),""),_xlpm.orig,IFERROR(LOWER(TRIM(N118)),""),IF(OR(_xlpm.genCat="",_xlpm.principal=""),"",IF(LEFT(LOWER(G118),5)="autre","OK (Autre)",IF(OR(ISNUMBER(SEARCH(_xlpm.genCat,_xlpm.principal)),ISNUMBER(SEARCH(_xlpm.principal,_xlpm.genCat)),AND(_xlpm.orig&lt;&gt;"",OR(ISNUMBER(SEARCH(_xlpm.genCat,_xlpm.orig)),ISNUMBER(SEARCH(_xlpm.orig,_xlpm.genCat))))),"OK","⚠️ À vérifier"))))</f>
        <v>⚠️ À vérifier</v>
      </c>
      <c r="T118" t="str">
        <f>IF(S118="","",IF(S118="OK (Autre)","Diagnostic générique = 'Autre – …'",IF(S118="OK","Concordance générique/principal","Écart entre générique et principal")))</f>
        <v>Écart entre générique et principal</v>
      </c>
      <c r="U118" t="str" cm="1">
        <f t="array" ref="U118">_xlfn.LET(_xlpm.yr, A118, _xlpm.diag, IF(N118&lt;&gt;"", N118, H118), _xlpm.base, TRIM(SUBSTITUTE(SUBSTITUTE(SUBSTITUTE(SUBSTITUTE(_xlpm.diag,"•"," "),CHAR(160)," "),CHAR(10)," "),"  "," ")), LOWER(_xlpm.yr&amp;"|"&amp;_xlpm.base))</f>
        <v>2015|paralysie de bell vs lyme</v>
      </c>
      <c r="V118" t="str">
        <f>IFERROR(_xlfn.XLOOKUP($AB118,'Cas 2013-2017'!$K:$K,'Cas 2013-2017'!$D:$D,""),"")</f>
        <v/>
      </c>
      <c r="W118" t="str">
        <f>IFERROR(_xlfn.XLOOKUP($AB118,'Cas 2013-2017'!$K:$K,'Cas 2013-2017'!$E:$E,""),"")</f>
        <v/>
      </c>
      <c r="X118" t="str">
        <f>IFERROR(_xlfn.XLOOKUP($AB118,'Cas 2013-2017'!$K:$K,'Cas 2013-2017'!$F:$F,""),"")</f>
        <v/>
      </c>
      <c r="Y118" t="str">
        <f>IFERROR(_xlfn.XLOOKUP($AB118,'Cas 2013-2017'!$K:$K,'Cas 2013-2017'!$G:$G,""),"")</f>
        <v/>
      </c>
      <c r="Z118" t="str">
        <f>IFERROR(_xlfn.XLOOKUP($AB118,'Cas 2013-2017'!$K:$K,'Cas 2013-2017'!$I:$I,""),"")</f>
        <v/>
      </c>
      <c r="AA118" t="str">
        <f>IFERROR(_xlfn.XLOOKUP($AB118,'Cas 2013-2017'!$K:$K,'Cas 2013-2017'!$H:$H,""),"")</f>
        <v/>
      </c>
      <c r="AB118" t="str">
        <f>LOWER($A118 &amp; "|" &amp; $AF118)</f>
        <v>2015|paralysie de bell vs lyme</v>
      </c>
      <c r="AC118" t="str">
        <f>TRIM(SUBSTITUTE(SUBSTITUTE(SUBSTITUTE(SUBSTITUTE(" " &amp; LOWER(TRIM(IF($N118&lt;&gt;"", $N118, $H118))) &amp; " ", " aomi ", " arteriopathie des membres inferieurs "), " hta ", " hypertension arterielle "), " saos ", " syndrome d'apnees obstructives du sommeil "), " rgo ", " reflux gastro-oesophagien ") )</f>
        <v>paralysie de bell vs lyme</v>
      </c>
      <c r="AD118" t="str">
        <f>TRIM(SUBSTITUTE(SUBSTITUTE(SUBSTITUTE(SUBSTITUTE(" " &amp; LOWER(TRIM($AC118)) &amp; " ", " oacr ", " occlusion de l'artere centrale de la retine "), " hsd ", " hematome sous-dural "), " fa ", " fibrillation auriculaire "), " ep ", " embolie pulmonaire ") )</f>
        <v>paralysie de bell vs lyme</v>
      </c>
      <c r="AE118" t="str" cm="1">
        <f t="array" ref="AE118">_xlfn.LET(_xlpm.base, " " &amp; LOWER(TRIM($AD118))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paralysie de bell vs lyme</v>
      </c>
      <c r="AF118" t="str" cm="1">
        <f t="array" ref="AF118">_xlfn.LET(_xlpm.base, " " &amp; LOWER(TRIM($AE118))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paralysie de bell vs lyme</v>
      </c>
    </row>
    <row r="119" spans="1:32" ht="50.25">
      <c r="A119" s="8">
        <v>2015</v>
      </c>
      <c r="B119" s="10" t="s">
        <v>115</v>
      </c>
      <c r="C119" s="8" t="s">
        <v>33</v>
      </c>
      <c r="D119" s="20">
        <v>33</v>
      </c>
      <c r="E119" s="11" t="str">
        <f>IF(D119="","",IFERROR(INDEX(SSP!$E$2:$E$266, MATCH(D119, SSP!$F$2:$F$266, 0)),""))</f>
        <v>Douleur, rougeur, prurit oculaire ; écoulement oculaire</v>
      </c>
      <c r="F119" s="11" t="str">
        <f>Feuil1!E119</f>
        <v>Douleur oculaire</v>
      </c>
      <c r="G119" s="12" t="s">
        <v>487</v>
      </c>
      <c r="H119" s="13" t="s">
        <v>488</v>
      </c>
      <c r="I119" s="13"/>
      <c r="J119" s="15" t="s">
        <v>489</v>
      </c>
      <c r="K119" s="9" t="s">
        <v>490</v>
      </c>
      <c r="L119" s="9" t="s">
        <v>33</v>
      </c>
      <c r="M119" s="9" t="s">
        <v>33</v>
      </c>
      <c r="N119" t="s">
        <v>488</v>
      </c>
      <c r="O119" t="str">
        <f>IFERROR(_xlfn.XLOOKUP($D119, SSP!$F:$F, SSP!$E:$E, "Inconnu"), "")</f>
        <v>Douleur, rougeur, prurit oculaire ; écoulement oculaire</v>
      </c>
      <c r="P119" t="str">
        <f>IF(OR(E119="", O119=""), "", IF(LOWER(E119)=LOWER(O119), "OK", "⚠️ Libellé ≠ n°"))</f>
        <v>OK</v>
      </c>
      <c r="Q119" t="str">
        <f>IF(Feuil1!$E119="", "", IF(LOWER(Feuil1!$E119)=LOWER(E119), "Identique", "Différent"))</f>
        <v>Différent</v>
      </c>
      <c r="R119" t="str">
        <f>IF(OR(P119="⚠️ Libellé ≠ n°", O119="Inconnu"), "⚠️", IF(Q119="Différent", "ℹ️", ""))</f>
        <v>ℹ️</v>
      </c>
      <c r="S119" t="str" cm="1">
        <f t="array" ref="S119">_xlfn.LET(_xlpm.genCat,IFERROR(LOWER(TRIM(G119)),""),_xlpm.principal,IFERROR(LOWER(TRIM(H119)),""),_xlpm.orig,IFERROR(LOWER(TRIM(N119)),""),IF(OR(_xlpm.genCat="",_xlpm.principal=""),"",IF(LEFT(LOWER(G119),5)="autre","OK (Autre)",IF(OR(ISNUMBER(SEARCH(_xlpm.genCat,_xlpm.principal)),ISNUMBER(SEARCH(_xlpm.principal,_xlpm.genCat)),AND(_xlpm.orig&lt;&gt;"",OR(ISNUMBER(SEARCH(_xlpm.genCat,_xlpm.orig)),ISNUMBER(SEARCH(_xlpm.orig,_xlpm.genCat))))),"OK","⚠️ À vérifier"))))</f>
        <v>OK</v>
      </c>
      <c r="T119" t="str">
        <f>IF(S119="","",IF(S119="OK (Autre)","Diagnostic générique = 'Autre – …'",IF(S119="OK","Concordance générique/principal","Écart entre générique et principal")))</f>
        <v>Concordance générique/principal</v>
      </c>
      <c r="U119" t="str" cm="1">
        <f t="array" ref="U119">_xlfn.LET(_xlpm.yr, A119, _xlpm.diag, IF(N119&lt;&gt;"", N119, H119), _xlpm.base, TRIM(SUBSTITUTE(SUBSTITUTE(SUBSTITUTE(SUBSTITUTE(_xlpm.diag,"•"," "),CHAR(160)," "),CHAR(10)," "),"  "," ")), LOWER(_xlpm.yr&amp;"|"&amp;_xlpm.base))</f>
        <v>2015|kératite photoélectrique</v>
      </c>
      <c r="V119" t="str">
        <f>IFERROR(_xlfn.XLOOKUP($AB119,'Cas 2013-2017'!$K:$K,'Cas 2013-2017'!$D:$D,""),"")</f>
        <v/>
      </c>
      <c r="W119" t="str">
        <f>IFERROR(_xlfn.XLOOKUP($AB119,'Cas 2013-2017'!$K:$K,'Cas 2013-2017'!$E:$E,""),"")</f>
        <v/>
      </c>
      <c r="X119" t="str">
        <f>IFERROR(_xlfn.XLOOKUP($AB119,'Cas 2013-2017'!$K:$K,'Cas 2013-2017'!$F:$F,""),"")</f>
        <v/>
      </c>
      <c r="Y119" t="str">
        <f>IFERROR(_xlfn.XLOOKUP($AB119,'Cas 2013-2017'!$K:$K,'Cas 2013-2017'!$G:$G,""),"")</f>
        <v/>
      </c>
      <c r="Z119" t="str">
        <f>IFERROR(_xlfn.XLOOKUP($AB119,'Cas 2013-2017'!$K:$K,'Cas 2013-2017'!$I:$I,""),"")</f>
        <v/>
      </c>
      <c r="AA119" t="str">
        <f>IFERROR(_xlfn.XLOOKUP($AB119,'Cas 2013-2017'!$K:$K,'Cas 2013-2017'!$H:$H,""),"")</f>
        <v/>
      </c>
      <c r="AB119" t="str">
        <f>LOWER($A119 &amp; "|" &amp; $AF119)</f>
        <v>2015|kératite photoélectrique</v>
      </c>
      <c r="AC119" t="str">
        <f>TRIM(SUBSTITUTE(SUBSTITUTE(SUBSTITUTE(SUBSTITUTE(" " &amp; LOWER(TRIM(IF($N119&lt;&gt;"", $N119, $H119))) &amp; " ", " aomi ", " arteriopathie des membres inferieurs "), " hta ", " hypertension arterielle "), " saos ", " syndrome d'apnees obstructives du sommeil "), " rgo ", " reflux gastro-oesophagien ") )</f>
        <v>kératite photoélectrique</v>
      </c>
      <c r="AD119" t="str">
        <f>TRIM(SUBSTITUTE(SUBSTITUTE(SUBSTITUTE(SUBSTITUTE(" " &amp; LOWER(TRIM($AC119)) &amp; " ", " oacr ", " occlusion de l'artere centrale de la retine "), " hsd ", " hematome sous-dural "), " fa ", " fibrillation auriculaire "), " ep ", " embolie pulmonaire ") )</f>
        <v>kératite photoélectrique</v>
      </c>
      <c r="AE119" t="str" cm="1">
        <f t="array" ref="AE119">_xlfn.LET(_xlpm.base, " " &amp; LOWER(TRIM($AD119))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kératite photoélectrique</v>
      </c>
      <c r="AF119" t="str" cm="1">
        <f t="array" ref="AF119">_xlfn.LET(_xlpm.base, " " &amp; LOWER(TRIM($AE119))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kératite photoélectrique</v>
      </c>
    </row>
    <row r="120" spans="1:32" ht="33.75">
      <c r="A120" s="8">
        <v>2015</v>
      </c>
      <c r="B120" s="10" t="s">
        <v>82</v>
      </c>
      <c r="C120" s="8" t="s">
        <v>33</v>
      </c>
      <c r="D120" s="20">
        <v>27</v>
      </c>
      <c r="E120" s="11" t="str">
        <f>IF(D120="","",IFERROR(INDEX(SSP!$E$2:$E$266, MATCH(D120, SSP!$F$2:$F$266, 0)),""))</f>
        <v>Douleur faciale, mandibulaire ou dentaire, trismus</v>
      </c>
      <c r="F120" s="11" t="str">
        <f>Feuil1!E120</f>
        <v>Trismus</v>
      </c>
      <c r="G120" s="12" t="s">
        <v>83</v>
      </c>
      <c r="H120" s="13" t="s">
        <v>491</v>
      </c>
      <c r="I120" s="13"/>
      <c r="J120" s="15" t="s">
        <v>492</v>
      </c>
      <c r="K120" s="9" t="s">
        <v>33</v>
      </c>
      <c r="L120" s="9" t="s">
        <v>33</v>
      </c>
      <c r="M120" s="9" t="s">
        <v>33</v>
      </c>
      <c r="N120" t="s">
        <v>491</v>
      </c>
      <c r="O120" t="str">
        <f>IFERROR(_xlfn.XLOOKUP($D120, SSP!$F:$F, SSP!$E:$E, "Inconnu"), "")</f>
        <v>Douleur faciale, mandibulaire ou dentaire, trismus</v>
      </c>
      <c r="P120" t="str">
        <f>IF(OR(E120="", O120=""), "", IF(LOWER(E120)=LOWER(O120), "OK", "⚠️ Libellé ≠ n°"))</f>
        <v>OK</v>
      </c>
      <c r="Q120" t="str">
        <f>IF(Feuil1!$E120="", "", IF(LOWER(Feuil1!$E120)=LOWER(E120), "Identique", "Différent"))</f>
        <v>Différent</v>
      </c>
      <c r="R120" t="str">
        <f>IF(OR(P120="⚠️ Libellé ≠ n°", O120="Inconnu"), "⚠️", IF(Q120="Différent", "ℹ️", ""))</f>
        <v>ℹ️</v>
      </c>
      <c r="S120" t="str" cm="1">
        <f t="array" ref="S120">_xlfn.LET(_xlpm.genCat,IFERROR(LOWER(TRIM(G120)),""),_xlpm.principal,IFERROR(LOWER(TRIM(H120)),""),_xlpm.orig,IFERROR(LOWER(TRIM(N120)),""),IF(OR(_xlpm.genCat="",_xlpm.principal=""),"",IF(LEFT(LOWER(G120),5)="autre","OK (Autre)",IF(OR(ISNUMBER(SEARCH(_xlpm.genCat,_xlpm.principal)),ISNUMBER(SEARCH(_xlpm.principal,_xlpm.genCat)),AND(_xlpm.orig&lt;&gt;"",OR(ISNUMBER(SEARCH(_xlpm.genCat,_xlpm.orig)),ISNUMBER(SEARCH(_xlpm.orig,_xlpm.genCat))))),"OK","⚠️ À vérifier"))))</f>
        <v>OK (Autre)</v>
      </c>
      <c r="T120" t="str">
        <f>IF(S120="","",IF(S120="OK (Autre)","Diagnostic générique = 'Autre – …'",IF(S120="OK","Concordance générique/principal","Écart entre générique et principal")))</f>
        <v>Diagnostic générique = 'Autre – …'</v>
      </c>
      <c r="U120" t="str" cm="1">
        <f t="array" ref="U120">_xlfn.LET(_xlpm.yr, A120, _xlpm.diag, IF(N120&lt;&gt;"", N120, H120), _xlpm.base, TRIM(SUBSTITUTE(SUBSTITUTE(SUBSTITUTE(SUBSTITUTE(_xlpm.diag,"•"," "),CHAR(160)," "),CHAR(10)," "),"  "," ")), LOWER(_xlpm.yr&amp;"|"&amp;_xlpm.base))</f>
        <v>2015|abcès retro-amygdalien</v>
      </c>
      <c r="V120" t="str">
        <f>IFERROR(_xlfn.XLOOKUP($AB120,'Cas 2013-2017'!$K:$K,'Cas 2013-2017'!$D:$D,""),"")</f>
        <v/>
      </c>
      <c r="W120" t="str">
        <f>IFERROR(_xlfn.XLOOKUP($AB120,'Cas 2013-2017'!$K:$K,'Cas 2013-2017'!$E:$E,""),"")</f>
        <v/>
      </c>
      <c r="X120" t="str">
        <f>IFERROR(_xlfn.XLOOKUP($AB120,'Cas 2013-2017'!$K:$K,'Cas 2013-2017'!$F:$F,""),"")</f>
        <v/>
      </c>
      <c r="Y120" t="str">
        <f>IFERROR(_xlfn.XLOOKUP($AB120,'Cas 2013-2017'!$K:$K,'Cas 2013-2017'!$G:$G,""),"")</f>
        <v/>
      </c>
      <c r="Z120" t="str">
        <f>IFERROR(_xlfn.XLOOKUP($AB120,'Cas 2013-2017'!$K:$K,'Cas 2013-2017'!$I:$I,""),"")</f>
        <v/>
      </c>
      <c r="AA120" t="str">
        <f>IFERROR(_xlfn.XLOOKUP($AB120,'Cas 2013-2017'!$K:$K,'Cas 2013-2017'!$H:$H,""),"")</f>
        <v/>
      </c>
      <c r="AB120" t="str">
        <f>LOWER($A120 &amp; "|" &amp; $AF120)</f>
        <v>2015|abcès retro-amygdalien</v>
      </c>
      <c r="AC120" t="str">
        <f>TRIM(SUBSTITUTE(SUBSTITUTE(SUBSTITUTE(SUBSTITUTE(" " &amp; LOWER(TRIM(IF($N120&lt;&gt;"", $N120, $H120))) &amp; " ", " aomi ", " arteriopathie des membres inferieurs "), " hta ", " hypertension arterielle "), " saos ", " syndrome d'apnees obstructives du sommeil "), " rgo ", " reflux gastro-oesophagien ") )</f>
        <v>abcès retro-amygdalien</v>
      </c>
      <c r="AD120" t="str">
        <f>TRIM(SUBSTITUTE(SUBSTITUTE(SUBSTITUTE(SUBSTITUTE(" " &amp; LOWER(TRIM($AC120)) &amp; " ", " oacr ", " occlusion de l'artere centrale de la retine "), " hsd ", " hematome sous-dural "), " fa ", " fibrillation auriculaire "), " ep ", " embolie pulmonaire ") )</f>
        <v>abcès retro-amygdalien</v>
      </c>
      <c r="AE120" t="str" cm="1">
        <f t="array" ref="AE120">_xlfn.LET(_xlpm.base, " " &amp; LOWER(TRIM($AD120))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abcès retro-amygdalien</v>
      </c>
      <c r="AF120" t="str" cm="1">
        <f t="array" ref="AF120">_xlfn.LET(_xlpm.base, " " &amp; LOWER(TRIM($AE120))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abcès retro-amygdalien</v>
      </c>
    </row>
    <row r="121" spans="1:32" ht="33.75">
      <c r="A121" s="8">
        <v>2015</v>
      </c>
      <c r="B121" s="10" t="s">
        <v>100</v>
      </c>
      <c r="C121" s="8" t="s">
        <v>33</v>
      </c>
      <c r="D121" s="20">
        <v>100</v>
      </c>
      <c r="E121" s="11" t="str">
        <f>IF(D121="","",IFERROR(INDEX(SSP!$E$2:$E$266, MATCH(D121, SSP!$F$2:$F$266, 0)),""))</f>
        <v>Vertiges, étourdissements</v>
      </c>
      <c r="F121" s="11" t="str">
        <f>Feuil1!E121</f>
        <v>Vertige</v>
      </c>
      <c r="G121" s="12" t="s">
        <v>493</v>
      </c>
      <c r="H121" s="13" t="s">
        <v>494</v>
      </c>
      <c r="I121" s="13"/>
      <c r="J121" s="15" t="s">
        <v>495</v>
      </c>
      <c r="K121" s="9" t="s">
        <v>496</v>
      </c>
      <c r="L121" s="9" t="s">
        <v>33</v>
      </c>
      <c r="M121" s="9" t="s">
        <v>33</v>
      </c>
      <c r="N121" t="s">
        <v>497</v>
      </c>
      <c r="O121" t="str">
        <f>IFERROR(_xlfn.XLOOKUP($D121, SSP!$F:$F, SSP!$E:$E, "Inconnu"), "")</f>
        <v>Vertiges, étourdissements</v>
      </c>
      <c r="P121" t="str">
        <f>IF(OR(E121="", O121=""), "", IF(LOWER(E121)=LOWER(O121), "OK", "⚠️ Libellé ≠ n°"))</f>
        <v>OK</v>
      </c>
      <c r="Q121" t="str">
        <f>IF(Feuil1!$E121="", "", IF(LOWER(Feuil1!$E121)=LOWER(E121), "Identique", "Différent"))</f>
        <v>Différent</v>
      </c>
      <c r="R121" t="str">
        <f>IF(OR(P121="⚠️ Libellé ≠ n°", O121="Inconnu"), "⚠️", IF(Q121="Différent", "ℹ️", ""))</f>
        <v>ℹ️</v>
      </c>
      <c r="S121" t="str" cm="1">
        <f t="array" ref="S121">_xlfn.LET(_xlpm.genCat,IFERROR(LOWER(TRIM(G121)),""),_xlpm.principal,IFERROR(LOWER(TRIM(H121)),""),_xlpm.orig,IFERROR(LOWER(TRIM(N121)),""),IF(OR(_xlpm.genCat="",_xlpm.principal=""),"",IF(LEFT(LOWER(G121),5)="autre","OK (Autre)",IF(OR(ISNUMBER(SEARCH(_xlpm.genCat,_xlpm.principal)),ISNUMBER(SEARCH(_xlpm.principal,_xlpm.genCat)),AND(_xlpm.orig&lt;&gt;"",OR(ISNUMBER(SEARCH(_xlpm.genCat,_xlpm.orig)),ISNUMBER(SEARCH(_xlpm.orig,_xlpm.genCat))))),"OK","⚠️ À vérifier"))))</f>
        <v>⚠️ À vérifier</v>
      </c>
      <c r="T121" t="str">
        <f>IF(S121="","",IF(S121="OK (Autre)","Diagnostic générique = 'Autre – …'",IF(S121="OK","Concordance générique/principal","Écart entre générique et principal")))</f>
        <v>Écart entre générique et principal</v>
      </c>
      <c r="U121" t="str" cm="1">
        <f t="array" ref="U121">_xlfn.LET(_xlpm.yr, A121, _xlpm.diag, IF(N121&lt;&gt;"", N121, H121), _xlpm.base, TRIM(SUBSTITUTE(SUBSTITUTE(SUBSTITUTE(SUBSTITUTE(_xlpm.diag,"•"," "),CHAR(160)," "),CHAR(10)," "),"  "," ")), LOWER(_xlpm.yr&amp;"|"&amp;_xlpm.base))</f>
        <v>2015|neuronite vestibulaire</v>
      </c>
      <c r="V121" t="str">
        <f>IFERROR(_xlfn.XLOOKUP($AB121,'Cas 2013-2017'!$K:$K,'Cas 2013-2017'!$D:$D,""),"")</f>
        <v/>
      </c>
      <c r="W121" t="str">
        <f>IFERROR(_xlfn.XLOOKUP($AB121,'Cas 2013-2017'!$K:$K,'Cas 2013-2017'!$E:$E,""),"")</f>
        <v/>
      </c>
      <c r="X121" t="str">
        <f>IFERROR(_xlfn.XLOOKUP($AB121,'Cas 2013-2017'!$K:$K,'Cas 2013-2017'!$F:$F,""),"")</f>
        <v/>
      </c>
      <c r="Y121" t="str">
        <f>IFERROR(_xlfn.XLOOKUP($AB121,'Cas 2013-2017'!$K:$K,'Cas 2013-2017'!$G:$G,""),"")</f>
        <v/>
      </c>
      <c r="Z121" t="str">
        <f>IFERROR(_xlfn.XLOOKUP($AB121,'Cas 2013-2017'!$K:$K,'Cas 2013-2017'!$I:$I,""),"")</f>
        <v/>
      </c>
      <c r="AA121" t="str">
        <f>IFERROR(_xlfn.XLOOKUP($AB121,'Cas 2013-2017'!$K:$K,'Cas 2013-2017'!$H:$H,""),"")</f>
        <v/>
      </c>
      <c r="AB121" t="str">
        <f>LOWER($A121 &amp; "|" &amp; $AF121)</f>
        <v>2015|neuronite vestibulaire</v>
      </c>
      <c r="AC121" t="str">
        <f>TRIM(SUBSTITUTE(SUBSTITUTE(SUBSTITUTE(SUBSTITUTE(" " &amp; LOWER(TRIM(IF($N121&lt;&gt;"", $N121, $H121))) &amp; " ", " aomi ", " arteriopathie des membres inferieurs "), " hta ", " hypertension arterielle "), " saos ", " syndrome d'apnees obstructives du sommeil "), " rgo ", " reflux gastro-oesophagien ") )</f>
        <v>neuronite vestibulaire</v>
      </c>
      <c r="AD121" t="str">
        <f>TRIM(SUBSTITUTE(SUBSTITUTE(SUBSTITUTE(SUBSTITUTE(" " &amp; LOWER(TRIM($AC121)) &amp; " ", " oacr ", " occlusion de l'artere centrale de la retine "), " hsd ", " hematome sous-dural "), " fa ", " fibrillation auriculaire "), " ep ", " embolie pulmonaire ") )</f>
        <v>neuronite vestibulaire</v>
      </c>
      <c r="AE121" t="str" cm="1">
        <f t="array" ref="AE121">_xlfn.LET(_xlpm.base, " " &amp; LOWER(TRIM($AD121))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neuronite vestibulaire</v>
      </c>
      <c r="AF121" t="str" cm="1">
        <f t="array" ref="AF121">_xlfn.LET(_xlpm.base, " " &amp; LOWER(TRIM($AE121))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neuronite vestibulaire</v>
      </c>
    </row>
    <row r="122" spans="1:32" ht="33.75">
      <c r="A122" s="8">
        <v>2015</v>
      </c>
      <c r="B122" s="10" t="s">
        <v>82</v>
      </c>
      <c r="C122" s="8" t="s">
        <v>33</v>
      </c>
      <c r="D122" s="20">
        <v>46</v>
      </c>
      <c r="E122" s="11" t="str">
        <f>IF(D122="","",IFERROR(INDEX(SSP!$E$2:$E$266, MATCH(D122, SSP!$F$2:$F$266, 0)),""))</f>
        <v>Dyspnée</v>
      </c>
      <c r="F122" s="11" t="str">
        <f>Feuil1!E122</f>
        <v>Dyspnée</v>
      </c>
      <c r="G122" s="12" t="s">
        <v>498</v>
      </c>
      <c r="H122" s="13" t="s">
        <v>499</v>
      </c>
      <c r="I122" s="13"/>
      <c r="J122" s="15" t="s">
        <v>500</v>
      </c>
      <c r="K122" s="9" t="s">
        <v>33</v>
      </c>
      <c r="L122" s="9" t="s">
        <v>33</v>
      </c>
      <c r="M122" s="9" t="s">
        <v>33</v>
      </c>
      <c r="N122" t="s">
        <v>499</v>
      </c>
      <c r="O122" t="str">
        <f>IFERROR(_xlfn.XLOOKUP($D122, SSP!$F:$F, SSP!$E:$E, "Inconnu"), "")</f>
        <v>Dyspnée</v>
      </c>
      <c r="P122" t="str">
        <f>IF(OR(E122="", O122=""), "", IF(LOWER(E122)=LOWER(O122), "OK", "⚠️ Libellé ≠ n°"))</f>
        <v>OK</v>
      </c>
      <c r="Q122" t="str">
        <f>IF(Feuil1!$E122="", "", IF(LOWER(Feuil1!$E122)=LOWER(E122), "Identique", "Différent"))</f>
        <v>Identique</v>
      </c>
      <c r="R122" t="str">
        <f>IF(OR(P122="⚠️ Libellé ≠ n°", O122="Inconnu"), "⚠️", IF(Q122="Différent", "ℹ️", ""))</f>
        <v/>
      </c>
      <c r="S122" t="str" cm="1">
        <f t="array" ref="S122">_xlfn.LET(_xlpm.genCat,IFERROR(LOWER(TRIM(G122)),""),_xlpm.principal,IFERROR(LOWER(TRIM(H122)),""),_xlpm.orig,IFERROR(LOWER(TRIM(N122)),""),IF(OR(_xlpm.genCat="",_xlpm.principal=""),"",IF(LEFT(LOWER(G122),5)="autre","OK (Autre)",IF(OR(ISNUMBER(SEARCH(_xlpm.genCat,_xlpm.principal)),ISNUMBER(SEARCH(_xlpm.principal,_xlpm.genCat)),AND(_xlpm.orig&lt;&gt;"",OR(ISNUMBER(SEARCH(_xlpm.genCat,_xlpm.orig)),ISNUMBER(SEARCH(_xlpm.orig,_xlpm.genCat))))),"OK","⚠️ À vérifier"))))</f>
        <v>OK (Autre)</v>
      </c>
      <c r="T122" t="str">
        <f>IF(S122="","",IF(S122="OK (Autre)","Diagnostic générique = 'Autre – …'",IF(S122="OK","Concordance générique/principal","Écart entre générique et principal")))</f>
        <v>Diagnostic générique = 'Autre – …'</v>
      </c>
      <c r="U122" t="str" cm="1">
        <f t="array" ref="U122">_xlfn.LET(_xlpm.yr, A122, _xlpm.diag, IF(N122&lt;&gt;"", N122, H122), _xlpm.base, TRIM(SUBSTITUTE(SUBSTITUTE(SUBSTITUTE(SUBSTITUTE(_xlpm.diag,"•"," "),CHAR(160)," "),CHAR(10)," "),"  "," ")), LOWER(_xlpm.yr&amp;"|"&amp;_xlpm.base))</f>
        <v>2015|syndrome de widal</v>
      </c>
      <c r="V122" t="str">
        <f>IFERROR(_xlfn.XLOOKUP($AB122,'Cas 2013-2017'!$K:$K,'Cas 2013-2017'!$D:$D,""),"")</f>
        <v/>
      </c>
      <c r="W122" t="str">
        <f>IFERROR(_xlfn.XLOOKUP($AB122,'Cas 2013-2017'!$K:$K,'Cas 2013-2017'!$E:$E,""),"")</f>
        <v/>
      </c>
      <c r="X122" t="str">
        <f>IFERROR(_xlfn.XLOOKUP($AB122,'Cas 2013-2017'!$K:$K,'Cas 2013-2017'!$F:$F,""),"")</f>
        <v/>
      </c>
      <c r="Y122" t="str">
        <f>IFERROR(_xlfn.XLOOKUP($AB122,'Cas 2013-2017'!$K:$K,'Cas 2013-2017'!$G:$G,""),"")</f>
        <v/>
      </c>
      <c r="Z122" t="str">
        <f>IFERROR(_xlfn.XLOOKUP($AB122,'Cas 2013-2017'!$K:$K,'Cas 2013-2017'!$I:$I,""),"")</f>
        <v/>
      </c>
      <c r="AA122" t="str">
        <f>IFERROR(_xlfn.XLOOKUP($AB122,'Cas 2013-2017'!$K:$K,'Cas 2013-2017'!$H:$H,""),"")</f>
        <v/>
      </c>
      <c r="AB122" t="str">
        <f>LOWER($A122 &amp; "|" &amp; $AF122)</f>
        <v>2015|syndrome de widal</v>
      </c>
      <c r="AC122" t="str">
        <f>TRIM(SUBSTITUTE(SUBSTITUTE(SUBSTITUTE(SUBSTITUTE(" " &amp; LOWER(TRIM(IF($N122&lt;&gt;"", $N122, $H122))) &amp; " ", " aomi ", " arteriopathie des membres inferieurs "), " hta ", " hypertension arterielle "), " saos ", " syndrome d'apnees obstructives du sommeil "), " rgo ", " reflux gastro-oesophagien ") )</f>
        <v>syndrome de widal</v>
      </c>
      <c r="AD122" t="str">
        <f>TRIM(SUBSTITUTE(SUBSTITUTE(SUBSTITUTE(SUBSTITUTE(" " &amp; LOWER(TRIM($AC122)) &amp; " ", " oacr ", " occlusion de l'artere centrale de la retine "), " hsd ", " hematome sous-dural "), " fa ", " fibrillation auriculaire "), " ep ", " embolie pulmonaire ") )</f>
        <v>syndrome de widal</v>
      </c>
      <c r="AE122" t="str" cm="1">
        <f t="array" ref="AE122">_xlfn.LET(_xlpm.base, " " &amp; LOWER(TRIM($AD122))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de widal</v>
      </c>
      <c r="AF122" t="str" cm="1">
        <f t="array" ref="AF122">_xlfn.LET(_xlpm.base, " " &amp; LOWER(TRIM($AE122))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de widal</v>
      </c>
    </row>
    <row r="123" spans="1:32" ht="33.75">
      <c r="A123" s="8">
        <v>2015</v>
      </c>
      <c r="B123" s="10" t="s">
        <v>100</v>
      </c>
      <c r="C123" s="8" t="s">
        <v>33</v>
      </c>
      <c r="D123" s="20">
        <v>105</v>
      </c>
      <c r="E123" s="11" t="str">
        <f>IF(D123="","",IFERROR(INDEX(SSP!$E$2:$E$266, MATCH(D123, SSP!$F$2:$F$266, 0)),""))</f>
        <v>Secousses musculaires, convulsions, crises épileptiques</v>
      </c>
      <c r="F123" s="11" t="str">
        <f>Feuil1!E123</f>
        <v>Absences</v>
      </c>
      <c r="G123" s="12" t="s">
        <v>501</v>
      </c>
      <c r="H123" s="13" t="s">
        <v>502</v>
      </c>
      <c r="I123" s="13"/>
      <c r="J123" s="15" t="s">
        <v>503</v>
      </c>
      <c r="K123" s="9" t="s">
        <v>504</v>
      </c>
      <c r="L123" s="9" t="s">
        <v>33</v>
      </c>
      <c r="M123" s="9" t="s">
        <v>33</v>
      </c>
      <c r="N123" t="s">
        <v>502</v>
      </c>
      <c r="O123" t="str">
        <f>IFERROR(_xlfn.XLOOKUP($D123, SSP!$F:$F, SSP!$E:$E, "Inconnu"), "")</f>
        <v>Secousses musculaires, convulsions, crises épileptiques</v>
      </c>
      <c r="P123" t="str">
        <f>IF(OR(E123="", O123=""), "", IF(LOWER(E123)=LOWER(O123), "OK", "⚠️ Libellé ≠ n°"))</f>
        <v>OK</v>
      </c>
      <c r="Q123" t="str">
        <f>IF(Feuil1!$E123="", "", IF(LOWER(Feuil1!$E123)=LOWER(E123), "Identique", "Différent"))</f>
        <v>Différent</v>
      </c>
      <c r="R123" t="str">
        <f>IF(OR(P123="⚠️ Libellé ≠ n°", O123="Inconnu"), "⚠️", IF(Q123="Différent", "ℹ️", ""))</f>
        <v>ℹ️</v>
      </c>
      <c r="S123" t="str" cm="1">
        <f t="array" ref="S123">_xlfn.LET(_xlpm.genCat,IFERROR(LOWER(TRIM(G123)),""),_xlpm.principal,IFERROR(LOWER(TRIM(H123)),""),_xlpm.orig,IFERROR(LOWER(TRIM(N123)),""),IF(OR(_xlpm.genCat="",_xlpm.principal=""),"",IF(LEFT(LOWER(G123),5)="autre","OK (Autre)",IF(OR(ISNUMBER(SEARCH(_xlpm.genCat,_xlpm.principal)),ISNUMBER(SEARCH(_xlpm.principal,_xlpm.genCat)),AND(_xlpm.orig&lt;&gt;"",OR(ISNUMBER(SEARCH(_xlpm.genCat,_xlpm.orig)),ISNUMBER(SEARCH(_xlpm.orig,_xlpm.genCat))))),"OK","⚠️ À vérifier"))))</f>
        <v>⚠️ À vérifier</v>
      </c>
      <c r="T123" t="str">
        <f>IF(S123="","",IF(S123="OK (Autre)","Diagnostic générique = 'Autre – …'",IF(S123="OK","Concordance générique/principal","Écart entre générique et principal")))</f>
        <v>Écart entre générique et principal</v>
      </c>
      <c r="U123" t="str" cm="1">
        <f t="array" ref="U123">_xlfn.LET(_xlpm.yr, A123, _xlpm.diag, IF(N123&lt;&gt;"", N123, H123), _xlpm.base, TRIM(SUBSTITUTE(SUBSTITUTE(SUBSTITUTE(SUBSTITUTE(_xlpm.diag,"•"," "),CHAR(160)," "),CHAR(10)," "),"  "," ")), LOWER(_xlpm.yr&amp;"|"&amp;_xlpm.base))</f>
        <v>2015|epilepsie :crises d’absence</v>
      </c>
      <c r="V123" t="str">
        <f>IFERROR(_xlfn.XLOOKUP($AB123,'Cas 2013-2017'!$K:$K,'Cas 2013-2017'!$D:$D,""),"")</f>
        <v/>
      </c>
      <c r="W123" t="str">
        <f>IFERROR(_xlfn.XLOOKUP($AB123,'Cas 2013-2017'!$K:$K,'Cas 2013-2017'!$E:$E,""),"")</f>
        <v/>
      </c>
      <c r="X123" t="str">
        <f>IFERROR(_xlfn.XLOOKUP($AB123,'Cas 2013-2017'!$K:$K,'Cas 2013-2017'!$F:$F,""),"")</f>
        <v/>
      </c>
      <c r="Y123" t="str">
        <f>IFERROR(_xlfn.XLOOKUP($AB123,'Cas 2013-2017'!$K:$K,'Cas 2013-2017'!$G:$G,""),"")</f>
        <v/>
      </c>
      <c r="Z123" t="str">
        <f>IFERROR(_xlfn.XLOOKUP($AB123,'Cas 2013-2017'!$K:$K,'Cas 2013-2017'!$I:$I,""),"")</f>
        <v/>
      </c>
      <c r="AA123" t="str">
        <f>IFERROR(_xlfn.XLOOKUP($AB123,'Cas 2013-2017'!$K:$K,'Cas 2013-2017'!$H:$H,""),"")</f>
        <v/>
      </c>
      <c r="AB123" t="str">
        <f>LOWER($A123 &amp; "|" &amp; $AF123)</f>
        <v>2015|epilepsie :crises d’absence</v>
      </c>
      <c r="AC123" t="str">
        <f>TRIM(SUBSTITUTE(SUBSTITUTE(SUBSTITUTE(SUBSTITUTE(" " &amp; LOWER(TRIM(IF($N123&lt;&gt;"", $N123, $H123))) &amp; " ", " aomi ", " arteriopathie des membres inferieurs "), " hta ", " hypertension arterielle "), " saos ", " syndrome d'apnees obstructives du sommeil "), " rgo ", " reflux gastro-oesophagien ") )</f>
        <v>epilepsie :crises d’absence</v>
      </c>
      <c r="AD123" t="str">
        <f>TRIM(SUBSTITUTE(SUBSTITUTE(SUBSTITUTE(SUBSTITUTE(" " &amp; LOWER(TRIM($AC123)) &amp; " ", " oacr ", " occlusion de l'artere centrale de la retine "), " hsd ", " hematome sous-dural "), " fa ", " fibrillation auriculaire "), " ep ", " embolie pulmonaire ") )</f>
        <v>epilepsie :crises d’absence</v>
      </c>
      <c r="AE123" t="str" cm="1">
        <f t="array" ref="AE123">_xlfn.LET(_xlpm.base, " " &amp; LOWER(TRIM($AD123))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epilepsie :crises d’absence</v>
      </c>
      <c r="AF123" t="str" cm="1">
        <f t="array" ref="AF123">_xlfn.LET(_xlpm.base, " " &amp; LOWER(TRIM($AE123))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epilepsie :crises d’absence</v>
      </c>
    </row>
    <row r="124" spans="1:32" ht="33.75">
      <c r="A124" s="8">
        <v>2015</v>
      </c>
      <c r="B124" s="10" t="s">
        <v>133</v>
      </c>
      <c r="C124" s="8" t="s">
        <v>33</v>
      </c>
      <c r="D124" s="20">
        <v>6</v>
      </c>
      <c r="E124" s="11" t="str">
        <f>IF(D124="","",IFERROR(INDEX(SSP!$E$2:$E$266, MATCH(D124, SSP!$F$2:$F$266, 0)),""))</f>
        <v>Fièvre, frissons, hyperthermie</v>
      </c>
      <c r="F124" s="11" t="str">
        <f>Feuil1!E124</f>
        <v>Fièvre</v>
      </c>
      <c r="G124" s="12" t="s">
        <v>137</v>
      </c>
      <c r="H124" s="13" t="s">
        <v>505</v>
      </c>
      <c r="I124" s="13"/>
      <c r="J124" s="15" t="s">
        <v>506</v>
      </c>
      <c r="K124" s="9" t="s">
        <v>507</v>
      </c>
      <c r="L124" s="9" t="s">
        <v>33</v>
      </c>
      <c r="M124" s="9" t="s">
        <v>33</v>
      </c>
      <c r="N124" t="s">
        <v>505</v>
      </c>
      <c r="O124" t="str">
        <f>IFERROR(_xlfn.XLOOKUP($D124, SSP!$F:$F, SSP!$E:$E, "Inconnu"), "")</f>
        <v>Fièvre, frissons, hyperthermie</v>
      </c>
      <c r="P124" t="str">
        <f>IF(OR(E124="", O124=""), "", IF(LOWER(E124)=LOWER(O124), "OK", "⚠️ Libellé ≠ n°"))</f>
        <v>OK</v>
      </c>
      <c r="Q124" t="str">
        <f>IF(Feuil1!$E124="", "", IF(LOWER(Feuil1!$E124)=LOWER(E124), "Identique", "Différent"))</f>
        <v>Différent</v>
      </c>
      <c r="R124" t="str">
        <f>IF(OR(P124="⚠️ Libellé ≠ n°", O124="Inconnu"), "⚠️", IF(Q124="Différent", "ℹ️", ""))</f>
        <v>ℹ️</v>
      </c>
      <c r="S124" t="str" cm="1">
        <f t="array" ref="S124">_xlfn.LET(_xlpm.genCat,IFERROR(LOWER(TRIM(G124)),""),_xlpm.principal,IFERROR(LOWER(TRIM(H124)),""),_xlpm.orig,IFERROR(LOWER(TRIM(N124)),""),IF(OR(_xlpm.genCat="",_xlpm.principal=""),"",IF(LEFT(LOWER(G124),5)="autre","OK (Autre)",IF(OR(ISNUMBER(SEARCH(_xlpm.genCat,_xlpm.principal)),ISNUMBER(SEARCH(_xlpm.principal,_xlpm.genCat)),AND(_xlpm.orig&lt;&gt;"",OR(ISNUMBER(SEARCH(_xlpm.genCat,_xlpm.orig)),ISNUMBER(SEARCH(_xlpm.orig,_xlpm.genCat))))),"OK","⚠️ À vérifier"))))</f>
        <v>OK (Autre)</v>
      </c>
      <c r="T124" t="str">
        <f>IF(S124="","",IF(S124="OK (Autre)","Diagnostic générique = 'Autre – …'",IF(S124="OK","Concordance générique/principal","Écart entre générique et principal")))</f>
        <v>Diagnostic générique = 'Autre – …'</v>
      </c>
      <c r="U124" t="str" cm="1">
        <f t="array" ref="U124">_xlfn.LET(_xlpm.yr, A124, _xlpm.diag, IF(N124&lt;&gt;"", N124, H124), _xlpm.base, TRIM(SUBSTITUTE(SUBSTITUTE(SUBSTITUTE(SUBSTITUTE(_xlpm.diag,"•"," "),CHAR(160)," "),CHAR(10)," "),"  "," ")), LOWER(_xlpm.yr&amp;"|"&amp;_xlpm.base))</f>
        <v>2015|faux-croup</v>
      </c>
      <c r="V124" t="str">
        <f>IFERROR(_xlfn.XLOOKUP($AB124,'Cas 2013-2017'!$K:$K,'Cas 2013-2017'!$D:$D,""),"")</f>
        <v/>
      </c>
      <c r="W124" t="str">
        <f>IFERROR(_xlfn.XLOOKUP($AB124,'Cas 2013-2017'!$K:$K,'Cas 2013-2017'!$E:$E,""),"")</f>
        <v/>
      </c>
      <c r="X124" t="str">
        <f>IFERROR(_xlfn.XLOOKUP($AB124,'Cas 2013-2017'!$K:$K,'Cas 2013-2017'!$F:$F,""),"")</f>
        <v/>
      </c>
      <c r="Y124" t="str">
        <f>IFERROR(_xlfn.XLOOKUP($AB124,'Cas 2013-2017'!$K:$K,'Cas 2013-2017'!$G:$G,""),"")</f>
        <v/>
      </c>
      <c r="Z124" t="str">
        <f>IFERROR(_xlfn.XLOOKUP($AB124,'Cas 2013-2017'!$K:$K,'Cas 2013-2017'!$I:$I,""),"")</f>
        <v/>
      </c>
      <c r="AA124" t="str">
        <f>IFERROR(_xlfn.XLOOKUP($AB124,'Cas 2013-2017'!$K:$K,'Cas 2013-2017'!$H:$H,""),"")</f>
        <v/>
      </c>
      <c r="AB124" t="str">
        <f>LOWER($A124 &amp; "|" &amp; $AF124)</f>
        <v>2015|faux-croup</v>
      </c>
      <c r="AC124" t="str">
        <f>TRIM(SUBSTITUTE(SUBSTITUTE(SUBSTITUTE(SUBSTITUTE(" " &amp; LOWER(TRIM(IF($N124&lt;&gt;"", $N124, $H124))) &amp; " ", " aomi ", " arteriopathie des membres inferieurs "), " hta ", " hypertension arterielle "), " saos ", " syndrome d'apnees obstructives du sommeil "), " rgo ", " reflux gastro-oesophagien ") )</f>
        <v>faux-croup</v>
      </c>
      <c r="AD124" t="str">
        <f>TRIM(SUBSTITUTE(SUBSTITUTE(SUBSTITUTE(SUBSTITUTE(" " &amp; LOWER(TRIM($AC124)) &amp; " ", " oacr ", " occlusion de l'artere centrale de la retine "), " hsd ", " hematome sous-dural "), " fa ", " fibrillation auriculaire "), " ep ", " embolie pulmonaire ") )</f>
        <v>faux-croup</v>
      </c>
      <c r="AE124" t="str" cm="1">
        <f t="array" ref="AE124">_xlfn.LET(_xlpm.base, " " &amp; LOWER(TRIM($AD124))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faux-croup</v>
      </c>
      <c r="AF124" t="str" cm="1">
        <f t="array" ref="AF124">_xlfn.LET(_xlpm.base, " " &amp; LOWER(TRIM($AE124))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faux-croup</v>
      </c>
    </row>
    <row r="125" spans="1:32" ht="33.75">
      <c r="A125" s="8">
        <v>2015</v>
      </c>
      <c r="B125" s="10" t="s">
        <v>82</v>
      </c>
      <c r="C125" s="8" t="s">
        <v>33</v>
      </c>
      <c r="D125" s="20">
        <v>13</v>
      </c>
      <c r="E125" s="11" t="str">
        <f>IF(D125="","",IFERROR(INDEX(SSP!$E$2:$E$266, MATCH(D125, SSP!$F$2:$F$266, 0)),""))</f>
        <v>Décès non naturel</v>
      </c>
      <c r="F125" s="11" t="str">
        <f>Feuil1!E125</f>
        <v>Décès infantile</v>
      </c>
      <c r="G125" s="12" t="s">
        <v>83</v>
      </c>
      <c r="H125" s="13" t="s">
        <v>508</v>
      </c>
      <c r="I125" s="13"/>
      <c r="J125" s="15" t="s">
        <v>509</v>
      </c>
      <c r="K125" s="9" t="s">
        <v>510</v>
      </c>
      <c r="L125" s="9" t="s">
        <v>33</v>
      </c>
      <c r="M125" s="9" t="s">
        <v>33</v>
      </c>
      <c r="N125" t="s">
        <v>508</v>
      </c>
      <c r="O125" t="str">
        <f>IFERROR(_xlfn.XLOOKUP($D125, SSP!$F:$F, SSP!$E:$E, "Inconnu"), "")</f>
        <v>Décès non naturel</v>
      </c>
      <c r="P125" t="str">
        <f>IF(OR(E125="", O125=""), "", IF(LOWER(E125)=LOWER(O125), "OK", "⚠️ Libellé ≠ n°"))</f>
        <v>OK</v>
      </c>
      <c r="Q125" t="str">
        <f>IF(Feuil1!$E125="", "", IF(LOWER(Feuil1!$E125)=LOWER(E125), "Identique", "Différent"))</f>
        <v>Différent</v>
      </c>
      <c r="R125" t="str">
        <f>IF(OR(P125="⚠️ Libellé ≠ n°", O125="Inconnu"), "⚠️", IF(Q125="Différent", "ℹ️", ""))</f>
        <v>ℹ️</v>
      </c>
      <c r="S125" t="str" cm="1">
        <f t="array" ref="S125">_xlfn.LET(_xlpm.genCat,IFERROR(LOWER(TRIM(G125)),""),_xlpm.principal,IFERROR(LOWER(TRIM(H125)),""),_xlpm.orig,IFERROR(LOWER(TRIM(N125)),""),IF(OR(_xlpm.genCat="",_xlpm.principal=""),"",IF(LEFT(LOWER(G125),5)="autre","OK (Autre)",IF(OR(ISNUMBER(SEARCH(_xlpm.genCat,_xlpm.principal)),ISNUMBER(SEARCH(_xlpm.principal,_xlpm.genCat)),AND(_xlpm.orig&lt;&gt;"",OR(ISNUMBER(SEARCH(_xlpm.genCat,_xlpm.orig)),ISNUMBER(SEARCH(_xlpm.orig,_xlpm.genCat))))),"OK","⚠️ À vérifier"))))</f>
        <v>OK (Autre)</v>
      </c>
      <c r="T125" t="str">
        <f>IF(S125="","",IF(S125="OK (Autre)","Diagnostic générique = 'Autre – …'",IF(S125="OK","Concordance générique/principal","Écart entre générique et principal")))</f>
        <v>Diagnostic générique = 'Autre – …'</v>
      </c>
      <c r="U125" t="str" cm="1">
        <f t="array" ref="U125">_xlfn.LET(_xlpm.yr, A125, _xlpm.diag, IF(N125&lt;&gt;"", N125, H125), _xlpm.base, TRIM(SUBSTITUTE(SUBSTITUTE(SUBSTITUTE(SUBSTITUTE(_xlpm.diag,"•"," "),CHAR(160)," "),CHAR(10)," "),"  "," ")), LOWER(_xlpm.yr&amp;"|"&amp;_xlpm.base))</f>
        <v>2015|sids (sudden infant death syndrome)</v>
      </c>
      <c r="V125" t="str">
        <f>IFERROR(_xlfn.XLOOKUP($AB125,'Cas 2013-2017'!$K:$K,'Cas 2013-2017'!$D:$D,""),"")</f>
        <v/>
      </c>
      <c r="W125" t="str">
        <f>IFERROR(_xlfn.XLOOKUP($AB125,'Cas 2013-2017'!$K:$K,'Cas 2013-2017'!$E:$E,""),"")</f>
        <v/>
      </c>
      <c r="X125" t="str">
        <f>IFERROR(_xlfn.XLOOKUP($AB125,'Cas 2013-2017'!$K:$K,'Cas 2013-2017'!$F:$F,""),"")</f>
        <v/>
      </c>
      <c r="Y125" t="str">
        <f>IFERROR(_xlfn.XLOOKUP($AB125,'Cas 2013-2017'!$K:$K,'Cas 2013-2017'!$G:$G,""),"")</f>
        <v/>
      </c>
      <c r="Z125" t="str">
        <f>IFERROR(_xlfn.XLOOKUP($AB125,'Cas 2013-2017'!$K:$K,'Cas 2013-2017'!$I:$I,""),"")</f>
        <v/>
      </c>
      <c r="AA125" t="str">
        <f>IFERROR(_xlfn.XLOOKUP($AB125,'Cas 2013-2017'!$K:$K,'Cas 2013-2017'!$H:$H,""),"")</f>
        <v/>
      </c>
      <c r="AB125" t="str">
        <f>LOWER($A125 &amp; "|" &amp; $AF125)</f>
        <v>2015|sids (sudden infant death syndrome)</v>
      </c>
      <c r="AC125" t="str">
        <f>TRIM(SUBSTITUTE(SUBSTITUTE(SUBSTITUTE(SUBSTITUTE(" " &amp; LOWER(TRIM(IF($N125&lt;&gt;"", $N125, $H125))) &amp; " ", " aomi ", " arteriopathie des membres inferieurs "), " hta ", " hypertension arterielle "), " saos ", " syndrome d'apnees obstructives du sommeil "), " rgo ", " reflux gastro-oesophagien ") )</f>
        <v>sids (sudden infant death syndrome)</v>
      </c>
      <c r="AD125" t="str">
        <f>TRIM(SUBSTITUTE(SUBSTITUTE(SUBSTITUTE(SUBSTITUTE(" " &amp; LOWER(TRIM($AC125)) &amp; " ", " oacr ", " occlusion de l'artere centrale de la retine "), " hsd ", " hematome sous-dural "), " fa ", " fibrillation auriculaire "), " ep ", " embolie pulmonaire ") )</f>
        <v>sids (sudden infant death syndrome)</v>
      </c>
      <c r="AE125" t="str" cm="1">
        <f t="array" ref="AE125">_xlfn.LET(_xlpm.base, " " &amp; LOWER(TRIM($AD125))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sids (sudden infant death syndrome)</v>
      </c>
      <c r="AF125" t="str" cm="1">
        <f t="array" ref="AF125">_xlfn.LET(_xlpm.base, " " &amp; LOWER(TRIM($AE125))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sids (sudden infant death syndrome)</v>
      </c>
    </row>
    <row r="126" spans="1:32" ht="50.25">
      <c r="A126" s="8">
        <v>2015</v>
      </c>
      <c r="B126" s="10" t="s">
        <v>133</v>
      </c>
      <c r="C126" s="8" t="s">
        <v>33</v>
      </c>
      <c r="D126" s="20">
        <v>46</v>
      </c>
      <c r="E126" s="11" t="str">
        <f>IF(D126="","",IFERROR(INDEX(SSP!$E$2:$E$266, MATCH(D126, SSP!$F$2:$F$266, 0)),""))</f>
        <v>Dyspnée</v>
      </c>
      <c r="F126" s="11" t="str">
        <f>Feuil1!E126</f>
        <v>Dyspnée</v>
      </c>
      <c r="G126" s="12" t="s">
        <v>271</v>
      </c>
      <c r="H126" s="13" t="s">
        <v>511</v>
      </c>
      <c r="I126" s="13"/>
      <c r="J126" s="15" t="s">
        <v>512</v>
      </c>
      <c r="K126" s="9" t="s">
        <v>513</v>
      </c>
      <c r="L126" s="9" t="s">
        <v>33</v>
      </c>
      <c r="M126" s="9" t="s">
        <v>33</v>
      </c>
      <c r="N126" t="s">
        <v>271</v>
      </c>
      <c r="O126" t="str">
        <f>IFERROR(_xlfn.XLOOKUP($D126, SSP!$F:$F, SSP!$E:$E, "Inconnu"), "")</f>
        <v>Dyspnée</v>
      </c>
      <c r="P126" t="str">
        <f>IF(OR(E126="", O126=""), "", IF(LOWER(E126)=LOWER(O126), "OK", "⚠️ Libellé ≠ n°"))</f>
        <v>OK</v>
      </c>
      <c r="Q126" t="str">
        <f>IF(Feuil1!$E126="", "", IF(LOWER(Feuil1!$E126)=LOWER(E126), "Identique", "Différent"))</f>
        <v>Identique</v>
      </c>
      <c r="R126" t="str">
        <f>IF(OR(P126="⚠️ Libellé ≠ n°", O126="Inconnu"), "⚠️", IF(Q126="Différent", "ℹ️", ""))</f>
        <v/>
      </c>
      <c r="S126" t="str" cm="1">
        <f t="array" ref="S126">_xlfn.LET(_xlpm.genCat,IFERROR(LOWER(TRIM(G126)),""),_xlpm.principal,IFERROR(LOWER(TRIM(H126)),""),_xlpm.orig,IFERROR(LOWER(TRIM(N126)),""),IF(OR(_xlpm.genCat="",_xlpm.principal=""),"",IF(LEFT(LOWER(G126),5)="autre","OK (Autre)",IF(OR(ISNUMBER(SEARCH(_xlpm.genCat,_xlpm.principal)),ISNUMBER(SEARCH(_xlpm.principal,_xlpm.genCat)),AND(_xlpm.orig&lt;&gt;"",OR(ISNUMBER(SEARCH(_xlpm.genCat,_xlpm.orig)),ISNUMBER(SEARCH(_xlpm.orig,_xlpm.genCat))))),"OK","⚠️ À vérifier"))))</f>
        <v>OK</v>
      </c>
      <c r="T126" t="str">
        <f>IF(S126="","",IF(S126="OK (Autre)","Diagnostic générique = 'Autre – …'",IF(S126="OK","Concordance générique/principal","Écart entre générique et principal")))</f>
        <v>Concordance générique/principal</v>
      </c>
      <c r="U126" t="str" cm="1">
        <f t="array" ref="U126">_xlfn.LET(_xlpm.yr, A126, _xlpm.diag, IF(N126&lt;&gt;"", N126, H126), _xlpm.base, TRIM(SUBSTITUTE(SUBSTITUTE(SUBSTITUTE(SUBSTITUTE(_xlpm.diag,"•"," "),CHAR(160)," "),CHAR(10)," "),"  "," ")), LOWER(_xlpm.yr&amp;"|"&amp;_xlpm.base))</f>
        <v>2015|bpco</v>
      </c>
      <c r="V126" t="str">
        <f>IFERROR(_xlfn.XLOOKUP($AB126,'Cas 2013-2017'!$K:$K,'Cas 2013-2017'!$D:$D,""),"")</f>
        <v/>
      </c>
      <c r="W126" t="str">
        <f>IFERROR(_xlfn.XLOOKUP($AB126,'Cas 2013-2017'!$K:$K,'Cas 2013-2017'!$E:$E,""),"")</f>
        <v/>
      </c>
      <c r="X126" t="str">
        <f>IFERROR(_xlfn.XLOOKUP($AB126,'Cas 2013-2017'!$K:$K,'Cas 2013-2017'!$F:$F,""),"")</f>
        <v/>
      </c>
      <c r="Y126" t="str">
        <f>IFERROR(_xlfn.XLOOKUP($AB126,'Cas 2013-2017'!$K:$K,'Cas 2013-2017'!$G:$G,""),"")</f>
        <v/>
      </c>
      <c r="Z126" t="str">
        <f>IFERROR(_xlfn.XLOOKUP($AB126,'Cas 2013-2017'!$K:$K,'Cas 2013-2017'!$I:$I,""),"")</f>
        <v/>
      </c>
      <c r="AA126" t="str">
        <f>IFERROR(_xlfn.XLOOKUP($AB126,'Cas 2013-2017'!$K:$K,'Cas 2013-2017'!$H:$H,""),"")</f>
        <v/>
      </c>
      <c r="AB126" t="str">
        <f>LOWER($A126 &amp; "|" &amp; $AF126)</f>
        <v>2015|bronchopneumopathie chronique obstructive</v>
      </c>
      <c r="AC126" t="str">
        <f>TRIM(SUBSTITUTE(SUBSTITUTE(SUBSTITUTE(SUBSTITUTE(" " &amp; LOWER(TRIM(IF($N126&lt;&gt;"", $N126, $H126))) &amp; " ", " aomi ", " arteriopathie des membres inferieurs "), " hta ", " hypertension arterielle "), " saos ", " syndrome d'apnees obstructives du sommeil "), " rgo ", " reflux gastro-oesophagien ") )</f>
        <v>bpco</v>
      </c>
      <c r="AD126" t="str">
        <f>TRIM(SUBSTITUTE(SUBSTITUTE(SUBSTITUTE(SUBSTITUTE(" " &amp; LOWER(TRIM($AC126)) &amp; " ", " oacr ", " occlusion de l'artere centrale de la retine "), " hsd ", " hematome sous-dural "), " fa ", " fibrillation auriculaire "), " ep ", " embolie pulmonaire ") )</f>
        <v>bpco</v>
      </c>
      <c r="AE126" t="str" cm="1">
        <f t="array" ref="AE126">_xlfn.LET(_xlpm.base, " " &amp; LOWER(TRIM($AD126))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bronchopneumopathie chronique obstructive</v>
      </c>
      <c r="AF126" t="str" cm="1">
        <f t="array" ref="AF126">_xlfn.LET(_xlpm.base, " " &amp; LOWER(TRIM($AE126))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bronchopneumopathie chronique obstructive</v>
      </c>
    </row>
    <row r="127" spans="1:32" ht="33.75">
      <c r="A127" s="8">
        <v>2015</v>
      </c>
      <c r="B127" s="10" t="s">
        <v>133</v>
      </c>
      <c r="C127" s="8" t="s">
        <v>33</v>
      </c>
      <c r="D127" s="20">
        <v>6</v>
      </c>
      <c r="E127" s="11" t="str">
        <f>IF(D127="","",IFERROR(INDEX(SSP!$E$2:$E$266, MATCH(D127, SSP!$F$2:$F$266, 0)),""))</f>
        <v>Fièvre, frissons, hyperthermie</v>
      </c>
      <c r="F127" s="11" t="str">
        <f>Feuil1!E127</f>
        <v>Fièvre</v>
      </c>
      <c r="G127" s="12" t="s">
        <v>137</v>
      </c>
      <c r="H127" s="13" t="s">
        <v>514</v>
      </c>
      <c r="I127" s="13"/>
      <c r="J127" s="15" t="s">
        <v>515</v>
      </c>
      <c r="K127" s="9" t="s">
        <v>516</v>
      </c>
      <c r="L127" s="9" t="s">
        <v>33</v>
      </c>
      <c r="M127" s="9" t="s">
        <v>33</v>
      </c>
      <c r="N127" t="s">
        <v>514</v>
      </c>
      <c r="O127" t="str">
        <f>IFERROR(_xlfn.XLOOKUP($D127, SSP!$F:$F, SSP!$E:$E, "Inconnu"), "")</f>
        <v>Fièvre, frissons, hyperthermie</v>
      </c>
      <c r="P127" t="str">
        <f>IF(OR(E127="", O127=""), "", IF(LOWER(E127)=LOWER(O127), "OK", "⚠️ Libellé ≠ n°"))</f>
        <v>OK</v>
      </c>
      <c r="Q127" t="str">
        <f>IF(Feuil1!$E127="", "", IF(LOWER(Feuil1!$E127)=LOWER(E127), "Identique", "Différent"))</f>
        <v>Différent</v>
      </c>
      <c r="R127" t="str">
        <f>IF(OR(P127="⚠️ Libellé ≠ n°", O127="Inconnu"), "⚠️", IF(Q127="Différent", "ℹ️", ""))</f>
        <v>ℹ️</v>
      </c>
      <c r="S127" t="str" cm="1">
        <f t="array" ref="S127">_xlfn.LET(_xlpm.genCat,IFERROR(LOWER(TRIM(G127)),""),_xlpm.principal,IFERROR(LOWER(TRIM(H127)),""),_xlpm.orig,IFERROR(LOWER(TRIM(N127)),""),IF(OR(_xlpm.genCat="",_xlpm.principal=""),"",IF(LEFT(LOWER(G127),5)="autre","OK (Autre)",IF(OR(ISNUMBER(SEARCH(_xlpm.genCat,_xlpm.principal)),ISNUMBER(SEARCH(_xlpm.principal,_xlpm.genCat)),AND(_xlpm.orig&lt;&gt;"",OR(ISNUMBER(SEARCH(_xlpm.genCat,_xlpm.orig)),ISNUMBER(SEARCH(_xlpm.orig,_xlpm.genCat))))),"OK","⚠️ À vérifier"))))</f>
        <v>OK (Autre)</v>
      </c>
      <c r="T127" t="str">
        <f>IF(S127="","",IF(S127="OK (Autre)","Diagnostic générique = 'Autre – …'",IF(S127="OK","Concordance générique/principal","Écart entre générique et principal")))</f>
        <v>Diagnostic générique = 'Autre – …'</v>
      </c>
      <c r="U127" t="str" cm="1">
        <f t="array" ref="U127">_xlfn.LET(_xlpm.yr, A127, _xlpm.diag, IF(N127&lt;&gt;"", N127, H127), _xlpm.base, TRIM(SUBSTITUTE(SUBSTITUTE(SUBSTITUTE(SUBSTITUTE(_xlpm.diag,"•"," "),CHAR(160)," "),CHAR(10)," "),"  "," ")), LOWER(_xlpm.yr&amp;"|"&amp;_xlpm.base))</f>
        <v>2015|grippe</v>
      </c>
      <c r="V127" t="str">
        <f>IFERROR(_xlfn.XLOOKUP($AB127,'Cas 2013-2017'!$K:$K,'Cas 2013-2017'!$D:$D,""),"")</f>
        <v/>
      </c>
      <c r="W127" t="str">
        <f>IFERROR(_xlfn.XLOOKUP($AB127,'Cas 2013-2017'!$K:$K,'Cas 2013-2017'!$E:$E,""),"")</f>
        <v/>
      </c>
      <c r="X127" t="str">
        <f>IFERROR(_xlfn.XLOOKUP($AB127,'Cas 2013-2017'!$K:$K,'Cas 2013-2017'!$F:$F,""),"")</f>
        <v/>
      </c>
      <c r="Y127" t="str">
        <f>IFERROR(_xlfn.XLOOKUP($AB127,'Cas 2013-2017'!$K:$K,'Cas 2013-2017'!$G:$G,""),"")</f>
        <v/>
      </c>
      <c r="Z127" t="str">
        <f>IFERROR(_xlfn.XLOOKUP($AB127,'Cas 2013-2017'!$K:$K,'Cas 2013-2017'!$I:$I,""),"")</f>
        <v/>
      </c>
      <c r="AA127" t="str">
        <f>IFERROR(_xlfn.XLOOKUP($AB127,'Cas 2013-2017'!$K:$K,'Cas 2013-2017'!$H:$H,""),"")</f>
        <v/>
      </c>
      <c r="AB127" t="str">
        <f>LOWER($A127 &amp; "|" &amp; $AF127)</f>
        <v>2015|grippe</v>
      </c>
      <c r="AC127" t="str">
        <f>TRIM(SUBSTITUTE(SUBSTITUTE(SUBSTITUTE(SUBSTITUTE(" " &amp; LOWER(TRIM(IF($N127&lt;&gt;"", $N127, $H127))) &amp; " ", " aomi ", " arteriopathie des membres inferieurs "), " hta ", " hypertension arterielle "), " saos ", " syndrome d'apnees obstructives du sommeil "), " rgo ", " reflux gastro-oesophagien ") )</f>
        <v>grippe</v>
      </c>
      <c r="AD127" t="str">
        <f>TRIM(SUBSTITUTE(SUBSTITUTE(SUBSTITUTE(SUBSTITUTE(" " &amp; LOWER(TRIM($AC127)) &amp; " ", " oacr ", " occlusion de l'artere centrale de la retine "), " hsd ", " hematome sous-dural "), " fa ", " fibrillation auriculaire "), " ep ", " embolie pulmonaire ") )</f>
        <v>grippe</v>
      </c>
      <c r="AE127" t="str" cm="1">
        <f t="array" ref="AE127">_xlfn.LET(_xlpm.base, " " &amp; LOWER(TRIM($AD127))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grippe</v>
      </c>
      <c r="AF127" t="str" cm="1">
        <f t="array" ref="AF127">_xlfn.LET(_xlpm.base, " " &amp; LOWER(TRIM($AE127))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grippe</v>
      </c>
    </row>
    <row r="128" spans="1:32" ht="50.25">
      <c r="A128" s="8">
        <v>2015</v>
      </c>
      <c r="B128" s="10" t="s">
        <v>141</v>
      </c>
      <c r="C128" s="8" t="s">
        <v>33</v>
      </c>
      <c r="D128" s="20">
        <v>121</v>
      </c>
      <c r="E128" s="11" t="str">
        <f>IF(D128="","",IFERROR(INDEX(SSP!$E$2:$E$266, MATCH(D128, SSP!$F$2:$F$266, 0)),""))</f>
        <v>Trouble du comportement alimentaire</v>
      </c>
      <c r="F128" s="11" t="str">
        <f>Feuil1!E128</f>
        <v>TCA</v>
      </c>
      <c r="G128" s="12" t="s">
        <v>517</v>
      </c>
      <c r="H128" s="13" t="s">
        <v>518</v>
      </c>
      <c r="I128" s="13"/>
      <c r="J128" s="15" t="s">
        <v>519</v>
      </c>
      <c r="K128" s="9" t="s">
        <v>33</v>
      </c>
      <c r="L128" s="9" t="s">
        <v>33</v>
      </c>
      <c r="M128" s="9" t="s">
        <v>33</v>
      </c>
      <c r="N128" t="s">
        <v>518</v>
      </c>
      <c r="O128" t="str">
        <f>IFERROR(_xlfn.XLOOKUP($D128, SSP!$F:$F, SSP!$E:$E, "Inconnu"), "")</f>
        <v>Trouble du comportement alimentaire</v>
      </c>
      <c r="P128" t="str">
        <f>IF(OR(E128="", O128=""), "", IF(LOWER(E128)=LOWER(O128), "OK", "⚠️ Libellé ≠ n°"))</f>
        <v>OK</v>
      </c>
      <c r="Q128" t="str">
        <f>IF(Feuil1!$E128="", "", IF(LOWER(Feuil1!$E128)=LOWER(E128), "Identique", "Différent"))</f>
        <v>Différent</v>
      </c>
      <c r="R128" t="str">
        <f>IF(OR(P128="⚠️ Libellé ≠ n°", O128="Inconnu"), "⚠️", IF(Q128="Différent", "ℹ️", ""))</f>
        <v>ℹ️</v>
      </c>
      <c r="S128" t="str" cm="1">
        <f t="array" ref="S128">_xlfn.LET(_xlpm.genCat,IFERROR(LOWER(TRIM(G128)),""),_xlpm.principal,IFERROR(LOWER(TRIM(H128)),""),_xlpm.orig,IFERROR(LOWER(TRIM(N128)),""),IF(OR(_xlpm.genCat="",_xlpm.principal=""),"",IF(LEFT(LOWER(G128),5)="autre","OK (Autre)",IF(OR(ISNUMBER(SEARCH(_xlpm.genCat,_xlpm.principal)),ISNUMBER(SEARCH(_xlpm.principal,_xlpm.genCat)),AND(_xlpm.orig&lt;&gt;"",OR(ISNUMBER(SEARCH(_xlpm.genCat,_xlpm.orig)),ISNUMBER(SEARCH(_xlpm.orig,_xlpm.genCat))))),"OK","⚠️ À vérifier"))))</f>
        <v>⚠️ À vérifier</v>
      </c>
      <c r="T128" t="str">
        <f>IF(S128="","",IF(S128="OK (Autre)","Diagnostic générique = 'Autre – …'",IF(S128="OK","Concordance générique/principal","Écart entre générique et principal")))</f>
        <v>Écart entre générique et principal</v>
      </c>
      <c r="U128" t="str" cm="1">
        <f t="array" ref="U128">_xlfn.LET(_xlpm.yr, A128, _xlpm.diag, IF(N128&lt;&gt;"", N128, H128), _xlpm.base, TRIM(SUBSTITUTE(SUBSTITUTE(SUBSTITUTE(SUBSTITUTE(_xlpm.diag,"•"," "),CHAR(160)," "),CHAR(10)," "),"  "," ")), LOWER(_xlpm.yr&amp;"|"&amp;_xlpm.base))</f>
        <v>2015|tca : boulimie</v>
      </c>
      <c r="V128" t="str">
        <f>IFERROR(_xlfn.XLOOKUP($AB128,'Cas 2013-2017'!$K:$K,'Cas 2013-2017'!$D:$D,""),"")</f>
        <v/>
      </c>
      <c r="W128" t="str">
        <f>IFERROR(_xlfn.XLOOKUP($AB128,'Cas 2013-2017'!$K:$K,'Cas 2013-2017'!$E:$E,""),"")</f>
        <v/>
      </c>
      <c r="X128" t="str">
        <f>IFERROR(_xlfn.XLOOKUP($AB128,'Cas 2013-2017'!$K:$K,'Cas 2013-2017'!$F:$F,""),"")</f>
        <v/>
      </c>
      <c r="Y128" t="str">
        <f>IFERROR(_xlfn.XLOOKUP($AB128,'Cas 2013-2017'!$K:$K,'Cas 2013-2017'!$G:$G,""),"")</f>
        <v/>
      </c>
      <c r="Z128" t="str">
        <f>IFERROR(_xlfn.XLOOKUP($AB128,'Cas 2013-2017'!$K:$K,'Cas 2013-2017'!$I:$I,""),"")</f>
        <v/>
      </c>
      <c r="AA128" t="str">
        <f>IFERROR(_xlfn.XLOOKUP($AB128,'Cas 2013-2017'!$K:$K,'Cas 2013-2017'!$H:$H,""),"")</f>
        <v/>
      </c>
      <c r="AB128" t="str">
        <f>LOWER($A128 &amp; "|" &amp; $AF128)</f>
        <v>2015|tca : boulimie</v>
      </c>
      <c r="AC128" t="str">
        <f>TRIM(SUBSTITUTE(SUBSTITUTE(SUBSTITUTE(SUBSTITUTE(" " &amp; LOWER(TRIM(IF($N128&lt;&gt;"", $N128, $H128))) &amp; " ", " aomi ", " arteriopathie des membres inferieurs "), " hta ", " hypertension arterielle "), " saos ", " syndrome d'apnees obstructives du sommeil "), " rgo ", " reflux gastro-oesophagien ") )</f>
        <v>tca : boulimie</v>
      </c>
      <c r="AD128" t="str">
        <f>TRIM(SUBSTITUTE(SUBSTITUTE(SUBSTITUTE(SUBSTITUTE(" " &amp; LOWER(TRIM($AC128)) &amp; " ", " oacr ", " occlusion de l'artere centrale de la retine "), " hsd ", " hematome sous-dural "), " fa ", " fibrillation auriculaire "), " ep ", " embolie pulmonaire ") )</f>
        <v>tca : boulimie</v>
      </c>
      <c r="AE128" t="str" cm="1">
        <f t="array" ref="AE128">_xlfn.LET(_xlpm.base, " " &amp; LOWER(TRIM($AD128))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tca : boulimie</v>
      </c>
      <c r="AF128" t="str" cm="1">
        <f t="array" ref="AF128">_xlfn.LET(_xlpm.base, " " &amp; LOWER(TRIM($AE128))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tca : boulimie</v>
      </c>
    </row>
    <row r="129" spans="1:32" ht="33.75">
      <c r="A129" s="8">
        <v>2015</v>
      </c>
      <c r="B129" s="10" t="s">
        <v>60</v>
      </c>
      <c r="C129" s="8" t="s">
        <v>352</v>
      </c>
      <c r="D129" s="20">
        <v>119</v>
      </c>
      <c r="E129" s="11" t="str">
        <f>IF(D129="","",IFERROR(INDEX(SSP!$E$2:$E$266, MATCH(D129, SSP!$F$2:$F$266, 0)),""))</f>
        <v>Trouble du déficit de l’attention</v>
      </c>
      <c r="F129" s="11" t="str">
        <f>Feuil1!E129</f>
        <v>Trouble de la vigilance</v>
      </c>
      <c r="G129" s="12" t="s">
        <v>520</v>
      </c>
      <c r="H129" s="13" t="s">
        <v>520</v>
      </c>
      <c r="I129" s="13"/>
      <c r="J129" s="15" t="s">
        <v>521</v>
      </c>
      <c r="K129" s="9" t="s">
        <v>33</v>
      </c>
      <c r="L129" s="9" t="s">
        <v>33</v>
      </c>
      <c r="M129" s="9" t="s">
        <v>33</v>
      </c>
      <c r="N129" t="s">
        <v>520</v>
      </c>
      <c r="O129" t="str">
        <f>IFERROR(_xlfn.XLOOKUP($D129, SSP!$F:$F, SSP!$E:$E, "Inconnu"), "")</f>
        <v>Trouble du déficit de l’attention</v>
      </c>
      <c r="P129" t="str">
        <f>IF(OR(E129="", O129=""), "", IF(LOWER(E129)=LOWER(O129), "OK", "⚠️ Libellé ≠ n°"))</f>
        <v>OK</v>
      </c>
      <c r="Q129" t="str">
        <f>IF(Feuil1!$E129="", "", IF(LOWER(Feuil1!$E129)=LOWER(E129), "Identique", "Différent"))</f>
        <v>Différent</v>
      </c>
      <c r="R129" t="str">
        <f>IF(OR(P129="⚠️ Libellé ≠ n°", O129="Inconnu"), "⚠️", IF(Q129="Différent", "ℹ️", ""))</f>
        <v>ℹ️</v>
      </c>
      <c r="S129" t="str" cm="1">
        <f t="array" ref="S129">_xlfn.LET(_xlpm.genCat,IFERROR(LOWER(TRIM(G129)),""),_xlpm.principal,IFERROR(LOWER(TRIM(H129)),""),_xlpm.orig,IFERROR(LOWER(TRIM(N129)),""),IF(OR(_xlpm.genCat="",_xlpm.principal=""),"",IF(LEFT(LOWER(G129),5)="autre","OK (Autre)",IF(OR(ISNUMBER(SEARCH(_xlpm.genCat,_xlpm.principal)),ISNUMBER(SEARCH(_xlpm.principal,_xlpm.genCat)),AND(_xlpm.orig&lt;&gt;"",OR(ISNUMBER(SEARCH(_xlpm.genCat,_xlpm.orig)),ISNUMBER(SEARCH(_xlpm.orig,_xlpm.genCat))))),"OK","⚠️ À vérifier"))))</f>
        <v>OK</v>
      </c>
      <c r="T129" t="str">
        <f>IF(S129="","",IF(S129="OK (Autre)","Diagnostic générique = 'Autre – …'",IF(S129="OK","Concordance générique/principal","Écart entre générique et principal")))</f>
        <v>Concordance générique/principal</v>
      </c>
      <c r="U129" t="str" cm="1">
        <f t="array" ref="U129">_xlfn.LET(_xlpm.yr, A129, _xlpm.diag, IF(N129&lt;&gt;"", N129, H129), _xlpm.base, TRIM(SUBSTITUTE(SUBSTITUTE(SUBSTITUTE(SUBSTITUTE(_xlpm.diag,"•"," "),CHAR(160)," "),CHAR(10)," "),"  "," ")), LOWER(_xlpm.yr&amp;"|"&amp;_xlpm.base))</f>
        <v>2015|hypoglycémie</v>
      </c>
      <c r="V129" t="str">
        <f>IFERROR(_xlfn.XLOOKUP($AB129,'Cas 2013-2017'!$K:$K,'Cas 2013-2017'!$D:$D,""),"")</f>
        <v/>
      </c>
      <c r="W129" t="str">
        <f>IFERROR(_xlfn.XLOOKUP($AB129,'Cas 2013-2017'!$K:$K,'Cas 2013-2017'!$E:$E,""),"")</f>
        <v/>
      </c>
      <c r="X129" t="str">
        <f>IFERROR(_xlfn.XLOOKUP($AB129,'Cas 2013-2017'!$K:$K,'Cas 2013-2017'!$F:$F,""),"")</f>
        <v/>
      </c>
      <c r="Y129" t="str">
        <f>IFERROR(_xlfn.XLOOKUP($AB129,'Cas 2013-2017'!$K:$K,'Cas 2013-2017'!$G:$G,""),"")</f>
        <v/>
      </c>
      <c r="Z129" t="str">
        <f>IFERROR(_xlfn.XLOOKUP($AB129,'Cas 2013-2017'!$K:$K,'Cas 2013-2017'!$I:$I,""),"")</f>
        <v/>
      </c>
      <c r="AA129" t="str">
        <f>IFERROR(_xlfn.XLOOKUP($AB129,'Cas 2013-2017'!$K:$K,'Cas 2013-2017'!$H:$H,""),"")</f>
        <v/>
      </c>
      <c r="AB129" t="str">
        <f>LOWER($A129 &amp; "|" &amp; $AF129)</f>
        <v>2015|hypoglycémie</v>
      </c>
      <c r="AC129" t="str">
        <f>TRIM(SUBSTITUTE(SUBSTITUTE(SUBSTITUTE(SUBSTITUTE(" " &amp; LOWER(TRIM(IF($N129&lt;&gt;"", $N129, $H129))) &amp; " ", " aomi ", " arteriopathie des membres inferieurs "), " hta ", " hypertension arterielle "), " saos ", " syndrome d'apnees obstructives du sommeil "), " rgo ", " reflux gastro-oesophagien ") )</f>
        <v>hypoglycémie</v>
      </c>
      <c r="AD129" t="str">
        <f>TRIM(SUBSTITUTE(SUBSTITUTE(SUBSTITUTE(SUBSTITUTE(" " &amp; LOWER(TRIM($AC129)) &amp; " ", " oacr ", " occlusion de l'artere centrale de la retine "), " hsd ", " hematome sous-dural "), " fa ", " fibrillation auriculaire "), " ep ", " embolie pulmonaire ") )</f>
        <v>hypoglycémie</v>
      </c>
      <c r="AE129" t="str" cm="1">
        <f t="array" ref="AE129">_xlfn.LET(_xlpm.base, " " &amp; LOWER(TRIM($AD129))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hypoglycémie</v>
      </c>
      <c r="AF129" t="str" cm="1">
        <f t="array" ref="AF129">_xlfn.LET(_xlpm.base, " " &amp; LOWER(TRIM($AE129))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hypoglycémie</v>
      </c>
    </row>
    <row r="130" spans="1:32" ht="33.75">
      <c r="A130" s="8">
        <v>2015</v>
      </c>
      <c r="B130" s="10" t="s">
        <v>91</v>
      </c>
      <c r="C130" s="8" t="s">
        <v>33</v>
      </c>
      <c r="D130" s="20">
        <v>64</v>
      </c>
      <c r="E130" s="11" t="str">
        <f>IF(D130="","",IFERROR(INDEX(SSP!$E$2:$E$266, MATCH(D130, SSP!$F$2:$F$266, 0)),""))</f>
        <v>Dysurie, pyurie, hématurie</v>
      </c>
      <c r="F130" s="11" t="str">
        <f>Feuil1!E130</f>
        <v>Dysurie</v>
      </c>
      <c r="G130" s="12" t="s">
        <v>92</v>
      </c>
      <c r="H130" s="13" t="s">
        <v>522</v>
      </c>
      <c r="I130" s="13"/>
      <c r="J130" s="15" t="s">
        <v>523</v>
      </c>
      <c r="K130" s="9" t="s">
        <v>33</v>
      </c>
      <c r="L130" s="9" t="s">
        <v>33</v>
      </c>
      <c r="M130" s="9" t="s">
        <v>33</v>
      </c>
      <c r="N130" t="s">
        <v>524</v>
      </c>
      <c r="O130" t="str">
        <f>IFERROR(_xlfn.XLOOKUP($D130, SSP!$F:$F, SSP!$E:$E, "Inconnu"), "")</f>
        <v>Dysurie, pyurie, hématurie</v>
      </c>
      <c r="P130" t="str">
        <f>IF(OR(E130="", O130=""), "", IF(LOWER(E130)=LOWER(O130), "OK", "⚠️ Libellé ≠ n°"))</f>
        <v>OK</v>
      </c>
      <c r="Q130" t="str">
        <f>IF(Feuil1!$E130="", "", IF(LOWER(Feuil1!$E130)=LOWER(E130), "Identique", "Différent"))</f>
        <v>Différent</v>
      </c>
      <c r="R130" t="str">
        <f>IF(OR(P130="⚠️ Libellé ≠ n°", O130="Inconnu"), "⚠️", IF(Q130="Différent", "ℹ️", ""))</f>
        <v>ℹ️</v>
      </c>
      <c r="S130" t="str" cm="1">
        <f t="array" ref="S130">_xlfn.LET(_xlpm.genCat,IFERROR(LOWER(TRIM(G130)),""),_xlpm.principal,IFERROR(LOWER(TRIM(H130)),""),_xlpm.orig,IFERROR(LOWER(TRIM(N130)),""),IF(OR(_xlpm.genCat="",_xlpm.principal=""),"",IF(LEFT(LOWER(G130),5)="autre","OK (Autre)",IF(OR(ISNUMBER(SEARCH(_xlpm.genCat,_xlpm.principal)),ISNUMBER(SEARCH(_xlpm.principal,_xlpm.genCat)),AND(_xlpm.orig&lt;&gt;"",OR(ISNUMBER(SEARCH(_xlpm.genCat,_xlpm.orig)),ISNUMBER(SEARCH(_xlpm.orig,_xlpm.genCat))))),"OK","⚠️ À vérifier"))))</f>
        <v>OK</v>
      </c>
      <c r="T130" t="str">
        <f>IF(S130="","",IF(S130="OK (Autre)","Diagnostic générique = 'Autre – …'",IF(S130="OK","Concordance générique/principal","Écart entre générique et principal")))</f>
        <v>Concordance générique/principal</v>
      </c>
      <c r="U130" t="str" cm="1">
        <f t="array" ref="U130">_xlfn.LET(_xlpm.yr, A130, _xlpm.diag, IF(N130&lt;&gt;"", N130, H130), _xlpm.base, TRIM(SUBSTITUTE(SUBSTITUTE(SUBSTITUTE(SUBSTITUTE(_xlpm.diag,"•"," "),CHAR(160)," "),CHAR(10)," "),"  "," ")), LOWER(_xlpm.yr&amp;"|"&amp;_xlpm.base))</f>
        <v>2015|infection sexuellement transmissible (ist).</v>
      </c>
      <c r="V130" t="str">
        <f>IFERROR(_xlfn.XLOOKUP($AB130,'Cas 2013-2017'!$K:$K,'Cas 2013-2017'!$D:$D,""),"")</f>
        <v/>
      </c>
      <c r="W130" t="str">
        <f>IFERROR(_xlfn.XLOOKUP($AB130,'Cas 2013-2017'!$K:$K,'Cas 2013-2017'!$E:$E,""),"")</f>
        <v/>
      </c>
      <c r="X130" t="str">
        <f>IFERROR(_xlfn.XLOOKUP($AB130,'Cas 2013-2017'!$K:$K,'Cas 2013-2017'!$F:$F,""),"")</f>
        <v/>
      </c>
      <c r="Y130" t="str">
        <f>IFERROR(_xlfn.XLOOKUP($AB130,'Cas 2013-2017'!$K:$K,'Cas 2013-2017'!$G:$G,""),"")</f>
        <v/>
      </c>
      <c r="Z130" t="str">
        <f>IFERROR(_xlfn.XLOOKUP($AB130,'Cas 2013-2017'!$K:$K,'Cas 2013-2017'!$I:$I,""),"")</f>
        <v/>
      </c>
      <c r="AA130" t="str">
        <f>IFERROR(_xlfn.XLOOKUP($AB130,'Cas 2013-2017'!$K:$K,'Cas 2013-2017'!$H:$H,""),"")</f>
        <v/>
      </c>
      <c r="AB130" t="str">
        <f>LOWER($A130 &amp; "|" &amp; $AF130)</f>
        <v>2015|infection sexuellement transmissible (ist).</v>
      </c>
      <c r="AC130" t="str">
        <f>TRIM(SUBSTITUTE(SUBSTITUTE(SUBSTITUTE(SUBSTITUTE(" " &amp; LOWER(TRIM(IF($N130&lt;&gt;"", $N130, $H130))) &amp; " ", " aomi ", " arteriopathie des membres inferieurs "), " hta ", " hypertension arterielle "), " saos ", " syndrome d'apnees obstructives du sommeil "), " rgo ", " reflux gastro-oesophagien ") )</f>
        <v>infection sexuellement transmissible (ist).</v>
      </c>
      <c r="AD130" t="str">
        <f>TRIM(SUBSTITUTE(SUBSTITUTE(SUBSTITUTE(SUBSTITUTE(" " &amp; LOWER(TRIM($AC130)) &amp; " ", " oacr ", " occlusion de l'artere centrale de la retine "), " hsd ", " hematome sous-dural "), " fa ", " fibrillation auriculaire "), " ep ", " embolie pulmonaire ") )</f>
        <v>infection sexuellement transmissible (ist).</v>
      </c>
      <c r="AE130" t="str" cm="1">
        <f t="array" ref="AE130">_xlfn.LET(_xlpm.base, " " &amp; LOWER(TRIM($AD130))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infection sexuellement transmissible (ist).</v>
      </c>
      <c r="AF130" t="str" cm="1">
        <f t="array" ref="AF130">_xlfn.LET(_xlpm.base, " " &amp; LOWER(TRIM($AE130))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infection sexuellement transmissible (ist).</v>
      </c>
    </row>
    <row r="131" spans="1:32" ht="33.75">
      <c r="A131" s="8">
        <v>2016</v>
      </c>
      <c r="B131" s="10" t="s">
        <v>32</v>
      </c>
      <c r="C131" s="8" t="s">
        <v>33</v>
      </c>
      <c r="D131" s="20">
        <v>46</v>
      </c>
      <c r="E131" s="11" t="str">
        <f>IF(D131="","",IFERROR(INDEX(SSP!$E$2:$E$266, MATCH(D131, SSP!$F$2:$F$266, 0)),""))</f>
        <v>Dyspnée</v>
      </c>
      <c r="F131" s="11" t="str">
        <f>Feuil1!E131</f>
        <v>Dyspnée</v>
      </c>
      <c r="G131" s="12" t="s">
        <v>170</v>
      </c>
      <c r="H131" s="13" t="s">
        <v>525</v>
      </c>
      <c r="I131" s="13"/>
      <c r="J131" s="15" t="s">
        <v>526</v>
      </c>
      <c r="K131" s="9" t="s">
        <v>527</v>
      </c>
      <c r="L131" s="9" t="s">
        <v>33</v>
      </c>
      <c r="M131" s="9" t="s">
        <v>33</v>
      </c>
      <c r="N131" t="s">
        <v>525</v>
      </c>
      <c r="O131" t="str">
        <f>IFERROR(_xlfn.XLOOKUP($D131, SSP!$F:$F, SSP!$E:$E, "Inconnu"), "")</f>
        <v>Dyspnée</v>
      </c>
      <c r="P131" t="str">
        <f>IF(OR(E131="", O131=""), "", IF(LOWER(E131)=LOWER(O131), "OK", "⚠️ Libellé ≠ n°"))</f>
        <v>OK</v>
      </c>
      <c r="Q131" t="str">
        <f>IF(Feuil1!$E131="", "", IF(LOWER(Feuil1!$E131)=LOWER(E131), "Identique", "Différent"))</f>
        <v>Identique</v>
      </c>
      <c r="R131" t="str">
        <f>IF(OR(P131="⚠️ Libellé ≠ n°", O131="Inconnu"), "⚠️", IF(Q131="Différent", "ℹ️", ""))</f>
        <v/>
      </c>
      <c r="S131" t="str" cm="1">
        <f t="array" ref="S131">_xlfn.LET(_xlpm.genCat,IFERROR(LOWER(TRIM(G131)),""),_xlpm.principal,IFERROR(LOWER(TRIM(H131)),""),_xlpm.orig,IFERROR(LOWER(TRIM(N131)),""),IF(OR(_xlpm.genCat="",_xlpm.principal=""),"",IF(LEFT(LOWER(G131),5)="autre","OK (Autre)",IF(OR(ISNUMBER(SEARCH(_xlpm.genCat,_xlpm.principal)),ISNUMBER(SEARCH(_xlpm.principal,_xlpm.genCat)),AND(_xlpm.orig&lt;&gt;"",OR(ISNUMBER(SEARCH(_xlpm.genCat,_xlpm.orig)),ISNUMBER(SEARCH(_xlpm.orig,_xlpm.genCat))))),"OK","⚠️ À vérifier"))))</f>
        <v>⚠️ À vérifier</v>
      </c>
      <c r="T131" t="str">
        <f>IF(S131="","",IF(S131="OK (Autre)","Diagnostic générique = 'Autre – …'",IF(S131="OK","Concordance générique/principal","Écart entre générique et principal")))</f>
        <v>Écart entre générique et principal</v>
      </c>
      <c r="U131" t="str" cm="1">
        <f t="array" ref="U131">_xlfn.LET(_xlpm.yr, A131, _xlpm.diag, IF(N131&lt;&gt;"", N131, H131), _xlpm.base, TRIM(SUBSTITUTE(SUBSTITUTE(SUBSTITUTE(SUBSTITUTE(_xlpm.diag,"•"," "),CHAR(160)," "),CHAR(10)," "),"  "," ")), LOWER(_xlpm.yr&amp;"|"&amp;_xlpm.base))</f>
        <v>2016|décompensation cardiaque</v>
      </c>
      <c r="V131" t="str">
        <f>IFERROR(_xlfn.XLOOKUP($AB131,'Cas 2013-2017'!$K:$K,'Cas 2013-2017'!$D:$D,""),"")</f>
        <v/>
      </c>
      <c r="W131" t="str">
        <f>IFERROR(_xlfn.XLOOKUP($AB131,'Cas 2013-2017'!$K:$K,'Cas 2013-2017'!$E:$E,""),"")</f>
        <v/>
      </c>
      <c r="X131" t="str">
        <f>IFERROR(_xlfn.XLOOKUP($AB131,'Cas 2013-2017'!$K:$K,'Cas 2013-2017'!$F:$F,""),"")</f>
        <v/>
      </c>
      <c r="Y131" t="str">
        <f>IFERROR(_xlfn.XLOOKUP($AB131,'Cas 2013-2017'!$K:$K,'Cas 2013-2017'!$G:$G,""),"")</f>
        <v/>
      </c>
      <c r="Z131" t="str">
        <f>IFERROR(_xlfn.XLOOKUP($AB131,'Cas 2013-2017'!$K:$K,'Cas 2013-2017'!$I:$I,""),"")</f>
        <v/>
      </c>
      <c r="AA131" t="str">
        <f>IFERROR(_xlfn.XLOOKUP($AB131,'Cas 2013-2017'!$K:$K,'Cas 2013-2017'!$H:$H,""),"")</f>
        <v/>
      </c>
      <c r="AB131" t="str">
        <f>LOWER($A131 &amp; "|" &amp; $AF131)</f>
        <v>2016|décompensation cardiaque</v>
      </c>
      <c r="AC131" t="str">
        <f>TRIM(SUBSTITUTE(SUBSTITUTE(SUBSTITUTE(SUBSTITUTE(" " &amp; LOWER(TRIM(IF($N131&lt;&gt;"", $N131, $H131))) &amp; " ", " aomi ", " arteriopathie des membres inferieurs "), " hta ", " hypertension arterielle "), " saos ", " syndrome d'apnees obstructives du sommeil "), " rgo ", " reflux gastro-oesophagien ") )</f>
        <v>décompensation cardiaque</v>
      </c>
      <c r="AD131" t="str">
        <f>TRIM(SUBSTITUTE(SUBSTITUTE(SUBSTITUTE(SUBSTITUTE(" " &amp; LOWER(TRIM($AC131)) &amp; " ", " oacr ", " occlusion de l'artere centrale de la retine "), " hsd ", " hematome sous-dural "), " fa ", " fibrillation auriculaire "), " ep ", " embolie pulmonaire ") )</f>
        <v>décompensation cardiaque</v>
      </c>
      <c r="AE131" t="str" cm="1">
        <f t="array" ref="AE131">_xlfn.LET(_xlpm.base, " " &amp; LOWER(TRIM($AD131))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décompensation cardiaque</v>
      </c>
      <c r="AF131" t="str" cm="1">
        <f t="array" ref="AF131">_xlfn.LET(_xlpm.base, " " &amp; LOWER(TRIM($AE131))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décompensation cardiaque</v>
      </c>
    </row>
    <row r="132" spans="1:32" ht="33.75">
      <c r="A132" s="8">
        <v>2016</v>
      </c>
      <c r="B132" s="10" t="s">
        <v>32</v>
      </c>
      <c r="C132" s="8" t="s">
        <v>33</v>
      </c>
      <c r="D132" s="20">
        <v>52</v>
      </c>
      <c r="E132" s="11" t="str">
        <f>IF(D132="","",IFERROR(INDEX(SSP!$E$2:$E$266, MATCH(D132, SSP!$F$2:$F$266, 0)),""))</f>
        <v>Douleur abdominale ou épigastrique</v>
      </c>
      <c r="F132" s="11" t="str">
        <f>Feuil1!E132</f>
        <v>Douleur abdominale</v>
      </c>
      <c r="G132" s="12" t="s">
        <v>166</v>
      </c>
      <c r="H132" s="13" t="s">
        <v>528</v>
      </c>
      <c r="I132" s="13"/>
      <c r="J132" s="15" t="s">
        <v>529</v>
      </c>
      <c r="K132" s="9" t="s">
        <v>530</v>
      </c>
      <c r="L132" s="9" t="s">
        <v>33</v>
      </c>
      <c r="M132" s="9" t="s">
        <v>33</v>
      </c>
      <c r="N132" t="s">
        <v>528</v>
      </c>
      <c r="O132" t="str">
        <f>IFERROR(_xlfn.XLOOKUP($D132, SSP!$F:$F, SSP!$E:$E, "Inconnu"), "")</f>
        <v>Douleur abdominale ou épigastrique</v>
      </c>
      <c r="P132" t="str">
        <f>IF(OR(E132="", O132=""), "", IF(LOWER(E132)=LOWER(O132), "OK", "⚠️ Libellé ≠ n°"))</f>
        <v>OK</v>
      </c>
      <c r="Q132" t="str">
        <f>IF(Feuil1!$E132="", "", IF(LOWER(Feuil1!$E132)=LOWER(E132), "Identique", "Différent"))</f>
        <v>Différent</v>
      </c>
      <c r="R132" t="str">
        <f>IF(OR(P132="⚠️ Libellé ≠ n°", O132="Inconnu"), "⚠️", IF(Q132="Différent", "ℹ️", ""))</f>
        <v>ℹ️</v>
      </c>
      <c r="S132" t="str" cm="1">
        <f t="array" ref="S132">_xlfn.LET(_xlpm.genCat,IFERROR(LOWER(TRIM(G132)),""),_xlpm.principal,IFERROR(LOWER(TRIM(H132)),""),_xlpm.orig,IFERROR(LOWER(TRIM(N132)),""),IF(OR(_xlpm.genCat="",_xlpm.principal=""),"",IF(LEFT(LOWER(G132),5)="autre","OK (Autre)",IF(OR(ISNUMBER(SEARCH(_xlpm.genCat,_xlpm.principal)),ISNUMBER(SEARCH(_xlpm.principal,_xlpm.genCat)),AND(_xlpm.orig&lt;&gt;"",OR(ISNUMBER(SEARCH(_xlpm.genCat,_xlpm.orig)),ISNUMBER(SEARCH(_xlpm.orig,_xlpm.genCat))))),"OK","⚠️ À vérifier"))))</f>
        <v>⚠️ À vérifier</v>
      </c>
      <c r="T132" t="str">
        <f>IF(S132="","",IF(S132="OK (Autre)","Diagnostic générique = 'Autre – …'",IF(S132="OK","Concordance générique/principal","Écart entre générique et principal")))</f>
        <v>Écart entre générique et principal</v>
      </c>
      <c r="U132" t="str" cm="1">
        <f t="array" ref="U132">_xlfn.LET(_xlpm.yr, A132, _xlpm.diag, IF(N132&lt;&gt;"", N132, H132), _xlpm.base, TRIM(SUBSTITUTE(SUBSTITUTE(SUBSTITUTE(SUBSTITUTE(_xlpm.diag,"•"," "),CHAR(160)," "),CHAR(10)," "),"  "," ")), LOWER(_xlpm.yr&amp;"|"&amp;_xlpm.base))</f>
        <v>2016|infarctus du myocarde inférieur</v>
      </c>
      <c r="V132" t="str">
        <f>IFERROR(_xlfn.XLOOKUP($AB132,'Cas 2013-2017'!$K:$K,'Cas 2013-2017'!$D:$D,""),"")</f>
        <v/>
      </c>
      <c r="W132" t="str">
        <f>IFERROR(_xlfn.XLOOKUP($AB132,'Cas 2013-2017'!$K:$K,'Cas 2013-2017'!$E:$E,""),"")</f>
        <v/>
      </c>
      <c r="X132" t="str">
        <f>IFERROR(_xlfn.XLOOKUP($AB132,'Cas 2013-2017'!$K:$K,'Cas 2013-2017'!$F:$F,""),"")</f>
        <v/>
      </c>
      <c r="Y132" t="str">
        <f>IFERROR(_xlfn.XLOOKUP($AB132,'Cas 2013-2017'!$K:$K,'Cas 2013-2017'!$G:$G,""),"")</f>
        <v/>
      </c>
      <c r="Z132" t="str">
        <f>IFERROR(_xlfn.XLOOKUP($AB132,'Cas 2013-2017'!$K:$K,'Cas 2013-2017'!$I:$I,""),"")</f>
        <v/>
      </c>
      <c r="AA132" t="str">
        <f>IFERROR(_xlfn.XLOOKUP($AB132,'Cas 2013-2017'!$K:$K,'Cas 2013-2017'!$H:$H,""),"")</f>
        <v/>
      </c>
      <c r="AB132" t="str">
        <f>LOWER($A132 &amp; "|" &amp; $AF132)</f>
        <v>2016|infarctus du myocarde inférieur</v>
      </c>
      <c r="AC132" t="str">
        <f>TRIM(SUBSTITUTE(SUBSTITUTE(SUBSTITUTE(SUBSTITUTE(" " &amp; LOWER(TRIM(IF($N132&lt;&gt;"", $N132, $H132))) &amp; " ", " aomi ", " arteriopathie des membres inferieurs "), " hta ", " hypertension arterielle "), " saos ", " syndrome d'apnees obstructives du sommeil "), " rgo ", " reflux gastro-oesophagien ") )</f>
        <v>infarctus du myocarde inférieur</v>
      </c>
      <c r="AD132" t="str">
        <f>TRIM(SUBSTITUTE(SUBSTITUTE(SUBSTITUTE(SUBSTITUTE(" " &amp; LOWER(TRIM($AC132)) &amp; " ", " oacr ", " occlusion de l'artere centrale de la retine "), " hsd ", " hematome sous-dural "), " fa ", " fibrillation auriculaire "), " ep ", " embolie pulmonaire ") )</f>
        <v>infarctus du myocarde inférieur</v>
      </c>
      <c r="AE132" t="str" cm="1">
        <f t="array" ref="AE132">_xlfn.LET(_xlpm.base, " " &amp; LOWER(TRIM($AD132))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infarctus du myocarde inférieur</v>
      </c>
      <c r="AF132" t="str" cm="1">
        <f t="array" ref="AF132">_xlfn.LET(_xlpm.base, " " &amp; LOWER(TRIM($AE132))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infarctus du myocarde inférieur</v>
      </c>
    </row>
    <row r="133" spans="1:32" ht="50.25">
      <c r="A133" s="8">
        <v>2016</v>
      </c>
      <c r="B133" s="10" t="s">
        <v>32</v>
      </c>
      <c r="C133" s="8" t="s">
        <v>33</v>
      </c>
      <c r="D133" s="20">
        <v>50</v>
      </c>
      <c r="E133" s="11" t="str">
        <f>IF(D133="","",IFERROR(INDEX(SSP!$E$2:$E$266, MATCH(D133, SSP!$F$2:$F$266, 0)),""))</f>
        <v>Palpitations</v>
      </c>
      <c r="F133" s="11" t="str">
        <f>Feuil1!E133</f>
        <v>Palpitations</v>
      </c>
      <c r="G133" s="12" t="s">
        <v>428</v>
      </c>
      <c r="H133" s="13" t="s">
        <v>531</v>
      </c>
      <c r="I133" s="13"/>
      <c r="J133" s="15" t="s">
        <v>532</v>
      </c>
      <c r="K133" s="9" t="s">
        <v>533</v>
      </c>
      <c r="L133" s="9" t="s">
        <v>33</v>
      </c>
      <c r="M133" s="9" t="s">
        <v>33</v>
      </c>
      <c r="N133" t="s">
        <v>531</v>
      </c>
      <c r="O133" t="str">
        <f>IFERROR(_xlfn.XLOOKUP($D133, SSP!$F:$F, SSP!$E:$E, "Inconnu"), "")</f>
        <v>Palpitations</v>
      </c>
      <c r="P133" t="str">
        <f>IF(OR(E133="", O133=""), "", IF(LOWER(E133)=LOWER(O133), "OK", "⚠️ Libellé ≠ n°"))</f>
        <v>OK</v>
      </c>
      <c r="Q133" t="str">
        <f>IF(Feuil1!$E133="", "", IF(LOWER(Feuil1!$E133)=LOWER(E133), "Identique", "Différent"))</f>
        <v>Identique</v>
      </c>
      <c r="R133" t="str">
        <f>IF(OR(P133="⚠️ Libellé ≠ n°", O133="Inconnu"), "⚠️", IF(Q133="Différent", "ℹ️", ""))</f>
        <v/>
      </c>
      <c r="S133" t="str" cm="1">
        <f t="array" ref="S133">_xlfn.LET(_xlpm.genCat,IFERROR(LOWER(TRIM(G133)),""),_xlpm.principal,IFERROR(LOWER(TRIM(H133)),""),_xlpm.orig,IFERROR(LOWER(TRIM(N133)),""),IF(OR(_xlpm.genCat="",_xlpm.principal=""),"",IF(LEFT(LOWER(G133),5)="autre","OK (Autre)",IF(OR(ISNUMBER(SEARCH(_xlpm.genCat,_xlpm.principal)),ISNUMBER(SEARCH(_xlpm.principal,_xlpm.genCat)),AND(_xlpm.orig&lt;&gt;"",OR(ISNUMBER(SEARCH(_xlpm.genCat,_xlpm.orig)),ISNUMBER(SEARCH(_xlpm.orig,_xlpm.genCat))))),"OK","⚠️ À vérifier"))))</f>
        <v>⚠️ À vérifier</v>
      </c>
      <c r="T133" t="str">
        <f>IF(S133="","",IF(S133="OK (Autre)","Diagnostic générique = 'Autre – …'",IF(S133="OK","Concordance générique/principal","Écart entre générique et principal")))</f>
        <v>Écart entre générique et principal</v>
      </c>
      <c r="U133" t="str" cm="1">
        <f t="array" ref="U133">_xlfn.LET(_xlpm.yr, A133, _xlpm.diag, IF(N133&lt;&gt;"", N133, H133), _xlpm.base, TRIM(SUBSTITUTE(SUBSTITUTE(SUBSTITUTE(SUBSTITUTE(_xlpm.diag,"•"," "),CHAR(160)," "),CHAR(10)," "),"  "," ")), LOWER(_xlpm.yr&amp;"|"&amp;_xlpm.base))</f>
        <v>2016|tachycardie supraventriculaire (tsv)</v>
      </c>
      <c r="V133" t="str">
        <f>IFERROR(_xlfn.XLOOKUP($AB133,'Cas 2013-2017'!$K:$K,'Cas 2013-2017'!$D:$D,""),"")</f>
        <v/>
      </c>
      <c r="W133" t="str">
        <f>IFERROR(_xlfn.XLOOKUP($AB133,'Cas 2013-2017'!$K:$K,'Cas 2013-2017'!$E:$E,""),"")</f>
        <v/>
      </c>
      <c r="X133" t="str">
        <f>IFERROR(_xlfn.XLOOKUP($AB133,'Cas 2013-2017'!$K:$K,'Cas 2013-2017'!$F:$F,""),"")</f>
        <v/>
      </c>
      <c r="Y133" t="str">
        <f>IFERROR(_xlfn.XLOOKUP($AB133,'Cas 2013-2017'!$K:$K,'Cas 2013-2017'!$G:$G,""),"")</f>
        <v/>
      </c>
      <c r="Z133" t="str">
        <f>IFERROR(_xlfn.XLOOKUP($AB133,'Cas 2013-2017'!$K:$K,'Cas 2013-2017'!$I:$I,""),"")</f>
        <v/>
      </c>
      <c r="AA133" t="str">
        <f>IFERROR(_xlfn.XLOOKUP($AB133,'Cas 2013-2017'!$K:$K,'Cas 2013-2017'!$H:$H,""),"")</f>
        <v/>
      </c>
      <c r="AB133" t="str">
        <f>LOWER($A133 &amp; "|" &amp; $AF133)</f>
        <v>2016|tachycardie supraventriculaire (tsv)</v>
      </c>
      <c r="AC133" t="str">
        <f>TRIM(SUBSTITUTE(SUBSTITUTE(SUBSTITUTE(SUBSTITUTE(" " &amp; LOWER(TRIM(IF($N133&lt;&gt;"", $N133, $H133))) &amp; " ", " aomi ", " arteriopathie des membres inferieurs "), " hta ", " hypertension arterielle "), " saos ", " syndrome d'apnees obstructives du sommeil "), " rgo ", " reflux gastro-oesophagien ") )</f>
        <v>tachycardie supraventriculaire (tsv)</v>
      </c>
      <c r="AD133" t="str">
        <f>TRIM(SUBSTITUTE(SUBSTITUTE(SUBSTITUTE(SUBSTITUTE(" " &amp; LOWER(TRIM($AC133)) &amp; " ", " oacr ", " occlusion de l'artere centrale de la retine "), " hsd ", " hematome sous-dural "), " fa ", " fibrillation auriculaire "), " ep ", " embolie pulmonaire ") )</f>
        <v>tachycardie supraventriculaire (tsv)</v>
      </c>
      <c r="AE133" t="str" cm="1">
        <f t="array" ref="AE133">_xlfn.LET(_xlpm.base, " " &amp; LOWER(TRIM($AD133))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tachycardie supraventriculaire (tsv)</v>
      </c>
      <c r="AF133" t="str" cm="1">
        <f t="array" ref="AF133">_xlfn.LET(_xlpm.base, " " &amp; LOWER(TRIM($AE133))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tachycardie supraventriculaire (tsv)</v>
      </c>
    </row>
    <row r="134" spans="1:32" ht="50.25">
      <c r="A134" s="8">
        <v>2016</v>
      </c>
      <c r="B134" s="10" t="s">
        <v>64</v>
      </c>
      <c r="C134" s="8" t="s">
        <v>33</v>
      </c>
      <c r="D134" s="20">
        <v>25</v>
      </c>
      <c r="E134" s="11" t="str">
        <f>IF(D134="","",IFERROR(INDEX(SSP!$E$2:$E$266, MATCH(D134, SSP!$F$2:$F$266, 0)),""))</f>
        <v>Sécheresse, douleur, masse buccale ou pharyngée, lésions orales</v>
      </c>
      <c r="F134" s="11" t="str">
        <f>Feuil1!E134</f>
        <v>Lésions cutanées</v>
      </c>
      <c r="G134" s="12" t="s">
        <v>65</v>
      </c>
      <c r="H134" s="13" t="s">
        <v>534</v>
      </c>
      <c r="I134" s="13"/>
      <c r="J134" s="15" t="s">
        <v>535</v>
      </c>
      <c r="K134" s="9" t="s">
        <v>536</v>
      </c>
      <c r="L134" s="9" t="s">
        <v>33</v>
      </c>
      <c r="M134" s="9" t="s">
        <v>33</v>
      </c>
      <c r="N134" t="s">
        <v>537</v>
      </c>
      <c r="O134" t="str">
        <f>IFERROR(_xlfn.XLOOKUP($D134, SSP!$F:$F, SSP!$E:$E, "Inconnu"), "")</f>
        <v>Sécheresse, douleur, masse buccale ou pharyngée, lésions orales</v>
      </c>
      <c r="P134" t="str">
        <f>IF(OR(E134="", O134=""), "", IF(LOWER(E134)=LOWER(O134), "OK", "⚠️ Libellé ≠ n°"))</f>
        <v>OK</v>
      </c>
      <c r="Q134" t="str">
        <f>IF(Feuil1!$E134="", "", IF(LOWER(Feuil1!$E134)=LOWER(E134), "Identique", "Différent"))</f>
        <v>Différent</v>
      </c>
      <c r="R134" t="str">
        <f>IF(OR(P134="⚠️ Libellé ≠ n°", O134="Inconnu"), "⚠️", IF(Q134="Différent", "ℹ️", ""))</f>
        <v>ℹ️</v>
      </c>
      <c r="S134" t="str" cm="1">
        <f t="array" ref="S134">_xlfn.LET(_xlpm.genCat,IFERROR(LOWER(TRIM(G134)),""),_xlpm.principal,IFERROR(LOWER(TRIM(H134)),""),_xlpm.orig,IFERROR(LOWER(TRIM(N134)),""),IF(OR(_xlpm.genCat="",_xlpm.principal=""),"",IF(LEFT(LOWER(G134),5)="autre","OK (Autre)",IF(OR(ISNUMBER(SEARCH(_xlpm.genCat,_xlpm.principal)),ISNUMBER(SEARCH(_xlpm.principal,_xlpm.genCat)),AND(_xlpm.orig&lt;&gt;"",OR(ISNUMBER(SEARCH(_xlpm.genCat,_xlpm.orig)),ISNUMBER(SEARCH(_xlpm.orig,_xlpm.genCat))))),"OK","⚠️ À vérifier"))))</f>
        <v>⚠️ À vérifier</v>
      </c>
      <c r="T134" t="str">
        <f>IF(S134="","",IF(S134="OK (Autre)","Diagnostic générique = 'Autre – …'",IF(S134="OK","Concordance générique/principal","Écart entre générique et principal")))</f>
        <v>Écart entre générique et principal</v>
      </c>
      <c r="U134" t="str" cm="1">
        <f t="array" ref="U134">_xlfn.LET(_xlpm.yr, A134, _xlpm.diag, IF(N134&lt;&gt;"", N134, H134), _xlpm.base, TRIM(SUBSTITUTE(SUBSTITUTE(SUBSTITUTE(SUBSTITUTE(_xlpm.diag,"•"," "),CHAR(160)," "),CHAR(10)," "),"  "," ")), LOWER(_xlpm.yr&amp;"|"&amp;_xlpm.base))</f>
        <v>2016|sarcome de kaposi (hiv+)</v>
      </c>
      <c r="V134" t="str">
        <f>IFERROR(_xlfn.XLOOKUP($AB134,'Cas 2013-2017'!$K:$K,'Cas 2013-2017'!$D:$D,""),"")</f>
        <v/>
      </c>
      <c r="W134" t="str">
        <f>IFERROR(_xlfn.XLOOKUP($AB134,'Cas 2013-2017'!$K:$K,'Cas 2013-2017'!$E:$E,""),"")</f>
        <v/>
      </c>
      <c r="X134" t="str">
        <f>IFERROR(_xlfn.XLOOKUP($AB134,'Cas 2013-2017'!$K:$K,'Cas 2013-2017'!$F:$F,""),"")</f>
        <v/>
      </c>
      <c r="Y134" t="str">
        <f>IFERROR(_xlfn.XLOOKUP($AB134,'Cas 2013-2017'!$K:$K,'Cas 2013-2017'!$G:$G,""),"")</f>
        <v/>
      </c>
      <c r="Z134" t="str">
        <f>IFERROR(_xlfn.XLOOKUP($AB134,'Cas 2013-2017'!$K:$K,'Cas 2013-2017'!$I:$I,""),"")</f>
        <v/>
      </c>
      <c r="AA134" t="str">
        <f>IFERROR(_xlfn.XLOOKUP($AB134,'Cas 2013-2017'!$K:$K,'Cas 2013-2017'!$H:$H,""),"")</f>
        <v/>
      </c>
      <c r="AB134" t="str">
        <f>LOWER($A134 &amp; "|" &amp; $AF134)</f>
        <v>2016|sarcome de kaposi (hiv+)</v>
      </c>
      <c r="AC134" t="str">
        <f>TRIM(SUBSTITUTE(SUBSTITUTE(SUBSTITUTE(SUBSTITUTE(" " &amp; LOWER(TRIM(IF($N134&lt;&gt;"", $N134, $H134))) &amp; " ", " aomi ", " arteriopathie des membres inferieurs "), " hta ", " hypertension arterielle "), " saos ", " syndrome d'apnees obstructives du sommeil "), " rgo ", " reflux gastro-oesophagien ") )</f>
        <v>sarcome de kaposi (hiv+)</v>
      </c>
      <c r="AD134" t="str">
        <f>TRIM(SUBSTITUTE(SUBSTITUTE(SUBSTITUTE(SUBSTITUTE(" " &amp; LOWER(TRIM($AC134)) &amp; " ", " oacr ", " occlusion de l'artere centrale de la retine "), " hsd ", " hematome sous-dural "), " fa ", " fibrillation auriculaire "), " ep ", " embolie pulmonaire ") )</f>
        <v>sarcome de kaposi (hiv+)</v>
      </c>
      <c r="AE134" t="str" cm="1">
        <f t="array" ref="AE134">_xlfn.LET(_xlpm.base, " " &amp; LOWER(TRIM($AD134))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sarcome de kaposi (hiv+)</v>
      </c>
      <c r="AF134" t="str" cm="1">
        <f t="array" ref="AF134">_xlfn.LET(_xlpm.base, " " &amp; LOWER(TRIM($AE134))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sarcome de kaposi (hiv+)</v>
      </c>
    </row>
    <row r="135" spans="1:32" ht="50.25">
      <c r="A135" s="8">
        <v>2016</v>
      </c>
      <c r="B135" s="10" t="s">
        <v>51</v>
      </c>
      <c r="C135" s="8" t="s">
        <v>33</v>
      </c>
      <c r="D135" s="20">
        <v>93</v>
      </c>
      <c r="E135" s="11" t="str">
        <f>IF(D135="","",IFERROR(INDEX(SSP!$E$2:$E$266, MATCH(D135, SSP!$F$2:$F$266, 0)),""))</f>
        <v>Macules, papules, pustules, vésicules, ulcères, abcès, bulles, épaississement cutané, nécrose, tumeur cutanée</v>
      </c>
      <c r="F135" s="11" t="str">
        <f>Feuil1!E135</f>
        <v>Éruption cutanée</v>
      </c>
      <c r="G135" s="12" t="s">
        <v>538</v>
      </c>
      <c r="H135" s="13" t="s">
        <v>539</v>
      </c>
      <c r="I135" s="13"/>
      <c r="J135" s="15" t="s">
        <v>540</v>
      </c>
      <c r="K135" s="9" t="s">
        <v>541</v>
      </c>
      <c r="L135" s="9" t="s">
        <v>33</v>
      </c>
      <c r="M135" s="9" t="s">
        <v>33</v>
      </c>
      <c r="N135" t="s">
        <v>539</v>
      </c>
      <c r="O135" t="str">
        <f>IFERROR(_xlfn.XLOOKUP($D135, SSP!$F:$F, SSP!$E:$E, "Inconnu"), "")</f>
        <v>Macules, papules, pustules, vésicules, ulcères, abcès, bulles, épaississement cutané, nécrose, tumeur cutanée</v>
      </c>
      <c r="P135" t="str">
        <f>IF(OR(E135="", O135=""), "", IF(LOWER(E135)=LOWER(O135), "OK", "⚠️ Libellé ≠ n°"))</f>
        <v>OK</v>
      </c>
      <c r="Q135" t="str">
        <f>IF(Feuil1!$E135="", "", IF(LOWER(Feuil1!$E135)=LOWER(E135), "Identique", "Différent"))</f>
        <v>Différent</v>
      </c>
      <c r="R135" t="str">
        <f>IF(OR(P135="⚠️ Libellé ≠ n°", O135="Inconnu"), "⚠️", IF(Q135="Différent", "ℹ️", ""))</f>
        <v>ℹ️</v>
      </c>
      <c r="S135" t="str" cm="1">
        <f t="array" ref="S135">_xlfn.LET(_xlpm.genCat,IFERROR(LOWER(TRIM(G135)),""),_xlpm.principal,IFERROR(LOWER(TRIM(H135)),""),_xlpm.orig,IFERROR(LOWER(TRIM(N135)),""),IF(OR(_xlpm.genCat="",_xlpm.principal=""),"",IF(LEFT(LOWER(G135),5)="autre","OK (Autre)",IF(OR(ISNUMBER(SEARCH(_xlpm.genCat,_xlpm.principal)),ISNUMBER(SEARCH(_xlpm.principal,_xlpm.genCat)),AND(_xlpm.orig&lt;&gt;"",OR(ISNUMBER(SEARCH(_xlpm.genCat,_xlpm.orig)),ISNUMBER(SEARCH(_xlpm.orig,_xlpm.genCat))))),"OK","⚠️ À vérifier"))))</f>
        <v>⚠️ À vérifier</v>
      </c>
      <c r="T135" t="str">
        <f>IF(S135="","",IF(S135="OK (Autre)","Diagnostic générique = 'Autre – …'",IF(S135="OK","Concordance générique/principal","Écart entre générique et principal")))</f>
        <v>Écart entre générique et principal</v>
      </c>
      <c r="U135" t="str" cm="1">
        <f t="array" ref="U135">_xlfn.LET(_xlpm.yr, A135, _xlpm.diag, IF(N135&lt;&gt;"", N135, H135), _xlpm.base, TRIM(SUBSTITUTE(SUBSTITUTE(SUBSTITUTE(SUBSTITUTE(_xlpm.diag,"•"," "),CHAR(160)," "),CHAR(10)," "),"  "," ")), LOWER(_xlpm.yr&amp;"|"&amp;_xlpm.base))</f>
        <v>2016|syndrome de stevens-johnson</v>
      </c>
      <c r="V135" t="str">
        <f>IFERROR(_xlfn.XLOOKUP($AB135,'Cas 2013-2017'!$K:$K,'Cas 2013-2017'!$D:$D,""),"")</f>
        <v/>
      </c>
      <c r="W135" t="str">
        <f>IFERROR(_xlfn.XLOOKUP($AB135,'Cas 2013-2017'!$K:$K,'Cas 2013-2017'!$E:$E,""),"")</f>
        <v/>
      </c>
      <c r="X135" t="str">
        <f>IFERROR(_xlfn.XLOOKUP($AB135,'Cas 2013-2017'!$K:$K,'Cas 2013-2017'!$F:$F,""),"")</f>
        <v/>
      </c>
      <c r="Y135" t="str">
        <f>IFERROR(_xlfn.XLOOKUP($AB135,'Cas 2013-2017'!$K:$K,'Cas 2013-2017'!$G:$G,""),"")</f>
        <v/>
      </c>
      <c r="Z135" t="str">
        <f>IFERROR(_xlfn.XLOOKUP($AB135,'Cas 2013-2017'!$K:$K,'Cas 2013-2017'!$I:$I,""),"")</f>
        <v/>
      </c>
      <c r="AA135" t="str">
        <f>IFERROR(_xlfn.XLOOKUP($AB135,'Cas 2013-2017'!$K:$K,'Cas 2013-2017'!$H:$H,""),"")</f>
        <v/>
      </c>
      <c r="AB135" t="str">
        <f>LOWER($A135 &amp; "|" &amp; $AF135)</f>
        <v>2016|syndrome de stevens-johnson</v>
      </c>
      <c r="AC135" t="str">
        <f>TRIM(SUBSTITUTE(SUBSTITUTE(SUBSTITUTE(SUBSTITUTE(" " &amp; LOWER(TRIM(IF($N135&lt;&gt;"", $N135, $H135))) &amp; " ", " aomi ", " arteriopathie des membres inferieurs "), " hta ", " hypertension arterielle "), " saos ", " syndrome d'apnees obstructives du sommeil "), " rgo ", " reflux gastro-oesophagien ") )</f>
        <v>syndrome de stevens-johnson</v>
      </c>
      <c r="AD135" t="str">
        <f>TRIM(SUBSTITUTE(SUBSTITUTE(SUBSTITUTE(SUBSTITUTE(" " &amp; LOWER(TRIM($AC135)) &amp; " ", " oacr ", " occlusion de l'artere centrale de la retine "), " hsd ", " hematome sous-dural "), " fa ", " fibrillation auriculaire "), " ep ", " embolie pulmonaire ") )</f>
        <v>syndrome de stevens-johnson</v>
      </c>
      <c r="AE135" t="str" cm="1">
        <f t="array" ref="AE135">_xlfn.LET(_xlpm.base, " " &amp; LOWER(TRIM($AD135))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de stevens-johnson</v>
      </c>
      <c r="AF135" t="str" cm="1">
        <f t="array" ref="AF135">_xlfn.LET(_xlpm.base, " " &amp; LOWER(TRIM($AE135))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de stevens-johnson</v>
      </c>
    </row>
    <row r="136" spans="1:32" ht="33.75">
      <c r="A136" s="8">
        <v>2016</v>
      </c>
      <c r="B136" s="10" t="s">
        <v>68</v>
      </c>
      <c r="C136" s="8" t="s">
        <v>33</v>
      </c>
      <c r="D136" s="20">
        <v>90</v>
      </c>
      <c r="E136" s="11" t="str">
        <f>IF(D136="","",IFERROR(INDEX(SSP!$E$2:$E$266, MATCH(D136, SSP!$F$2:$F$266, 0)),""))</f>
        <v>Plaie infectée, retard de cicatrisation, ulcère cutané</v>
      </c>
      <c r="F136" s="11" t="str">
        <f>Feuil1!E136</f>
        <v>Plaie / Ulcère cutané</v>
      </c>
      <c r="G136" s="12" t="s">
        <v>542</v>
      </c>
      <c r="H136" s="13" t="s">
        <v>543</v>
      </c>
      <c r="I136" s="13"/>
      <c r="J136" s="15" t="s">
        <v>544</v>
      </c>
      <c r="K136" s="9" t="s">
        <v>545</v>
      </c>
      <c r="L136" s="9" t="s">
        <v>33</v>
      </c>
      <c r="M136" s="9" t="s">
        <v>33</v>
      </c>
      <c r="N136" t="s">
        <v>543</v>
      </c>
      <c r="O136" t="str">
        <f>IFERROR(_xlfn.XLOOKUP($D136, SSP!$F:$F, SSP!$E:$E, "Inconnu"), "")</f>
        <v>Plaie infectée, retard de cicatrisation, ulcère cutané</v>
      </c>
      <c r="P136" t="str">
        <f>IF(OR(E136="", O136=""), "", IF(LOWER(E136)=LOWER(O136), "OK", "⚠️ Libellé ≠ n°"))</f>
        <v>OK</v>
      </c>
      <c r="Q136" t="str">
        <f>IF(Feuil1!$E136="", "", IF(LOWER(Feuil1!$E136)=LOWER(E136), "Identique", "Différent"))</f>
        <v>Différent</v>
      </c>
      <c r="R136" t="str">
        <f>IF(OR(P136="⚠️ Libellé ≠ n°", O136="Inconnu"), "⚠️", IF(Q136="Différent", "ℹ️", ""))</f>
        <v>ℹ️</v>
      </c>
      <c r="S136" t="str" cm="1">
        <f t="array" ref="S136">_xlfn.LET(_xlpm.genCat,IFERROR(LOWER(TRIM(G136)),""),_xlpm.principal,IFERROR(LOWER(TRIM(H136)),""),_xlpm.orig,IFERROR(LOWER(TRIM(N136)),""),IF(OR(_xlpm.genCat="",_xlpm.principal=""),"",IF(LEFT(LOWER(G136),5)="autre","OK (Autre)",IF(OR(ISNUMBER(SEARCH(_xlpm.genCat,_xlpm.principal)),ISNUMBER(SEARCH(_xlpm.principal,_xlpm.genCat)),AND(_xlpm.orig&lt;&gt;"",OR(ISNUMBER(SEARCH(_xlpm.genCat,_xlpm.orig)),ISNUMBER(SEARCH(_xlpm.orig,_xlpm.genCat))))),"OK","⚠️ À vérifier"))))</f>
        <v>OK (Autre)</v>
      </c>
      <c r="T136" t="str">
        <f>IF(S136="","",IF(S136="OK (Autre)","Diagnostic générique = 'Autre – …'",IF(S136="OK","Concordance générique/principal","Écart entre générique et principal")))</f>
        <v>Diagnostic générique = 'Autre – …'</v>
      </c>
      <c r="U136" t="str" cm="1">
        <f t="array" ref="U136">_xlfn.LET(_xlpm.yr, A136, _xlpm.diag, IF(N136&lt;&gt;"", N136, H136), _xlpm.base, TRIM(SUBSTITUTE(SUBSTITUTE(SUBSTITUTE(SUBSTITUTE(_xlpm.diag,"•"," "),CHAR(160)," "),CHAR(10)," "),"  "," ")), LOWER(_xlpm.yr&amp;"|"&amp;_xlpm.base))</f>
        <v>2016|ulcère veineux</v>
      </c>
      <c r="V136" t="str">
        <f>IFERROR(_xlfn.XLOOKUP($AB136,'Cas 2013-2017'!$K:$K,'Cas 2013-2017'!$D:$D,""),"")</f>
        <v/>
      </c>
      <c r="W136" t="str">
        <f>IFERROR(_xlfn.XLOOKUP($AB136,'Cas 2013-2017'!$K:$K,'Cas 2013-2017'!$E:$E,""),"")</f>
        <v/>
      </c>
      <c r="X136" t="str">
        <f>IFERROR(_xlfn.XLOOKUP($AB136,'Cas 2013-2017'!$K:$K,'Cas 2013-2017'!$F:$F,""),"")</f>
        <v/>
      </c>
      <c r="Y136" t="str">
        <f>IFERROR(_xlfn.XLOOKUP($AB136,'Cas 2013-2017'!$K:$K,'Cas 2013-2017'!$G:$G,""),"")</f>
        <v/>
      </c>
      <c r="Z136" t="str">
        <f>IFERROR(_xlfn.XLOOKUP($AB136,'Cas 2013-2017'!$K:$K,'Cas 2013-2017'!$I:$I,""),"")</f>
        <v/>
      </c>
      <c r="AA136" t="str">
        <f>IFERROR(_xlfn.XLOOKUP($AB136,'Cas 2013-2017'!$K:$K,'Cas 2013-2017'!$H:$H,""),"")</f>
        <v/>
      </c>
      <c r="AB136" t="str">
        <f>LOWER($A136 &amp; "|" &amp; $AF136)</f>
        <v>2016|ulcère veineux</v>
      </c>
      <c r="AC136" t="str">
        <f>TRIM(SUBSTITUTE(SUBSTITUTE(SUBSTITUTE(SUBSTITUTE(" " &amp; LOWER(TRIM(IF($N136&lt;&gt;"", $N136, $H136))) &amp; " ", " aomi ", " arteriopathie des membres inferieurs "), " hta ", " hypertension arterielle "), " saos ", " syndrome d'apnees obstructives du sommeil "), " rgo ", " reflux gastro-oesophagien ") )</f>
        <v>ulcère veineux</v>
      </c>
      <c r="AD136" t="str">
        <f>TRIM(SUBSTITUTE(SUBSTITUTE(SUBSTITUTE(SUBSTITUTE(" " &amp; LOWER(TRIM($AC136)) &amp; " ", " oacr ", " occlusion de l'artere centrale de la retine "), " hsd ", " hematome sous-dural "), " fa ", " fibrillation auriculaire "), " ep ", " embolie pulmonaire ") )</f>
        <v>ulcère veineux</v>
      </c>
      <c r="AE136" t="str" cm="1">
        <f t="array" ref="AE136">_xlfn.LET(_xlpm.base, " " &amp; LOWER(TRIM($AD136))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ulcère veineux</v>
      </c>
      <c r="AF136" t="str" cm="1">
        <f t="array" ref="AF136">_xlfn.LET(_xlpm.base, " " &amp; LOWER(TRIM($AE136))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ulcère veineux</v>
      </c>
    </row>
    <row r="137" spans="1:32" ht="50.25">
      <c r="A137" s="8">
        <v>2016</v>
      </c>
      <c r="B137" s="10" t="s">
        <v>82</v>
      </c>
      <c r="C137" s="8" t="s">
        <v>55</v>
      </c>
      <c r="D137" s="20">
        <v>224</v>
      </c>
      <c r="E137" s="11" t="str">
        <f>IF(D137="","",IFERROR(INDEX(SSP!$E$2:$E$266, MATCH(D137, SSP!$F$2:$F$266, 0)),""))</f>
        <v>Demande de bilan de santé, d’examens radiologiques ou biologiques</v>
      </c>
      <c r="F137" s="11" t="str">
        <f>Feuil1!E137</f>
        <v>Bilan</v>
      </c>
      <c r="G137" s="12" t="s">
        <v>83</v>
      </c>
      <c r="H137" s="13"/>
      <c r="I137" s="13"/>
      <c r="J137" s="15" t="s">
        <v>546</v>
      </c>
      <c r="K137" s="9" t="s">
        <v>547</v>
      </c>
      <c r="L137" s="9" t="s">
        <v>33</v>
      </c>
      <c r="M137" s="9" t="s">
        <v>33</v>
      </c>
      <c r="N137" t="s">
        <v>33</v>
      </c>
      <c r="O137" t="str">
        <f>IFERROR(_xlfn.XLOOKUP($D137, SSP!$F:$F, SSP!$E:$E, "Inconnu"), "")</f>
        <v>Demande de bilan de santé, d’examens radiologiques ou biologiques</v>
      </c>
      <c r="P137" t="str">
        <f>IF(OR(E137="", O137=""), "", IF(LOWER(E137)=LOWER(O137), "OK", "⚠️ Libellé ≠ n°"))</f>
        <v>OK</v>
      </c>
      <c r="Q137" t="str">
        <f>IF(Feuil1!$E137="", "", IF(LOWER(Feuil1!$E137)=LOWER(E137), "Identique", "Différent"))</f>
        <v>Différent</v>
      </c>
      <c r="R137" t="str">
        <f>IF(OR(P137="⚠️ Libellé ≠ n°", O137="Inconnu"), "⚠️", IF(Q137="Différent", "ℹ️", ""))</f>
        <v>ℹ️</v>
      </c>
      <c r="S137" t="str" cm="1">
        <f t="array" ref="S137">_xlfn.LET(_xlpm.genCat,IFERROR(LOWER(TRIM(G137)),""),_xlpm.principal,IFERROR(LOWER(TRIM(H137)),""),_xlpm.orig,IFERROR(LOWER(TRIM(N137)),""),IF(OR(_xlpm.genCat="",_xlpm.principal=""),"",IF(LEFT(LOWER(G137),5)="autre","OK (Autre)",IF(OR(ISNUMBER(SEARCH(_xlpm.genCat,_xlpm.principal)),ISNUMBER(SEARCH(_xlpm.principal,_xlpm.genCat)),AND(_xlpm.orig&lt;&gt;"",OR(ISNUMBER(SEARCH(_xlpm.genCat,_xlpm.orig)),ISNUMBER(SEARCH(_xlpm.orig,_xlpm.genCat))))),"OK","⚠️ À vérifier"))))</f>
        <v/>
      </c>
      <c r="T137" t="str">
        <f>IF(S137="","",IF(S137="OK (Autre)","Diagnostic générique = 'Autre – …'",IF(S137="OK","Concordance générique/principal","Écart entre générique et principal")))</f>
        <v/>
      </c>
      <c r="U137" t="str" cm="1">
        <f t="array" ref="U137">_xlfn.LET(_xlpm.yr, A137, _xlpm.diag, IF(N137&lt;&gt;"", N137, H137), _xlpm.base, TRIM(SUBSTITUTE(SUBSTITUTE(SUBSTITUTE(SUBSTITUTE(_xlpm.diag,"•"," "),CHAR(160)," "),CHAR(10)," "),"  "," ")), LOWER(_xlpm.yr&amp;"|"&amp;_xlpm.base))</f>
        <v>2016|</v>
      </c>
      <c r="V137" t="str">
        <f>IFERROR(_xlfn.XLOOKUP($AB137,'Cas 2013-2017'!$K:$K,'Cas 2013-2017'!$D:$D,""),"")</f>
        <v/>
      </c>
      <c r="W137" t="str">
        <f>IFERROR(_xlfn.XLOOKUP($AB137,'Cas 2013-2017'!$K:$K,'Cas 2013-2017'!$E:$E,""),"")</f>
        <v/>
      </c>
      <c r="X137" t="str">
        <f>IFERROR(_xlfn.XLOOKUP($AB137,'Cas 2013-2017'!$K:$K,'Cas 2013-2017'!$F:$F,""),"")</f>
        <v/>
      </c>
      <c r="Y137" t="str">
        <f>IFERROR(_xlfn.XLOOKUP($AB137,'Cas 2013-2017'!$K:$K,'Cas 2013-2017'!$G:$G,""),"")</f>
        <v/>
      </c>
      <c r="Z137" t="str">
        <f>IFERROR(_xlfn.XLOOKUP($AB137,'Cas 2013-2017'!$K:$K,'Cas 2013-2017'!$I:$I,""),"")</f>
        <v/>
      </c>
      <c r="AA137" t="str">
        <f>IFERROR(_xlfn.XLOOKUP($AB137,'Cas 2013-2017'!$K:$K,'Cas 2013-2017'!$H:$H,""),"")</f>
        <v/>
      </c>
      <c r="AB137" t="str">
        <f>LOWER($A137 &amp; "|" &amp; $AF137)</f>
        <v>2016| </v>
      </c>
      <c r="AC137" t="str">
        <f>TRIM(SUBSTITUTE(SUBSTITUTE(SUBSTITUTE(SUBSTITUTE(" " &amp; LOWER(TRIM(IF($N137&lt;&gt;"", $N137, $H137))) &amp; " ", " aomi ", " arteriopathie des membres inferieurs "), " hta ", " hypertension arterielle "), " saos ", " syndrome d'apnees obstructives du sommeil "), " rgo ", " reflux gastro-oesophagien ") )</f>
        <v> </v>
      </c>
      <c r="AD137" t="str">
        <f>TRIM(SUBSTITUTE(SUBSTITUTE(SUBSTITUTE(SUBSTITUTE(" " &amp; LOWER(TRIM($AC137)) &amp; " ", " oacr ", " occlusion de l'artere centrale de la retine "), " hsd ", " hematome sous-dural "), " fa ", " fibrillation auriculaire "), " ep ", " embolie pulmonaire ") )</f>
        <v> </v>
      </c>
      <c r="AE137" t="str" cm="1">
        <f t="array" ref="AE137">_xlfn.LET(_xlpm.base, " " &amp; LOWER(TRIM($AD137))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137" t="str" cm="1">
        <f t="array" ref="AF137">_xlfn.LET(_xlpm.base, " " &amp; LOWER(TRIM($AE137))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138" spans="1:32" ht="33.75">
      <c r="A138" s="8">
        <v>2016</v>
      </c>
      <c r="B138" s="10" t="s">
        <v>91</v>
      </c>
      <c r="C138" s="8" t="s">
        <v>33</v>
      </c>
      <c r="D138" s="20">
        <v>59</v>
      </c>
      <c r="E138" s="11" t="str">
        <f>IF(D138="","",IFERROR(INDEX(SSP!$E$2:$E$266, MATCH(D138, SSP!$F$2:$F$266, 0)),""))</f>
        <v>Diarrhée</v>
      </c>
      <c r="F138" s="11" t="str">
        <f>Feuil1!E138</f>
        <v>Diarrhée</v>
      </c>
      <c r="G138" s="12" t="s">
        <v>548</v>
      </c>
      <c r="H138" s="13" t="s">
        <v>549</v>
      </c>
      <c r="I138" s="13"/>
      <c r="J138" s="15" t="s">
        <v>550</v>
      </c>
      <c r="K138" s="9" t="s">
        <v>551</v>
      </c>
      <c r="L138" s="9" t="s">
        <v>33</v>
      </c>
      <c r="M138" s="9" t="s">
        <v>33</v>
      </c>
      <c r="N138" t="s">
        <v>549</v>
      </c>
      <c r="O138" t="str">
        <f>IFERROR(_xlfn.XLOOKUP($D138, SSP!$F:$F, SSP!$E:$E, "Inconnu"), "")</f>
        <v>Diarrhée</v>
      </c>
      <c r="P138" t="str">
        <f>IF(OR(E138="", O138=""), "", IF(LOWER(E138)=LOWER(O138), "OK", "⚠️ Libellé ≠ n°"))</f>
        <v>OK</v>
      </c>
      <c r="Q138" t="str">
        <f>IF(Feuil1!$E138="", "", IF(LOWER(Feuil1!$E138)=LOWER(E138), "Identique", "Différent"))</f>
        <v>Identique</v>
      </c>
      <c r="R138" t="str">
        <f>IF(OR(P138="⚠️ Libellé ≠ n°", O138="Inconnu"), "⚠️", IF(Q138="Différent", "ℹ️", ""))</f>
        <v/>
      </c>
      <c r="S138" t="str" cm="1">
        <f t="array" ref="S138">_xlfn.LET(_xlpm.genCat,IFERROR(LOWER(TRIM(G138)),""),_xlpm.principal,IFERROR(LOWER(TRIM(H138)),""),_xlpm.orig,IFERROR(LOWER(TRIM(N138)),""),IF(OR(_xlpm.genCat="",_xlpm.principal=""),"",IF(LEFT(LOWER(G138),5)="autre","OK (Autre)",IF(OR(ISNUMBER(SEARCH(_xlpm.genCat,_xlpm.principal)),ISNUMBER(SEARCH(_xlpm.principal,_xlpm.genCat)),AND(_xlpm.orig&lt;&gt;"",OR(ISNUMBER(SEARCH(_xlpm.genCat,_xlpm.orig)),ISNUMBER(SEARCH(_xlpm.orig,_xlpm.genCat))))),"OK","⚠️ À vérifier"))))</f>
        <v>⚠️ À vérifier</v>
      </c>
      <c r="T138" t="str">
        <f>IF(S138="","",IF(S138="OK (Autre)","Diagnostic générique = 'Autre – …'",IF(S138="OK","Concordance générique/principal","Écart entre générique et principal")))</f>
        <v>Écart entre générique et principal</v>
      </c>
      <c r="U138" t="str" cm="1">
        <f t="array" ref="U138">_xlfn.LET(_xlpm.yr, A138, _xlpm.diag, IF(N138&lt;&gt;"", N138, H138), _xlpm.base, TRIM(SUBSTITUTE(SUBSTITUTE(SUBSTITUTE(SUBSTITUTE(_xlpm.diag,"•"," "),CHAR(160)," "),CHAR(10)," "),"  "," ")), LOWER(_xlpm.yr&amp;"|"&amp;_xlpm.base))</f>
        <v>2016|colite à clostridium (probablement)</v>
      </c>
      <c r="V138" t="str">
        <f>IFERROR(_xlfn.XLOOKUP($AB138,'Cas 2013-2017'!$K:$K,'Cas 2013-2017'!$D:$D,""),"")</f>
        <v/>
      </c>
      <c r="W138" t="str">
        <f>IFERROR(_xlfn.XLOOKUP($AB138,'Cas 2013-2017'!$K:$K,'Cas 2013-2017'!$E:$E,""),"")</f>
        <v/>
      </c>
      <c r="X138" t="str">
        <f>IFERROR(_xlfn.XLOOKUP($AB138,'Cas 2013-2017'!$K:$K,'Cas 2013-2017'!$F:$F,""),"")</f>
        <v/>
      </c>
      <c r="Y138" t="str">
        <f>IFERROR(_xlfn.XLOOKUP($AB138,'Cas 2013-2017'!$K:$K,'Cas 2013-2017'!$G:$G,""),"")</f>
        <v/>
      </c>
      <c r="Z138" t="str">
        <f>IFERROR(_xlfn.XLOOKUP($AB138,'Cas 2013-2017'!$K:$K,'Cas 2013-2017'!$I:$I,""),"")</f>
        <v/>
      </c>
      <c r="AA138" t="str">
        <f>IFERROR(_xlfn.XLOOKUP($AB138,'Cas 2013-2017'!$K:$K,'Cas 2013-2017'!$H:$H,""),"")</f>
        <v/>
      </c>
      <c r="AB138" t="str">
        <f>LOWER($A138 &amp; "|" &amp; $AF138)</f>
        <v>2016|colite à clostridium (probablement)</v>
      </c>
      <c r="AC138" t="str">
        <f>TRIM(SUBSTITUTE(SUBSTITUTE(SUBSTITUTE(SUBSTITUTE(" " &amp; LOWER(TRIM(IF($N138&lt;&gt;"", $N138, $H138))) &amp; " ", " aomi ", " arteriopathie des membres inferieurs "), " hta ", " hypertension arterielle "), " saos ", " syndrome d'apnees obstructives du sommeil "), " rgo ", " reflux gastro-oesophagien ") )</f>
        <v>colite à clostridium (probablement)</v>
      </c>
      <c r="AD138" t="str">
        <f>TRIM(SUBSTITUTE(SUBSTITUTE(SUBSTITUTE(SUBSTITUTE(" " &amp; LOWER(TRIM($AC138)) &amp; " ", " oacr ", " occlusion de l'artere centrale de la retine "), " hsd ", " hematome sous-dural "), " fa ", " fibrillation auriculaire "), " ep ", " embolie pulmonaire ") )</f>
        <v>colite à clostridium (probablement)</v>
      </c>
      <c r="AE138" t="str" cm="1">
        <f t="array" ref="AE138">_xlfn.LET(_xlpm.base, " " &amp; LOWER(TRIM($AD138))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colite à clostridium (probablement)</v>
      </c>
      <c r="AF138" t="str" cm="1">
        <f t="array" ref="AF138">_xlfn.LET(_xlpm.base, " " &amp; LOWER(TRIM($AE138))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colite à clostridium (probablement)</v>
      </c>
    </row>
    <row r="139" spans="1:32" ht="33.75">
      <c r="A139" s="8">
        <v>2016</v>
      </c>
      <c r="B139" s="10" t="s">
        <v>68</v>
      </c>
      <c r="C139" s="8" t="s">
        <v>33</v>
      </c>
      <c r="D139" s="20">
        <v>59</v>
      </c>
      <c r="E139" s="11" t="str">
        <f>IF(D139="","",IFERROR(INDEX(SSP!$E$2:$E$266, MATCH(D139, SSP!$F$2:$F$266, 0)),""))</f>
        <v>Diarrhée</v>
      </c>
      <c r="F139" s="11" t="str">
        <f>Feuil1!E139</f>
        <v>Diarrhée</v>
      </c>
      <c r="G139" s="12" t="s">
        <v>542</v>
      </c>
      <c r="H139" s="13" t="s">
        <v>552</v>
      </c>
      <c r="I139" s="13"/>
      <c r="J139" s="15" t="s">
        <v>553</v>
      </c>
      <c r="K139" s="9" t="s">
        <v>33</v>
      </c>
      <c r="L139" s="9" t="s">
        <v>33</v>
      </c>
      <c r="M139" s="9" t="s">
        <v>33</v>
      </c>
      <c r="N139" t="s">
        <v>552</v>
      </c>
      <c r="O139" t="str">
        <f>IFERROR(_xlfn.XLOOKUP($D139, SSP!$F:$F, SSP!$E:$E, "Inconnu"), "")</f>
        <v>Diarrhée</v>
      </c>
      <c r="P139" t="str">
        <f>IF(OR(E139="", O139=""), "", IF(LOWER(E139)=LOWER(O139), "OK", "⚠️ Libellé ≠ n°"))</f>
        <v>OK</v>
      </c>
      <c r="Q139" t="str">
        <f>IF(Feuil1!$E139="", "", IF(LOWER(Feuil1!$E139)=LOWER(E139), "Identique", "Différent"))</f>
        <v>Identique</v>
      </c>
      <c r="R139" t="str">
        <f>IF(OR(P139="⚠️ Libellé ≠ n°", O139="Inconnu"), "⚠️", IF(Q139="Différent", "ℹ️", ""))</f>
        <v/>
      </c>
      <c r="S139" t="str" cm="1">
        <f t="array" ref="S139">_xlfn.LET(_xlpm.genCat,IFERROR(LOWER(TRIM(G139)),""),_xlpm.principal,IFERROR(LOWER(TRIM(H139)),""),_xlpm.orig,IFERROR(LOWER(TRIM(N139)),""),IF(OR(_xlpm.genCat="",_xlpm.principal=""),"",IF(LEFT(LOWER(G139),5)="autre","OK (Autre)",IF(OR(ISNUMBER(SEARCH(_xlpm.genCat,_xlpm.principal)),ISNUMBER(SEARCH(_xlpm.principal,_xlpm.genCat)),AND(_xlpm.orig&lt;&gt;"",OR(ISNUMBER(SEARCH(_xlpm.genCat,_xlpm.orig)),ISNUMBER(SEARCH(_xlpm.orig,_xlpm.genCat))))),"OK","⚠️ À vérifier"))))</f>
        <v>OK (Autre)</v>
      </c>
      <c r="T139" t="str">
        <f>IF(S139="","",IF(S139="OK (Autre)","Diagnostic générique = 'Autre – …'",IF(S139="OK","Concordance générique/principal","Écart entre générique et principal")))</f>
        <v>Diagnostic générique = 'Autre – …'</v>
      </c>
      <c r="U139" t="str" cm="1">
        <f t="array" ref="U139">_xlfn.LET(_xlpm.yr, A139, _xlpm.diag, IF(N139&lt;&gt;"", N139, H139), _xlpm.base, TRIM(SUBSTITUTE(SUBSTITUTE(SUBSTITUTE(SUBSTITUTE(_xlpm.diag,"•"," "),CHAR(160)," "),CHAR(10)," "),"  "," ")), LOWER(_xlpm.yr&amp;"|"&amp;_xlpm.base))</f>
        <v>2016|diarrhées</v>
      </c>
      <c r="V139" t="str">
        <f>IFERROR(_xlfn.XLOOKUP($AB139,'Cas 2013-2017'!$K:$K,'Cas 2013-2017'!$D:$D,""),"")</f>
        <v/>
      </c>
      <c r="W139" t="str">
        <f>IFERROR(_xlfn.XLOOKUP($AB139,'Cas 2013-2017'!$K:$K,'Cas 2013-2017'!$E:$E,""),"")</f>
        <v/>
      </c>
      <c r="X139" t="str">
        <f>IFERROR(_xlfn.XLOOKUP($AB139,'Cas 2013-2017'!$K:$K,'Cas 2013-2017'!$F:$F,""),"")</f>
        <v/>
      </c>
      <c r="Y139" t="str">
        <f>IFERROR(_xlfn.XLOOKUP($AB139,'Cas 2013-2017'!$K:$K,'Cas 2013-2017'!$G:$G,""),"")</f>
        <v/>
      </c>
      <c r="Z139" t="str">
        <f>IFERROR(_xlfn.XLOOKUP($AB139,'Cas 2013-2017'!$K:$K,'Cas 2013-2017'!$I:$I,""),"")</f>
        <v/>
      </c>
      <c r="AA139" t="str">
        <f>IFERROR(_xlfn.XLOOKUP($AB139,'Cas 2013-2017'!$K:$K,'Cas 2013-2017'!$H:$H,""),"")</f>
        <v/>
      </c>
      <c r="AB139" t="str">
        <f>LOWER($A139 &amp; "|" &amp; $AF139)</f>
        <v>2016|diarrhées</v>
      </c>
      <c r="AC139" t="str">
        <f>TRIM(SUBSTITUTE(SUBSTITUTE(SUBSTITUTE(SUBSTITUTE(" " &amp; LOWER(TRIM(IF($N139&lt;&gt;"", $N139, $H139))) &amp; " ", " aomi ", " arteriopathie des membres inferieurs "), " hta ", " hypertension arterielle "), " saos ", " syndrome d'apnees obstructives du sommeil "), " rgo ", " reflux gastro-oesophagien ") )</f>
        <v>diarrhées</v>
      </c>
      <c r="AD139" t="str">
        <f>TRIM(SUBSTITUTE(SUBSTITUTE(SUBSTITUTE(SUBSTITUTE(" " &amp; LOWER(TRIM($AC139)) &amp; " ", " oacr ", " occlusion de l'artere centrale de la retine "), " hsd ", " hematome sous-dural "), " fa ", " fibrillation auriculaire "), " ep ", " embolie pulmonaire ") )</f>
        <v>diarrhées</v>
      </c>
      <c r="AE139" t="str" cm="1">
        <f t="array" ref="AE139">_xlfn.LET(_xlpm.base, " " &amp; LOWER(TRIM($AD139))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diarrhées</v>
      </c>
      <c r="AF139" t="str" cm="1">
        <f t="array" ref="AF139">_xlfn.LET(_xlpm.base, " " &amp; LOWER(TRIM($AE139))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diarrhées</v>
      </c>
    </row>
    <row r="140" spans="1:32" ht="33.75">
      <c r="A140" s="8">
        <v>2016</v>
      </c>
      <c r="B140" s="10" t="s">
        <v>64</v>
      </c>
      <c r="C140" s="8" t="s">
        <v>33</v>
      </c>
      <c r="D140" s="20">
        <v>4</v>
      </c>
      <c r="E140" s="11" t="str">
        <f>IF(D140="","",IFERROR(INDEX(SSP!$E$2:$E$266, MATCH(D140, SSP!$F$2:$F$266, 0)),""))</f>
        <v>Fatigue, asthénie</v>
      </c>
      <c r="F140" s="11" t="str">
        <f>Feuil1!E140</f>
        <v>Fatigue</v>
      </c>
      <c r="G140" s="12" t="s">
        <v>554</v>
      </c>
      <c r="H140" s="13" t="s">
        <v>555</v>
      </c>
      <c r="I140" s="13"/>
      <c r="J140" s="15" t="s">
        <v>556</v>
      </c>
      <c r="K140" s="9" t="s">
        <v>551</v>
      </c>
      <c r="L140" s="9" t="s">
        <v>33</v>
      </c>
      <c r="M140" s="9" t="s">
        <v>33</v>
      </c>
      <c r="N140" t="s">
        <v>557</v>
      </c>
      <c r="O140" t="str">
        <f>IFERROR(_xlfn.XLOOKUP($D140, SSP!$F:$F, SSP!$E:$E, "Inconnu"), "")</f>
        <v>Fatigue, asthénie</v>
      </c>
      <c r="P140" t="str">
        <f>IF(OR(E140="", O140=""), "", IF(LOWER(E140)=LOWER(O140), "OK", "⚠️ Libellé ≠ n°"))</f>
        <v>OK</v>
      </c>
      <c r="Q140" t="str">
        <f>IF(Feuil1!$E140="", "", IF(LOWER(Feuil1!$E140)=LOWER(E140), "Identique", "Différent"))</f>
        <v>Différent</v>
      </c>
      <c r="R140" t="str">
        <f>IF(OR(P140="⚠️ Libellé ≠ n°", O140="Inconnu"), "⚠️", IF(Q140="Différent", "ℹ️", ""))</f>
        <v>ℹ️</v>
      </c>
      <c r="S140" t="str" cm="1">
        <f t="array" ref="S140">_xlfn.LET(_xlpm.genCat,IFERROR(LOWER(TRIM(G140)),""),_xlpm.principal,IFERROR(LOWER(TRIM(H140)),""),_xlpm.orig,IFERROR(LOWER(TRIM(N140)),""),IF(OR(_xlpm.genCat="",_xlpm.principal=""),"",IF(LEFT(LOWER(G140),5)="autre","OK (Autre)",IF(OR(ISNUMBER(SEARCH(_xlpm.genCat,_xlpm.principal)),ISNUMBER(SEARCH(_xlpm.principal,_xlpm.genCat)),AND(_xlpm.orig&lt;&gt;"",OR(ISNUMBER(SEARCH(_xlpm.genCat,_xlpm.orig)),ISNUMBER(SEARCH(_xlpm.orig,_xlpm.genCat))))),"OK","⚠️ À vérifier"))))</f>
        <v>OK</v>
      </c>
      <c r="T140" t="str">
        <f>IF(S140="","",IF(S140="OK (Autre)","Diagnostic générique = 'Autre – …'",IF(S140="OK","Concordance générique/principal","Écart entre générique et principal")))</f>
        <v>Concordance générique/principal</v>
      </c>
      <c r="U140" t="str" cm="1">
        <f t="array" ref="U140">_xlfn.LET(_xlpm.yr, A140, _xlpm.diag, IF(N140&lt;&gt;"", N140, H140), _xlpm.base, TRIM(SUBSTITUTE(SUBSTITUTE(SUBSTITUTE(SUBSTITUTE(_xlpm.diag,"•"," "),CHAR(160)," "),CHAR(10)," "),"  "," ")), LOWER(_xlpm.yr&amp;"|"&amp;_xlpm.base))</f>
        <v>2016|probable leucémie ou autre maladie hématologique.</v>
      </c>
      <c r="V140" t="str">
        <f>IFERROR(_xlfn.XLOOKUP($AB140,'Cas 2013-2017'!$K:$K,'Cas 2013-2017'!$D:$D,""),"")</f>
        <v/>
      </c>
      <c r="W140" t="str">
        <f>IFERROR(_xlfn.XLOOKUP($AB140,'Cas 2013-2017'!$K:$K,'Cas 2013-2017'!$E:$E,""),"")</f>
        <v/>
      </c>
      <c r="X140" t="str">
        <f>IFERROR(_xlfn.XLOOKUP($AB140,'Cas 2013-2017'!$K:$K,'Cas 2013-2017'!$F:$F,""),"")</f>
        <v/>
      </c>
      <c r="Y140" t="str">
        <f>IFERROR(_xlfn.XLOOKUP($AB140,'Cas 2013-2017'!$K:$K,'Cas 2013-2017'!$G:$G,""),"")</f>
        <v/>
      </c>
      <c r="Z140" t="str">
        <f>IFERROR(_xlfn.XLOOKUP($AB140,'Cas 2013-2017'!$K:$K,'Cas 2013-2017'!$I:$I,""),"")</f>
        <v/>
      </c>
      <c r="AA140" t="str">
        <f>IFERROR(_xlfn.XLOOKUP($AB140,'Cas 2013-2017'!$K:$K,'Cas 2013-2017'!$H:$H,""),"")</f>
        <v/>
      </c>
      <c r="AB140" t="str">
        <f>LOWER($A140 &amp; "|" &amp; $AF140)</f>
        <v>2016|probable leucémie ou autre maladie hématologique.</v>
      </c>
      <c r="AC140" t="str">
        <f>TRIM(SUBSTITUTE(SUBSTITUTE(SUBSTITUTE(SUBSTITUTE(" " &amp; LOWER(TRIM(IF($N140&lt;&gt;"", $N140, $H140))) &amp; " ", " aomi ", " arteriopathie des membres inferieurs "), " hta ", " hypertension arterielle "), " saos ", " syndrome d'apnees obstructives du sommeil "), " rgo ", " reflux gastro-oesophagien ") )</f>
        <v>probable leucémie ou autre maladie hématologique.</v>
      </c>
      <c r="AD140" t="str">
        <f>TRIM(SUBSTITUTE(SUBSTITUTE(SUBSTITUTE(SUBSTITUTE(" " &amp; LOWER(TRIM($AC140)) &amp; " ", " oacr ", " occlusion de l'artere centrale de la retine "), " hsd ", " hematome sous-dural "), " fa ", " fibrillation auriculaire "), " ep ", " embolie pulmonaire ") )</f>
        <v>probable leucémie ou autre maladie hématologique.</v>
      </c>
      <c r="AE140" t="str" cm="1">
        <f t="array" ref="AE140">_xlfn.LET(_xlpm.base, " " &amp; LOWER(TRIM($AD140))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probable leucémie ou autre maladie hématologique.</v>
      </c>
      <c r="AF140" t="str" cm="1">
        <f t="array" ref="AF140">_xlfn.LET(_xlpm.base, " " &amp; LOWER(TRIM($AE140))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probable leucémie ou autre maladie hématologique.</v>
      </c>
    </row>
    <row r="141" spans="1:32" ht="50.25">
      <c r="A141" s="8">
        <v>2016</v>
      </c>
      <c r="B141" s="10" t="s">
        <v>32</v>
      </c>
      <c r="C141" s="8" t="s">
        <v>33</v>
      </c>
      <c r="D141" s="20">
        <v>52</v>
      </c>
      <c r="E141" s="11" t="str">
        <f>IF(D141="","",IFERROR(INDEX(SSP!$E$2:$E$266, MATCH(D141, SSP!$F$2:$F$266, 0)),""))</f>
        <v>Douleur abdominale ou épigastrique</v>
      </c>
      <c r="F141" s="11" t="str">
        <f>Feuil1!E141</f>
        <v>Douleur abdominale</v>
      </c>
      <c r="G141" s="12" t="s">
        <v>321</v>
      </c>
      <c r="H141" s="13" t="s">
        <v>558</v>
      </c>
      <c r="I141" s="14"/>
      <c r="J141" s="15" t="s">
        <v>559</v>
      </c>
      <c r="K141" s="9" t="s">
        <v>560</v>
      </c>
      <c r="L141" s="9" t="s">
        <v>33</v>
      </c>
      <c r="M141" s="9" t="s">
        <v>33</v>
      </c>
      <c r="N141" t="s">
        <v>558</v>
      </c>
      <c r="O141" t="str">
        <f>IFERROR(_xlfn.XLOOKUP($D141, SSP!$F:$F, SSP!$E:$E, "Inconnu"), "")</f>
        <v>Douleur abdominale ou épigastrique</v>
      </c>
      <c r="P141" t="str">
        <f>IF(OR(E141="", O141=""), "", IF(LOWER(E141)=LOWER(O141), "OK", "⚠️ Libellé ≠ n°"))</f>
        <v>OK</v>
      </c>
      <c r="Q141" t="str">
        <f>IF(Feuil1!$E141="", "", IF(LOWER(Feuil1!$E141)=LOWER(E141), "Identique", "Différent"))</f>
        <v>Différent</v>
      </c>
      <c r="R141" t="str">
        <f>IF(OR(P141="⚠️ Libellé ≠ n°", O141="Inconnu"), "⚠️", IF(Q141="Différent", "ℹ️", ""))</f>
        <v>ℹ️</v>
      </c>
      <c r="S141" t="str" cm="1">
        <f t="array" ref="S141">_xlfn.LET(_xlpm.genCat,IFERROR(LOWER(TRIM(G141)),""),_xlpm.principal,IFERROR(LOWER(TRIM(H141)),""),_xlpm.orig,IFERROR(LOWER(TRIM(N141)),""),IF(OR(_xlpm.genCat="",_xlpm.principal=""),"",IF(LEFT(LOWER(G141),5)="autre","OK (Autre)",IF(OR(ISNUMBER(SEARCH(_xlpm.genCat,_xlpm.principal)),ISNUMBER(SEARCH(_xlpm.principal,_xlpm.genCat)),AND(_xlpm.orig&lt;&gt;"",OR(ISNUMBER(SEARCH(_xlpm.genCat,_xlpm.orig)),ISNUMBER(SEARCH(_xlpm.orig,_xlpm.genCat))))),"OK","⚠️ À vérifier"))))</f>
        <v>⚠️ À vérifier</v>
      </c>
      <c r="T141" t="str">
        <f>IF(S141="","",IF(S141="OK (Autre)","Diagnostic générique = 'Autre – …'",IF(S141="OK","Concordance générique/principal","Écart entre générique et principal")))</f>
        <v>Écart entre générique et principal</v>
      </c>
      <c r="U141" t="str" cm="1">
        <f t="array" ref="U141">_xlfn.LET(_xlpm.yr, A141, _xlpm.diag, IF(N141&lt;&gt;"", N141, H141), _xlpm.base, TRIM(SUBSTITUTE(SUBSTITUTE(SUBSTITUTE(SUBSTITUTE(_xlpm.diag,"•"," "),CHAR(160)," "),CHAR(10)," "),"  "," ")), LOWER(_xlpm.yr&amp;"|"&amp;_xlpm.base))</f>
        <v>2016|ulcère gastrique (dd: iinfarctus inférieur chez une patiente diabétique)</v>
      </c>
      <c r="V141" t="str">
        <f>IFERROR(_xlfn.XLOOKUP($AB141,'Cas 2013-2017'!$K:$K,'Cas 2013-2017'!$D:$D,""),"")</f>
        <v/>
      </c>
      <c r="W141" t="str">
        <f>IFERROR(_xlfn.XLOOKUP($AB141,'Cas 2013-2017'!$K:$K,'Cas 2013-2017'!$E:$E,""),"")</f>
        <v/>
      </c>
      <c r="X141" t="str">
        <f>IFERROR(_xlfn.XLOOKUP($AB141,'Cas 2013-2017'!$K:$K,'Cas 2013-2017'!$F:$F,""),"")</f>
        <v/>
      </c>
      <c r="Y141" t="str">
        <f>IFERROR(_xlfn.XLOOKUP($AB141,'Cas 2013-2017'!$K:$K,'Cas 2013-2017'!$G:$G,""),"")</f>
        <v/>
      </c>
      <c r="Z141" t="str">
        <f>IFERROR(_xlfn.XLOOKUP($AB141,'Cas 2013-2017'!$K:$K,'Cas 2013-2017'!$I:$I,""),"")</f>
        <v/>
      </c>
      <c r="AA141" t="str">
        <f>IFERROR(_xlfn.XLOOKUP($AB141,'Cas 2013-2017'!$K:$K,'Cas 2013-2017'!$H:$H,""),"")</f>
        <v/>
      </c>
      <c r="AB141" t="str">
        <f>LOWER($A141 &amp; "|" &amp; $AF141)</f>
        <v>2016|ulcère gastrique (dd: iinfarctus inférieur chez une patiente diabétique)</v>
      </c>
      <c r="AC141" t="str">
        <f>TRIM(SUBSTITUTE(SUBSTITUTE(SUBSTITUTE(SUBSTITUTE(" " &amp; LOWER(TRIM(IF($N141&lt;&gt;"", $N141, $H141))) &amp; " ", " aomi ", " arteriopathie des membres inferieurs "), " hta ", " hypertension arterielle "), " saos ", " syndrome d'apnees obstructives du sommeil "), " rgo ", " reflux gastro-oesophagien ") )</f>
        <v>ulcère gastrique (dd: iinfarctus inférieur chez une patiente diabétique)</v>
      </c>
      <c r="AD141" t="str">
        <f>TRIM(SUBSTITUTE(SUBSTITUTE(SUBSTITUTE(SUBSTITUTE(" " &amp; LOWER(TRIM($AC141)) &amp; " ", " oacr ", " occlusion de l'artere centrale de la retine "), " hsd ", " hematome sous-dural "), " fa ", " fibrillation auriculaire "), " ep ", " embolie pulmonaire ") )</f>
        <v>ulcère gastrique (dd: iinfarctus inférieur chez une patiente diabétique)</v>
      </c>
      <c r="AE141" t="str" cm="1">
        <f t="array" ref="AE141">_xlfn.LET(_xlpm.base, " " &amp; LOWER(TRIM($AD141))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ulcère gastrique (dd: iinfarctus inférieur chez une patiente diabétique)</v>
      </c>
      <c r="AF141" t="str" cm="1">
        <f t="array" ref="AF141">_xlfn.LET(_xlpm.base, " " &amp; LOWER(TRIM($AE141))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ulcère gastrique (dd: iinfarctus inférieur chez une patiente diabétique)</v>
      </c>
    </row>
    <row r="142" spans="1:32" ht="33.75">
      <c r="A142" s="8">
        <v>2016</v>
      </c>
      <c r="B142" s="10" t="s">
        <v>91</v>
      </c>
      <c r="C142" s="8" t="s">
        <v>33</v>
      </c>
      <c r="D142" s="20">
        <v>63</v>
      </c>
      <c r="E142" s="11" t="str">
        <f>IF(D142="","",IFERROR(INDEX(SSP!$E$2:$E$266, MATCH(D142, SSP!$F$2:$F$266, 0)),""))</f>
        <v>Anurie, pollakiurie, oligurie, polyurie</v>
      </c>
      <c r="F142" s="11" t="str">
        <f>Feuil1!E142</f>
        <v>Pollakiurie</v>
      </c>
      <c r="G142" s="12" t="s">
        <v>160</v>
      </c>
      <c r="H142" s="13" t="s">
        <v>561</v>
      </c>
      <c r="I142" s="13"/>
      <c r="J142" s="15" t="s">
        <v>562</v>
      </c>
      <c r="K142" s="9" t="s">
        <v>563</v>
      </c>
      <c r="L142" s="9" t="s">
        <v>33</v>
      </c>
      <c r="M142" s="9" t="s">
        <v>33</v>
      </c>
      <c r="N142" t="s">
        <v>561</v>
      </c>
      <c r="O142" t="str">
        <f>IFERROR(_xlfn.XLOOKUP($D142, SSP!$F:$F, SSP!$E:$E, "Inconnu"), "")</f>
        <v>Anurie, pollakiurie, oligurie, polyurie</v>
      </c>
      <c r="P142" t="str">
        <f>IF(OR(E142="", O142=""), "", IF(LOWER(E142)=LOWER(O142), "OK", "⚠️ Libellé ≠ n°"))</f>
        <v>OK</v>
      </c>
      <c r="Q142" t="str">
        <f>IF(Feuil1!$E142="", "", IF(LOWER(Feuil1!$E142)=LOWER(E142), "Identique", "Différent"))</f>
        <v>Différent</v>
      </c>
      <c r="R142" t="str">
        <f>IF(OR(P142="⚠️ Libellé ≠ n°", O142="Inconnu"), "⚠️", IF(Q142="Différent", "ℹ️", ""))</f>
        <v>ℹ️</v>
      </c>
      <c r="S142" t="str" cm="1">
        <f t="array" ref="S142">_xlfn.LET(_xlpm.genCat,IFERROR(LOWER(TRIM(G142)),""),_xlpm.principal,IFERROR(LOWER(TRIM(H142)),""),_xlpm.orig,IFERROR(LOWER(TRIM(N142)),""),IF(OR(_xlpm.genCat="",_xlpm.principal=""),"",IF(LEFT(LOWER(G142),5)="autre","OK (Autre)",IF(OR(ISNUMBER(SEARCH(_xlpm.genCat,_xlpm.principal)),ISNUMBER(SEARCH(_xlpm.principal,_xlpm.genCat)),AND(_xlpm.orig&lt;&gt;"",OR(ISNUMBER(SEARCH(_xlpm.genCat,_xlpm.orig)),ISNUMBER(SEARCH(_xlpm.orig,_xlpm.genCat))))),"OK","⚠️ À vérifier"))))</f>
        <v>OK (Autre)</v>
      </c>
      <c r="T142" t="str">
        <f>IF(S142="","",IF(S142="OK (Autre)","Diagnostic générique = 'Autre – …'",IF(S142="OK","Concordance générique/principal","Écart entre générique et principal")))</f>
        <v>Diagnostic générique = 'Autre – …'</v>
      </c>
      <c r="U142" t="str" cm="1">
        <f t="array" ref="U142">_xlfn.LET(_xlpm.yr, A142, _xlpm.diag, IF(N142&lt;&gt;"", N142, H142), _xlpm.base, TRIM(SUBSTITUTE(SUBSTITUTE(SUBSTITUTE(SUBSTITUTE(_xlpm.diag,"•"," "),CHAR(160)," "),CHAR(10)," "),"  "," ")), LOWER(_xlpm.yr&amp;"|"&amp;_xlpm.base))</f>
        <v>2016|infection urinaire</v>
      </c>
      <c r="V142" t="str">
        <f>IFERROR(_xlfn.XLOOKUP($AB142,'Cas 2013-2017'!$K:$K,'Cas 2013-2017'!$D:$D,""),"")</f>
        <v/>
      </c>
      <c r="W142" t="str">
        <f>IFERROR(_xlfn.XLOOKUP($AB142,'Cas 2013-2017'!$K:$K,'Cas 2013-2017'!$E:$E,""),"")</f>
        <v/>
      </c>
      <c r="X142" t="str">
        <f>IFERROR(_xlfn.XLOOKUP($AB142,'Cas 2013-2017'!$K:$K,'Cas 2013-2017'!$F:$F,""),"")</f>
        <v/>
      </c>
      <c r="Y142" t="str">
        <f>IFERROR(_xlfn.XLOOKUP($AB142,'Cas 2013-2017'!$K:$K,'Cas 2013-2017'!$G:$G,""),"")</f>
        <v/>
      </c>
      <c r="Z142" t="str">
        <f>IFERROR(_xlfn.XLOOKUP($AB142,'Cas 2013-2017'!$K:$K,'Cas 2013-2017'!$I:$I,""),"")</f>
        <v/>
      </c>
      <c r="AA142" t="str">
        <f>IFERROR(_xlfn.XLOOKUP($AB142,'Cas 2013-2017'!$K:$K,'Cas 2013-2017'!$H:$H,""),"")</f>
        <v/>
      </c>
      <c r="AB142" t="str">
        <f>LOWER($A142 &amp; "|" &amp; $AF142)</f>
        <v>2016|infection urinaire</v>
      </c>
      <c r="AC142" t="str">
        <f>TRIM(SUBSTITUTE(SUBSTITUTE(SUBSTITUTE(SUBSTITUTE(" " &amp; LOWER(TRIM(IF($N142&lt;&gt;"", $N142, $H142))) &amp; " ", " aomi ", " arteriopathie des membres inferieurs "), " hta ", " hypertension arterielle "), " saos ", " syndrome d'apnees obstructives du sommeil "), " rgo ", " reflux gastro-oesophagien ") )</f>
        <v>infection urinaire</v>
      </c>
      <c r="AD142" t="str">
        <f>TRIM(SUBSTITUTE(SUBSTITUTE(SUBSTITUTE(SUBSTITUTE(" " &amp; LOWER(TRIM($AC142)) &amp; " ", " oacr ", " occlusion de l'artere centrale de la retine "), " hsd ", " hematome sous-dural "), " fa ", " fibrillation auriculaire "), " ep ", " embolie pulmonaire ") )</f>
        <v>infection urinaire</v>
      </c>
      <c r="AE142" t="str" cm="1">
        <f t="array" ref="AE142">_xlfn.LET(_xlpm.base, " " &amp; LOWER(TRIM($AD142))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infection urinaire</v>
      </c>
      <c r="AF142" t="str" cm="1">
        <f t="array" ref="AF142">_xlfn.LET(_xlpm.base, " " &amp; LOWER(TRIM($AE142))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infection urinaire</v>
      </c>
    </row>
    <row r="143" spans="1:32" ht="33.75">
      <c r="A143" s="8">
        <v>2016</v>
      </c>
      <c r="B143" s="10" t="s">
        <v>87</v>
      </c>
      <c r="C143" s="8" t="s">
        <v>33</v>
      </c>
      <c r="D143" s="20">
        <v>49</v>
      </c>
      <c r="E143" s="11" t="str">
        <f>IF(D143="","",IFERROR(INDEX(SSP!$E$2:$E$266, MATCH(D143, SSP!$F$2:$F$266, 0)),""))</f>
        <v>Respiration douloureuse, sifflements, stridor</v>
      </c>
      <c r="F143" s="11" t="str">
        <f>Feuil1!E143</f>
        <v>Ménorragie</v>
      </c>
      <c r="G143" s="12" t="s">
        <v>212</v>
      </c>
      <c r="H143" s="13" t="s">
        <v>564</v>
      </c>
      <c r="I143" s="13"/>
      <c r="J143" s="15" t="s">
        <v>565</v>
      </c>
      <c r="K143" s="9" t="s">
        <v>566</v>
      </c>
      <c r="L143" s="9" t="s">
        <v>33</v>
      </c>
      <c r="M143" s="9" t="s">
        <v>33</v>
      </c>
      <c r="N143" t="s">
        <v>564</v>
      </c>
      <c r="O143" t="str">
        <f>IFERROR(_xlfn.XLOOKUP($D143, SSP!$F:$F, SSP!$E:$E, "Inconnu"), "")</f>
        <v>Respiration douloureuse, sifflements, stridor</v>
      </c>
      <c r="P143" t="str">
        <f>IF(OR(E143="", O143=""), "", IF(LOWER(E143)=LOWER(O143), "OK", "⚠️ Libellé ≠ n°"))</f>
        <v>OK</v>
      </c>
      <c r="Q143" t="str">
        <f>IF(Feuil1!$E143="", "", IF(LOWER(Feuil1!$E143)=LOWER(E143), "Identique", "Différent"))</f>
        <v>Différent</v>
      </c>
      <c r="R143" t="str">
        <f>IF(OR(P143="⚠️ Libellé ≠ n°", O143="Inconnu"), "⚠️", IF(Q143="Différent", "ℹ️", ""))</f>
        <v>ℹ️</v>
      </c>
      <c r="S143" t="str" cm="1">
        <f t="array" ref="S143">_xlfn.LET(_xlpm.genCat,IFERROR(LOWER(TRIM(G143)),""),_xlpm.principal,IFERROR(LOWER(TRIM(H143)),""),_xlpm.orig,IFERROR(LOWER(TRIM(N143)),""),IF(OR(_xlpm.genCat="",_xlpm.principal=""),"",IF(LEFT(LOWER(G143),5)="autre","OK (Autre)",IF(OR(ISNUMBER(SEARCH(_xlpm.genCat,_xlpm.principal)),ISNUMBER(SEARCH(_xlpm.principal,_xlpm.genCat)),AND(_xlpm.orig&lt;&gt;"",OR(ISNUMBER(SEARCH(_xlpm.genCat,_xlpm.orig)),ISNUMBER(SEARCH(_xlpm.orig,_xlpm.genCat))))),"OK","⚠️ À vérifier"))))</f>
        <v>OK (Autre)</v>
      </c>
      <c r="T143" t="str">
        <f>IF(S143="","",IF(S143="OK (Autre)","Diagnostic générique = 'Autre – …'",IF(S143="OK","Concordance générique/principal","Écart entre générique et principal")))</f>
        <v>Diagnostic générique = 'Autre – …'</v>
      </c>
      <c r="U143" t="str" cm="1">
        <f t="array" ref="U143">_xlfn.LET(_xlpm.yr, A143, _xlpm.diag, IF(N143&lt;&gt;"", N143, H143), _xlpm.base, TRIM(SUBSTITUTE(SUBSTITUTE(SUBSTITUTE(SUBSTITUTE(_xlpm.diag,"•"," "),CHAR(160)," "),CHAR(10)," "),"  "," ")), LOWER(_xlpm.yr&amp;"|"&amp;_xlpm.base))</f>
        <v>2016|ménorragies chroniques</v>
      </c>
      <c r="V143" t="str">
        <f>IFERROR(_xlfn.XLOOKUP($AB143,'Cas 2013-2017'!$K:$K,'Cas 2013-2017'!$D:$D,""),"")</f>
        <v/>
      </c>
      <c r="W143" t="str">
        <f>IFERROR(_xlfn.XLOOKUP($AB143,'Cas 2013-2017'!$K:$K,'Cas 2013-2017'!$E:$E,""),"")</f>
        <v/>
      </c>
      <c r="X143" t="str">
        <f>IFERROR(_xlfn.XLOOKUP($AB143,'Cas 2013-2017'!$K:$K,'Cas 2013-2017'!$F:$F,""),"")</f>
        <v/>
      </c>
      <c r="Y143" t="str">
        <f>IFERROR(_xlfn.XLOOKUP($AB143,'Cas 2013-2017'!$K:$K,'Cas 2013-2017'!$G:$G,""),"")</f>
        <v/>
      </c>
      <c r="Z143" t="str">
        <f>IFERROR(_xlfn.XLOOKUP($AB143,'Cas 2013-2017'!$K:$K,'Cas 2013-2017'!$I:$I,""),"")</f>
        <v/>
      </c>
      <c r="AA143" t="str">
        <f>IFERROR(_xlfn.XLOOKUP($AB143,'Cas 2013-2017'!$K:$K,'Cas 2013-2017'!$H:$H,""),"")</f>
        <v/>
      </c>
      <c r="AB143" t="str">
        <f>LOWER($A143 &amp; "|" &amp; $AF143)</f>
        <v>2016|ménorragies chroniques</v>
      </c>
      <c r="AC143" t="str">
        <f>TRIM(SUBSTITUTE(SUBSTITUTE(SUBSTITUTE(SUBSTITUTE(" " &amp; LOWER(TRIM(IF($N143&lt;&gt;"", $N143, $H143))) &amp; " ", " aomi ", " arteriopathie des membres inferieurs "), " hta ", " hypertension arterielle "), " saos ", " syndrome d'apnees obstructives du sommeil "), " rgo ", " reflux gastro-oesophagien ") )</f>
        <v>ménorragies chroniques</v>
      </c>
      <c r="AD143" t="str">
        <f>TRIM(SUBSTITUTE(SUBSTITUTE(SUBSTITUTE(SUBSTITUTE(" " &amp; LOWER(TRIM($AC143)) &amp; " ", " oacr ", " occlusion de l'artere centrale de la retine "), " hsd ", " hematome sous-dural "), " fa ", " fibrillation auriculaire "), " ep ", " embolie pulmonaire ") )</f>
        <v>ménorragies chroniques</v>
      </c>
      <c r="AE143" t="str" cm="1">
        <f t="array" ref="AE143">_xlfn.LET(_xlpm.base, " " &amp; LOWER(TRIM($AD143))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ménorragies chroniques</v>
      </c>
      <c r="AF143" t="str" cm="1">
        <f t="array" ref="AF143">_xlfn.LET(_xlpm.base, " " &amp; LOWER(TRIM($AE143))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ménorragies chroniques</v>
      </c>
    </row>
    <row r="144" spans="1:32" ht="150.75">
      <c r="A144" s="8">
        <v>2016</v>
      </c>
      <c r="B144" s="10" t="s">
        <v>91</v>
      </c>
      <c r="C144" s="8" t="s">
        <v>33</v>
      </c>
      <c r="D144" s="20">
        <v>6</v>
      </c>
      <c r="E144" s="11" t="str">
        <f>IF(D144="","",IFERROR(INDEX(SSP!$E$2:$E$266, MATCH(D144, SSP!$F$2:$F$266, 0)),""))</f>
        <v>Fièvre, frissons, hyperthermie</v>
      </c>
      <c r="F144" s="11" t="str">
        <f>Feuil1!E144</f>
        <v>Fièvre</v>
      </c>
      <c r="G144" s="12" t="s">
        <v>567</v>
      </c>
      <c r="H144" s="13" t="s">
        <v>568</v>
      </c>
      <c r="I144" s="13" t="s">
        <v>569</v>
      </c>
      <c r="J144" s="15" t="s">
        <v>570</v>
      </c>
      <c r="K144" s="9" t="s">
        <v>571</v>
      </c>
      <c r="L144" s="9" t="s">
        <v>572</v>
      </c>
      <c r="M144" s="9" t="s">
        <v>573</v>
      </c>
      <c r="N144" t="s">
        <v>568</v>
      </c>
      <c r="O144" t="str">
        <f>IFERROR(_xlfn.XLOOKUP($D144, SSP!$F:$F, SSP!$E:$E, "Inconnu"), "")</f>
        <v>Fièvre, frissons, hyperthermie</v>
      </c>
      <c r="P144" t="str">
        <f>IF(OR(E144="", O144=""), "", IF(LOWER(E144)=LOWER(O144), "OK", "⚠️ Libellé ≠ n°"))</f>
        <v>OK</v>
      </c>
      <c r="Q144" t="str">
        <f>IF(Feuil1!$E144="", "", IF(LOWER(Feuil1!$E144)=LOWER(E144), "Identique", "Différent"))</f>
        <v>Différent</v>
      </c>
      <c r="R144" t="str">
        <f>IF(OR(P144="⚠️ Libellé ≠ n°", O144="Inconnu"), "⚠️", IF(Q144="Différent", "ℹ️", ""))</f>
        <v>ℹ️</v>
      </c>
      <c r="S144" t="str" cm="1">
        <f t="array" ref="S144">_xlfn.LET(_xlpm.genCat,IFERROR(LOWER(TRIM(G144)),""),_xlpm.principal,IFERROR(LOWER(TRIM(H144)),""),_xlpm.orig,IFERROR(LOWER(TRIM(N144)),""),IF(OR(_xlpm.genCat="",_xlpm.principal=""),"",IF(LEFT(LOWER(G144),5)="autre","OK (Autre)",IF(OR(ISNUMBER(SEARCH(_xlpm.genCat,_xlpm.principal)),ISNUMBER(SEARCH(_xlpm.principal,_xlpm.genCat)),AND(_xlpm.orig&lt;&gt;"",OR(ISNUMBER(SEARCH(_xlpm.genCat,_xlpm.orig)),ISNUMBER(SEARCH(_xlpm.orig,_xlpm.genCat))))),"OK","⚠️ À vérifier"))))</f>
        <v>OK</v>
      </c>
      <c r="T144" t="str">
        <f>IF(S144="","",IF(S144="OK (Autre)","Diagnostic générique = 'Autre – …'",IF(S144="OK","Concordance générique/principal","Écart entre générique et principal")))</f>
        <v>Concordance générique/principal</v>
      </c>
      <c r="U144" t="str" cm="1">
        <f t="array" ref="U144">_xlfn.LET(_xlpm.yr, A144, _xlpm.diag, IF(N144&lt;&gt;"", N144, H144), _xlpm.base, TRIM(SUBSTITUTE(SUBSTITUTE(SUBSTITUTE(SUBSTITUTE(_xlpm.diag,"•"," "),CHAR(160)," "),CHAR(10)," "),"  "," ")), LOWER(_xlpm.yr&amp;"|"&amp;_xlpm.base))</f>
        <v>2016|mononucléose</v>
      </c>
      <c r="V144" t="str">
        <f>IFERROR(_xlfn.XLOOKUP($AB144,'Cas 2013-2017'!$K:$K,'Cas 2013-2017'!$D:$D,""),"")</f>
        <v>Fille de 20 ans =&gt; fièvre et maux de gorge</v>
      </c>
      <c r="W144" t="str">
        <f>IFERROR(_xlfn.XLOOKUP($AB144,'Cas 2013-2017'!$K:$K,'Cas 2013-2017'!$E:$E,""),"")</f>
        <v>Où exactement, odyno dysphagie, depuis quand? constant/intermittent, progression, première fois? Facteurs aggravant/atténuant, MA: fièvre, frisson, asthénie, appétit, perte poids, sudations nocturne, N/V, dlr abdo, diarrhées, constipation, ADP? • Sport pratiqués • Contage • Anamnèse sexuelle</v>
      </c>
      <c r="X144" t="str">
        <f>IFERROR(_xlfn.XLOOKUP($AB144,'Cas 2013-2017'!$K:$K,'Cas 2013-2017'!$F:$F,""),"")</f>
        <v>Cardio-pulm • Abdo • ORL: ADP!! palper sinus</v>
      </c>
      <c r="Y144" t="str">
        <f>IFERROR(_xlfn.XLOOKUP($AB144,'Cas 2013-2017'!$K:$K,'Cas 2013-2017'!$G:$G,""),"")</f>
        <v>Angine strepto • Primo- infection VIH</v>
      </c>
      <c r="Z144" t="str">
        <f>IFERROR(_xlfn.XLOOKUP($AB144,'Cas 2013-2017'!$K:$K,'Cas 2013-2017'!$I:$I,""),"")</f>
        <v>Stop sport pour 3-4 semaines • ttt symptomatique</v>
      </c>
      <c r="AA144" t="str">
        <f>IFERROR(_xlfn.XLOOKUP($AB144,'Cas 2013-2017'!$K:$K,'Cas 2013-2017'!$H:$H,""),"")</f>
        <v>Labo: FSC, électrolytes, créat, VS, CRP • LDH/Transmanisage augmen • Frottis strepto • Sérologie EBV • Sérologie HIV</v>
      </c>
      <c r="AB144" t="str">
        <f>LOWER($A144 &amp; "|" &amp; $AF144)</f>
        <v>2016|mononucléose</v>
      </c>
      <c r="AC144" t="str">
        <f>TRIM(SUBSTITUTE(SUBSTITUTE(SUBSTITUTE(SUBSTITUTE(" " &amp; LOWER(TRIM(IF($N144&lt;&gt;"", $N144, $H144))) &amp; " ", " aomi ", " arteriopathie des membres inferieurs "), " hta ", " hypertension arterielle "), " saos ", " syndrome d'apnees obstructives du sommeil "), " rgo ", " reflux gastro-oesophagien ") )</f>
        <v>mononucléose</v>
      </c>
      <c r="AD144" t="str">
        <f>TRIM(SUBSTITUTE(SUBSTITUTE(SUBSTITUTE(SUBSTITUTE(" " &amp; LOWER(TRIM($AC144)) &amp; " ", " oacr ", " occlusion de l'artere centrale de la retine "), " hsd ", " hematome sous-dural "), " fa ", " fibrillation auriculaire "), " ep ", " embolie pulmonaire ") )</f>
        <v>mononucléose</v>
      </c>
      <c r="AE144" t="str" cm="1">
        <f t="array" ref="AE144">_xlfn.LET(_xlpm.base, " " &amp; LOWER(TRIM($AD144))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mononucléose</v>
      </c>
      <c r="AF144" t="str" cm="1">
        <f t="array" ref="AF144">_xlfn.LET(_xlpm.base, " " &amp; LOWER(TRIM($AE144))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mononucléose</v>
      </c>
    </row>
    <row r="145" spans="1:32" ht="117">
      <c r="A145" s="8">
        <v>2016</v>
      </c>
      <c r="B145" s="10" t="s">
        <v>221</v>
      </c>
      <c r="C145" s="8" t="s">
        <v>33</v>
      </c>
      <c r="D145" s="20">
        <v>10</v>
      </c>
      <c r="E145" s="11" t="str">
        <f>IF(D145="","",IFERROR(INDEX(SSP!$E$2:$E$266, MATCH(D145, SSP!$F$2:$F$266, 0)),""))</f>
        <v>Douleur (toutes localisations et types confondus)</v>
      </c>
      <c r="F145" s="11" t="str">
        <f>Feuil1!E145</f>
        <v>Douleur genou</v>
      </c>
      <c r="G145" s="12" t="s">
        <v>226</v>
      </c>
      <c r="H145" s="13" t="s">
        <v>574</v>
      </c>
      <c r="I145" s="13" t="s">
        <v>575</v>
      </c>
      <c r="J145" s="15" t="s">
        <v>576</v>
      </c>
      <c r="K145" s="9" t="s">
        <v>577</v>
      </c>
      <c r="L145" s="9" t="s">
        <v>578</v>
      </c>
      <c r="M145" s="9" t="s">
        <v>579</v>
      </c>
      <c r="N145" t="s">
        <v>574</v>
      </c>
      <c r="O145" t="str">
        <f>IFERROR(_xlfn.XLOOKUP($D145, SSP!$F:$F, SSP!$E:$E, "Inconnu"), "")</f>
        <v>Douleur (toutes localisations et types confondus)</v>
      </c>
      <c r="P145" t="str">
        <f>IF(OR(E145="", O145=""), "", IF(LOWER(E145)=LOWER(O145), "OK", "⚠️ Libellé ≠ n°"))</f>
        <v>OK</v>
      </c>
      <c r="Q145" t="str">
        <f>IF(Feuil1!$E145="", "", IF(LOWER(Feuil1!$E145)=LOWER(E145), "Identique", "Différent"))</f>
        <v>Différent</v>
      </c>
      <c r="R145" t="str">
        <f>IF(OR(P145="⚠️ Libellé ≠ n°", O145="Inconnu"), "⚠️", IF(Q145="Différent", "ℹ️", ""))</f>
        <v>ℹ️</v>
      </c>
      <c r="S145" t="str" cm="1">
        <f t="array" ref="S145">_xlfn.LET(_xlpm.genCat,IFERROR(LOWER(TRIM(G145)),""),_xlpm.principal,IFERROR(LOWER(TRIM(H145)),""),_xlpm.orig,IFERROR(LOWER(TRIM(N145)),""),IF(OR(_xlpm.genCat="",_xlpm.principal=""),"",IF(LEFT(LOWER(G145),5)="autre","OK (Autre)",IF(OR(ISNUMBER(SEARCH(_xlpm.genCat,_xlpm.principal)),ISNUMBER(SEARCH(_xlpm.principal,_xlpm.genCat)),AND(_xlpm.orig&lt;&gt;"",OR(ISNUMBER(SEARCH(_xlpm.genCat,_xlpm.orig)),ISNUMBER(SEARCH(_xlpm.orig,_xlpm.genCat))))),"OK","⚠️ À vérifier"))))</f>
        <v>OK (Autre)</v>
      </c>
      <c r="T145" t="str">
        <f>IF(S145="","",IF(S145="OK (Autre)","Diagnostic générique = 'Autre – …'",IF(S145="OK","Concordance générique/principal","Écart entre générique et principal")))</f>
        <v>Diagnostic générique = 'Autre – …'</v>
      </c>
      <c r="U145" t="str" cm="1">
        <f t="array" ref="U145">_xlfn.LET(_xlpm.yr, A145, _xlpm.diag, IF(N145&lt;&gt;"", N145, H145), _xlpm.base, TRIM(SUBSTITUTE(SUBSTITUTE(SUBSTITUTE(SUBSTITUTE(_xlpm.diag,"•"," "),CHAR(160)," "),CHAR(10)," "),"  "," ")), LOWER(_xlpm.yr&amp;"|"&amp;_xlpm.base))</f>
        <v>2016|arthrite septique</v>
      </c>
      <c r="V145" t="str">
        <f>IFERROR(_xlfn.XLOOKUP($AB145,'Cas 2013-2017'!$K:$K,'Cas 2013-2017'!$D:$D,""),"")</f>
        <v>Douleur articulaire genou D depuis 1J =&gt; Urgences</v>
      </c>
      <c r="W145" t="str">
        <f>IFERROR(_xlfn.XLOOKUP($AB145,'Cas 2013-2017'!$K:$K,'Cas 2013-2017'!$E:$E,""),"")</f>
        <v>Iatrogène ? • Trauma ? • MST ? • Tableau classique d’articulation enflammée : rougeur, chaleur, tuméfaction, fièvre, frissons • Le plus svt genou et hanche • Lyme : EM ? forêt ? • Reiter : sympt uro, yeux, atcd infection</v>
      </c>
      <c r="X145" t="str">
        <f>IFERROR(_xlfn.XLOOKUP($AB145,'Cas 2013-2017'!$K:$K,'Cas 2013-2017'!$F:$F,""),"")</f>
        <v>Dolor, tumor, rougeur etc… • Status genou : inspection, palpation, signe du glaçon, testing ligaments, ménisques, mouv actifs, passifs, marche</v>
      </c>
      <c r="Y145" t="str">
        <f>IFERROR(_xlfn.XLOOKUP($AB145,'Cas 2013-2017'!$K:$K,'Cas 2013-2017'!$G:$G,""),"")</f>
        <v>Goutte, Pseudogoutte • Reiter (yeux, urine, arthrite) • Arthrite de Lyme</v>
      </c>
      <c r="Z145" t="str">
        <f>IFERROR(_xlfn.XLOOKUP($AB145,'Cas 2013-2017'!$K:$K,'Cas 2013-2017'!$I:$I,""),"")</f>
        <v>Hospitalisation • Mettre au repos le membre + AB iv • +prophylaxie thromboembolique +antalgie</v>
      </c>
      <c r="AA145" t="str">
        <f>IFERROR(_xlfn.XLOOKUP($AB145,'Cas 2013-2017'!$K:$K,'Cas 2013-2017'!$H:$H,""),"")</f>
        <v>Sang : CRP, VS • Rx en 2 plans • Arthrocentèse</v>
      </c>
      <c r="AB145" t="str">
        <f>LOWER($A145 &amp; "|" &amp; $AF145)</f>
        <v>2016|arthrite septique</v>
      </c>
      <c r="AC145" t="str">
        <f>TRIM(SUBSTITUTE(SUBSTITUTE(SUBSTITUTE(SUBSTITUTE(" " &amp; LOWER(TRIM(IF($N145&lt;&gt;"", $N145, $H145))) &amp; " ", " aomi ", " arteriopathie des membres inferieurs "), " hta ", " hypertension arterielle "), " saos ", " syndrome d'apnees obstructives du sommeil "), " rgo ", " reflux gastro-oesophagien ") )</f>
        <v>arthrite septique</v>
      </c>
      <c r="AD145" t="str">
        <f>TRIM(SUBSTITUTE(SUBSTITUTE(SUBSTITUTE(SUBSTITUTE(" " &amp; LOWER(TRIM($AC145)) &amp; " ", " oacr ", " occlusion de l'artere centrale de la retine "), " hsd ", " hematome sous-dural "), " fa ", " fibrillation auriculaire "), " ep ", " embolie pulmonaire ") )</f>
        <v>arthrite septique</v>
      </c>
      <c r="AE145" t="str" cm="1">
        <f t="array" ref="AE145">_xlfn.LET(_xlpm.base, " " &amp; LOWER(TRIM($AD145))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arthrite septique</v>
      </c>
      <c r="AF145" t="str" cm="1">
        <f t="array" ref="AF145">_xlfn.LET(_xlpm.base, " " &amp; LOWER(TRIM($AE145))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arthrite septique</v>
      </c>
    </row>
    <row r="146" spans="1:32" ht="33.75">
      <c r="A146" s="8">
        <v>2016</v>
      </c>
      <c r="B146" s="10" t="s">
        <v>221</v>
      </c>
      <c r="C146" s="8" t="s">
        <v>33</v>
      </c>
      <c r="D146" s="20">
        <v>10</v>
      </c>
      <c r="E146" s="11" t="str">
        <f>IF(D146="","",IFERROR(INDEX(SSP!$E$2:$E$266, MATCH(D146, SSP!$F$2:$F$266, 0)),""))</f>
        <v>Douleur (toutes localisations et types confondus)</v>
      </c>
      <c r="F146" s="11" t="str">
        <f>Feuil1!E146</f>
        <v>Douleur genou</v>
      </c>
      <c r="G146" s="12" t="s">
        <v>580</v>
      </c>
      <c r="H146" s="13" t="s">
        <v>581</v>
      </c>
      <c r="I146" s="13"/>
      <c r="J146" s="15" t="s">
        <v>582</v>
      </c>
      <c r="K146" s="9" t="s">
        <v>33</v>
      </c>
      <c r="L146" s="9" t="s">
        <v>33</v>
      </c>
      <c r="M146" s="9" t="s">
        <v>33</v>
      </c>
      <c r="N146" t="s">
        <v>583</v>
      </c>
      <c r="O146" t="str">
        <f>IFERROR(_xlfn.XLOOKUP($D146, SSP!$F:$F, SSP!$E:$E, "Inconnu"), "")</f>
        <v>Douleur (toutes localisations et types confondus)</v>
      </c>
      <c r="P146" t="str">
        <f>IF(OR(E146="", O146=""), "", IF(LOWER(E146)=LOWER(O146), "OK", "⚠️ Libellé ≠ n°"))</f>
        <v>OK</v>
      </c>
      <c r="Q146" t="str">
        <f>IF(Feuil1!$E146="", "", IF(LOWER(Feuil1!$E146)=LOWER(E146), "Identique", "Différent"))</f>
        <v>Différent</v>
      </c>
      <c r="R146" t="str">
        <f>IF(OR(P146="⚠️ Libellé ≠ n°", O146="Inconnu"), "⚠️", IF(Q146="Différent", "ℹ️", ""))</f>
        <v>ℹ️</v>
      </c>
      <c r="S146" t="str" cm="1">
        <f t="array" ref="S146">_xlfn.LET(_xlpm.genCat,IFERROR(LOWER(TRIM(G146)),""),_xlpm.principal,IFERROR(LOWER(TRIM(H146)),""),_xlpm.orig,IFERROR(LOWER(TRIM(N146)),""),IF(OR(_xlpm.genCat="",_xlpm.principal=""),"",IF(LEFT(LOWER(G146),5)="autre","OK (Autre)",IF(OR(ISNUMBER(SEARCH(_xlpm.genCat,_xlpm.principal)),ISNUMBER(SEARCH(_xlpm.principal,_xlpm.genCat)),AND(_xlpm.orig&lt;&gt;"",OR(ISNUMBER(SEARCH(_xlpm.genCat,_xlpm.orig)),ISNUMBER(SEARCH(_xlpm.orig,_xlpm.genCat))))),"OK","⚠️ À vérifier"))))</f>
        <v>⚠️ À vérifier</v>
      </c>
      <c r="T146" t="str">
        <f>IF(S146="","",IF(S146="OK (Autre)","Diagnostic générique = 'Autre – …'",IF(S146="OK","Concordance générique/principal","Écart entre générique et principal")))</f>
        <v>Écart entre générique et principal</v>
      </c>
      <c r="U146" t="str" cm="1">
        <f t="array" ref="U146">_xlfn.LET(_xlpm.yr, A146, _xlpm.diag, IF(N146&lt;&gt;"", N146, H146), _xlpm.base, TRIM(SUBSTITUTE(SUBSTITUTE(SUBSTITUTE(SUBSTITUTE(_xlpm.diag,"•"," "),CHAR(160)," "),CHAR(10)," "),"  "," ")), LOWER(_xlpm.yr&amp;"|"&amp;_xlpm.base))</f>
        <v>2016|déchirure du ménisque interne.</v>
      </c>
      <c r="V146" t="str">
        <f>IFERROR(_xlfn.XLOOKUP($AB146,'Cas 2013-2017'!$K:$K,'Cas 2013-2017'!$D:$D,""),"")</f>
        <v/>
      </c>
      <c r="W146" t="str">
        <f>IFERROR(_xlfn.XLOOKUP($AB146,'Cas 2013-2017'!$K:$K,'Cas 2013-2017'!$E:$E,""),"")</f>
        <v/>
      </c>
      <c r="X146" t="str">
        <f>IFERROR(_xlfn.XLOOKUP($AB146,'Cas 2013-2017'!$K:$K,'Cas 2013-2017'!$F:$F,""),"")</f>
        <v/>
      </c>
      <c r="Y146" t="str">
        <f>IFERROR(_xlfn.XLOOKUP($AB146,'Cas 2013-2017'!$K:$K,'Cas 2013-2017'!$G:$G,""),"")</f>
        <v/>
      </c>
      <c r="Z146" t="str">
        <f>IFERROR(_xlfn.XLOOKUP($AB146,'Cas 2013-2017'!$K:$K,'Cas 2013-2017'!$I:$I,""),"")</f>
        <v/>
      </c>
      <c r="AA146" t="str">
        <f>IFERROR(_xlfn.XLOOKUP($AB146,'Cas 2013-2017'!$K:$K,'Cas 2013-2017'!$H:$H,""),"")</f>
        <v/>
      </c>
      <c r="AB146" t="str">
        <f>LOWER($A146 &amp; "|" &amp; $AF146)</f>
        <v>2016|déchirure du ménisque interne.</v>
      </c>
      <c r="AC146" t="str">
        <f>TRIM(SUBSTITUTE(SUBSTITUTE(SUBSTITUTE(SUBSTITUTE(" " &amp; LOWER(TRIM(IF($N146&lt;&gt;"", $N146, $H146))) &amp; " ", " aomi ", " arteriopathie des membres inferieurs "), " hta ", " hypertension arterielle "), " saos ", " syndrome d'apnees obstructives du sommeil "), " rgo ", " reflux gastro-oesophagien ") )</f>
        <v>déchirure du ménisque interne.</v>
      </c>
      <c r="AD146" t="str">
        <f>TRIM(SUBSTITUTE(SUBSTITUTE(SUBSTITUTE(SUBSTITUTE(" " &amp; LOWER(TRIM($AC146)) &amp; " ", " oacr ", " occlusion de l'artere centrale de la retine "), " hsd ", " hematome sous-dural "), " fa ", " fibrillation auriculaire "), " ep ", " embolie pulmonaire ") )</f>
        <v>déchirure du ménisque interne.</v>
      </c>
      <c r="AE146" t="str" cm="1">
        <f t="array" ref="AE146">_xlfn.LET(_xlpm.base, " " &amp; LOWER(TRIM($AD146))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déchirure du ménisque interne.</v>
      </c>
      <c r="AF146" t="str" cm="1">
        <f t="array" ref="AF146">_xlfn.LET(_xlpm.base, " " &amp; LOWER(TRIM($AE146))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déchirure du ménisque interne.</v>
      </c>
    </row>
    <row r="147" spans="1:32" ht="33.75">
      <c r="A147" s="8">
        <v>2016</v>
      </c>
      <c r="B147" s="10" t="s">
        <v>221</v>
      </c>
      <c r="C147" s="8" t="s">
        <v>33</v>
      </c>
      <c r="D147" s="20">
        <v>10</v>
      </c>
      <c r="E147" s="11" t="str">
        <f>IF(D147="","",IFERROR(INDEX(SSP!$E$2:$E$266, MATCH(D147, SSP!$F$2:$F$266, 0)),""))</f>
        <v>Douleur (toutes localisations et types confondus)</v>
      </c>
      <c r="F147" s="11" t="str">
        <f>Feuil1!E147</f>
        <v>Douleur coude</v>
      </c>
      <c r="G147" s="12" t="s">
        <v>584</v>
      </c>
      <c r="H147" s="13" t="s">
        <v>585</v>
      </c>
      <c r="I147" s="13"/>
      <c r="J147" s="15" t="s">
        <v>586</v>
      </c>
      <c r="K147" s="9" t="s">
        <v>33</v>
      </c>
      <c r="L147" s="9" t="s">
        <v>33</v>
      </c>
      <c r="M147" s="9" t="s">
        <v>33</v>
      </c>
      <c r="N147" t="s">
        <v>587</v>
      </c>
      <c r="O147" t="str">
        <f>IFERROR(_xlfn.XLOOKUP($D147, SSP!$F:$F, SSP!$E:$E, "Inconnu"), "")</f>
        <v>Douleur (toutes localisations et types confondus)</v>
      </c>
      <c r="P147" t="str">
        <f>IF(OR(E147="", O147=""), "", IF(LOWER(E147)=LOWER(O147), "OK", "⚠️ Libellé ≠ n°"))</f>
        <v>OK</v>
      </c>
      <c r="Q147" t="str">
        <f>IF(Feuil1!$E147="", "", IF(LOWER(Feuil1!$E147)=LOWER(E147), "Identique", "Différent"))</f>
        <v>Différent</v>
      </c>
      <c r="R147" t="str">
        <f>IF(OR(P147="⚠️ Libellé ≠ n°", O147="Inconnu"), "⚠️", IF(Q147="Différent", "ℹ️", ""))</f>
        <v>ℹ️</v>
      </c>
      <c r="S147" t="str" cm="1">
        <f t="array" ref="S147">_xlfn.LET(_xlpm.genCat,IFERROR(LOWER(TRIM(G147)),""),_xlpm.principal,IFERROR(LOWER(TRIM(H147)),""),_xlpm.orig,IFERROR(LOWER(TRIM(N147)),""),IF(OR(_xlpm.genCat="",_xlpm.principal=""),"",IF(LEFT(LOWER(G147),5)="autre","OK (Autre)",IF(OR(ISNUMBER(SEARCH(_xlpm.genCat,_xlpm.principal)),ISNUMBER(SEARCH(_xlpm.principal,_xlpm.genCat)),AND(_xlpm.orig&lt;&gt;"",OR(ISNUMBER(SEARCH(_xlpm.genCat,_xlpm.orig)),ISNUMBER(SEARCH(_xlpm.orig,_xlpm.genCat))))),"OK","⚠️ À vérifier"))))</f>
        <v>⚠️ À vérifier</v>
      </c>
      <c r="T147" t="str">
        <f>IF(S147="","",IF(S147="OK (Autre)","Diagnostic générique = 'Autre – …'",IF(S147="OK","Concordance générique/principal","Écart entre générique et principal")))</f>
        <v>Écart entre générique et principal</v>
      </c>
      <c r="U147" t="str" cm="1">
        <f t="array" ref="U147">_xlfn.LET(_xlpm.yr, A147, _xlpm.diag, IF(N147&lt;&gt;"", N147, H147), _xlpm.base, TRIM(SUBSTITUTE(SUBSTITUTE(SUBSTITUTE(SUBSTITUTE(_xlpm.diag,"•"," "),CHAR(160)," "),CHAR(10)," "),"  "," ")), LOWER(_xlpm.yr&amp;"|"&amp;_xlpm.base))</f>
        <v>2016|épicondylite latérale (tennis elbow).</v>
      </c>
      <c r="V147" t="str">
        <f>IFERROR(_xlfn.XLOOKUP($AB147,'Cas 2013-2017'!$K:$K,'Cas 2013-2017'!$D:$D,""),"")</f>
        <v/>
      </c>
      <c r="W147" t="str">
        <f>IFERROR(_xlfn.XLOOKUP($AB147,'Cas 2013-2017'!$K:$K,'Cas 2013-2017'!$E:$E,""),"")</f>
        <v/>
      </c>
      <c r="X147" t="str">
        <f>IFERROR(_xlfn.XLOOKUP($AB147,'Cas 2013-2017'!$K:$K,'Cas 2013-2017'!$F:$F,""),"")</f>
        <v/>
      </c>
      <c r="Y147" t="str">
        <f>IFERROR(_xlfn.XLOOKUP($AB147,'Cas 2013-2017'!$K:$K,'Cas 2013-2017'!$G:$G,""),"")</f>
        <v/>
      </c>
      <c r="Z147" t="str">
        <f>IFERROR(_xlfn.XLOOKUP($AB147,'Cas 2013-2017'!$K:$K,'Cas 2013-2017'!$I:$I,""),"")</f>
        <v/>
      </c>
      <c r="AA147" t="str">
        <f>IFERROR(_xlfn.XLOOKUP($AB147,'Cas 2013-2017'!$K:$K,'Cas 2013-2017'!$H:$H,""),"")</f>
        <v/>
      </c>
      <c r="AB147" t="str">
        <f>LOWER($A147 &amp; "|" &amp; $AF147)</f>
        <v>2016|épicondylite latérale (tennis elbow).</v>
      </c>
      <c r="AC147" t="str">
        <f>TRIM(SUBSTITUTE(SUBSTITUTE(SUBSTITUTE(SUBSTITUTE(" " &amp; LOWER(TRIM(IF($N147&lt;&gt;"", $N147, $H147))) &amp; " ", " aomi ", " arteriopathie des membres inferieurs "), " hta ", " hypertension arterielle "), " saos ", " syndrome d'apnees obstructives du sommeil "), " rgo ", " reflux gastro-oesophagien ") )</f>
        <v>épicondylite latérale (tennis elbow).</v>
      </c>
      <c r="AD147" t="str">
        <f>TRIM(SUBSTITUTE(SUBSTITUTE(SUBSTITUTE(SUBSTITUTE(" " &amp; LOWER(TRIM($AC147)) &amp; " ", " oacr ", " occlusion de l'artere centrale de la retine "), " hsd ", " hematome sous-dural "), " fa ", " fibrillation auriculaire "), " ep ", " embolie pulmonaire ") )</f>
        <v>épicondylite latérale (tennis elbow).</v>
      </c>
      <c r="AE147" t="str" cm="1">
        <f t="array" ref="AE147">_xlfn.LET(_xlpm.base, " " &amp; LOWER(TRIM($AD147))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épicondylite latérale (tennis elbow).</v>
      </c>
      <c r="AF147" t="str" cm="1">
        <f t="array" ref="AF147">_xlfn.LET(_xlpm.base, " " &amp; LOWER(TRIM($AE147))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épicondylite latérale (tennis elbow).</v>
      </c>
    </row>
    <row r="148" spans="1:32" ht="33.75">
      <c r="A148" s="8">
        <v>2016</v>
      </c>
      <c r="B148" s="10" t="s">
        <v>221</v>
      </c>
      <c r="C148" s="8" t="s">
        <v>33</v>
      </c>
      <c r="D148" s="20">
        <v>10</v>
      </c>
      <c r="E148" s="11" t="str">
        <f>IF(D148="","",IFERROR(INDEX(SSP!$E$2:$E$266, MATCH(D148, SSP!$F$2:$F$266, 0)),""))</f>
        <v>Douleur (toutes localisations et types confondus)</v>
      </c>
      <c r="F148" s="11" t="str">
        <f>Feuil1!E148</f>
        <v>Douleur dorsale</v>
      </c>
      <c r="G148" s="12" t="s">
        <v>470</v>
      </c>
      <c r="H148" s="13" t="s">
        <v>588</v>
      </c>
      <c r="I148" s="13"/>
      <c r="J148" s="15" t="s">
        <v>589</v>
      </c>
      <c r="K148" s="9" t="s">
        <v>590</v>
      </c>
      <c r="L148" s="9" t="s">
        <v>33</v>
      </c>
      <c r="M148" s="9" t="s">
        <v>33</v>
      </c>
      <c r="N148" t="s">
        <v>588</v>
      </c>
      <c r="O148" t="str">
        <f>IFERROR(_xlfn.XLOOKUP($D148, SSP!$F:$F, SSP!$E:$E, "Inconnu"), "")</f>
        <v>Douleur (toutes localisations et types confondus)</v>
      </c>
      <c r="P148" t="str">
        <f>IF(OR(E148="", O148=""), "", IF(LOWER(E148)=LOWER(O148), "OK", "⚠️ Libellé ≠ n°"))</f>
        <v>OK</v>
      </c>
      <c r="Q148" t="str">
        <f>IF(Feuil1!$E148="", "", IF(LOWER(Feuil1!$E148)=LOWER(E148), "Identique", "Différent"))</f>
        <v>Différent</v>
      </c>
      <c r="R148" t="str">
        <f>IF(OR(P148="⚠️ Libellé ≠ n°", O148="Inconnu"), "⚠️", IF(Q148="Différent", "ℹ️", ""))</f>
        <v>ℹ️</v>
      </c>
      <c r="S148" t="str" cm="1">
        <f t="array" ref="S148">_xlfn.LET(_xlpm.genCat,IFERROR(LOWER(TRIM(G148)),""),_xlpm.principal,IFERROR(LOWER(TRIM(H148)),""),_xlpm.orig,IFERROR(LOWER(TRIM(N148)),""),IF(OR(_xlpm.genCat="",_xlpm.principal=""),"",IF(LEFT(LOWER(G148),5)="autre","OK (Autre)",IF(OR(ISNUMBER(SEARCH(_xlpm.genCat,_xlpm.principal)),ISNUMBER(SEARCH(_xlpm.principal,_xlpm.genCat)),AND(_xlpm.orig&lt;&gt;"",OR(ISNUMBER(SEARCH(_xlpm.genCat,_xlpm.orig)),ISNUMBER(SEARCH(_xlpm.orig,_xlpm.genCat))))),"OK","⚠️ À vérifier"))))</f>
        <v>⚠️ À vérifier</v>
      </c>
      <c r="T148" t="str">
        <f>IF(S148="","",IF(S148="OK (Autre)","Diagnostic générique = 'Autre – …'",IF(S148="OK","Concordance générique/principal","Écart entre générique et principal")))</f>
        <v>Écart entre générique et principal</v>
      </c>
      <c r="U148" t="str" cm="1">
        <f t="array" ref="U148">_xlfn.LET(_xlpm.yr, A148, _xlpm.diag, IF(N148&lt;&gt;"", N148, H148), _xlpm.base, TRIM(SUBSTITUTE(SUBSTITUTE(SUBSTITUTE(SUBSTITUTE(_xlpm.diag,"•"," "),CHAR(160)," "),CHAR(10)," "),"  "," ")), LOWER(_xlpm.yr&amp;"|"&amp;_xlpm.base))</f>
        <v>2016|hernie discale (lombaire)</v>
      </c>
      <c r="V148" t="str">
        <f>IFERROR(_xlfn.XLOOKUP($AB148,'Cas 2013-2017'!$K:$K,'Cas 2013-2017'!$D:$D,""),"")</f>
        <v/>
      </c>
      <c r="W148" t="str">
        <f>IFERROR(_xlfn.XLOOKUP($AB148,'Cas 2013-2017'!$K:$K,'Cas 2013-2017'!$E:$E,""),"")</f>
        <v/>
      </c>
      <c r="X148" t="str">
        <f>IFERROR(_xlfn.XLOOKUP($AB148,'Cas 2013-2017'!$K:$K,'Cas 2013-2017'!$F:$F,""),"")</f>
        <v/>
      </c>
      <c r="Y148" t="str">
        <f>IFERROR(_xlfn.XLOOKUP($AB148,'Cas 2013-2017'!$K:$K,'Cas 2013-2017'!$G:$G,""),"")</f>
        <v/>
      </c>
      <c r="Z148" t="str">
        <f>IFERROR(_xlfn.XLOOKUP($AB148,'Cas 2013-2017'!$K:$K,'Cas 2013-2017'!$I:$I,""),"")</f>
        <v/>
      </c>
      <c r="AA148" t="str">
        <f>IFERROR(_xlfn.XLOOKUP($AB148,'Cas 2013-2017'!$K:$K,'Cas 2013-2017'!$H:$H,""),"")</f>
        <v/>
      </c>
      <c r="AB148" t="str">
        <f>LOWER($A148 &amp; "|" &amp; $AF148)</f>
        <v>2016|hernie discale (lombaire)</v>
      </c>
      <c r="AC148" t="str">
        <f>TRIM(SUBSTITUTE(SUBSTITUTE(SUBSTITUTE(SUBSTITUTE(" " &amp; LOWER(TRIM(IF($N148&lt;&gt;"", $N148, $H148))) &amp; " ", " aomi ", " arteriopathie des membres inferieurs "), " hta ", " hypertension arterielle "), " saos ", " syndrome d'apnees obstructives du sommeil "), " rgo ", " reflux gastro-oesophagien ") )</f>
        <v>hernie discale (lombaire)</v>
      </c>
      <c r="AD148" t="str">
        <f>TRIM(SUBSTITUTE(SUBSTITUTE(SUBSTITUTE(SUBSTITUTE(" " &amp; LOWER(TRIM($AC148)) &amp; " ", " oacr ", " occlusion de l'artere centrale de la retine "), " hsd ", " hematome sous-dural "), " fa ", " fibrillation auriculaire "), " ep ", " embolie pulmonaire ") )</f>
        <v>hernie discale (lombaire)</v>
      </c>
      <c r="AE148" t="str" cm="1">
        <f t="array" ref="AE148">_xlfn.LET(_xlpm.base, " " &amp; LOWER(TRIM($AD148))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discale (lombaire)</v>
      </c>
      <c r="AF148" t="str" cm="1">
        <f t="array" ref="AF148">_xlfn.LET(_xlpm.base, " " &amp; LOWER(TRIM($AE148))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discale (lombaire)</v>
      </c>
    </row>
    <row r="149" spans="1:32" ht="16.5">
      <c r="A149" s="8">
        <v>2016</v>
      </c>
      <c r="B149" s="10" t="s">
        <v>133</v>
      </c>
      <c r="C149" s="8" t="s">
        <v>33</v>
      </c>
      <c r="D149" s="20">
        <v>220</v>
      </c>
      <c r="E149" s="11" t="str">
        <f>IF(D149="","",IFERROR(INDEX(SSP!$E$2:$E$266, MATCH(D149, SSP!$F$2:$F$266, 0)),""))</f>
        <v>Traumatisme simple et bénin</v>
      </c>
      <c r="F149" s="11" t="str">
        <f>Feuil1!E149</f>
        <v>Chute / traumatisme</v>
      </c>
      <c r="G149" s="12" t="s">
        <v>134</v>
      </c>
      <c r="H149" s="13" t="s">
        <v>591</v>
      </c>
      <c r="I149" s="13"/>
      <c r="J149" s="15" t="s">
        <v>592</v>
      </c>
      <c r="K149" s="9" t="s">
        <v>33</v>
      </c>
      <c r="L149" s="9" t="s">
        <v>33</v>
      </c>
      <c r="M149" s="9" t="s">
        <v>33</v>
      </c>
      <c r="N149" t="s">
        <v>591</v>
      </c>
      <c r="O149" t="str">
        <f>IFERROR(_xlfn.XLOOKUP($D149, SSP!$F:$F, SSP!$E:$E, "Inconnu"), "")</f>
        <v>Traumatisme simple et bénin</v>
      </c>
      <c r="P149" t="str">
        <f>IF(OR(E149="", O149=""), "", IF(LOWER(E149)=LOWER(O149), "OK", "⚠️ Libellé ≠ n°"))</f>
        <v>OK</v>
      </c>
      <c r="Q149" t="str">
        <f>IF(Feuil1!$E149="", "", IF(LOWER(Feuil1!$E149)=LOWER(E149), "Identique", "Différent"))</f>
        <v>Différent</v>
      </c>
      <c r="R149" t="str">
        <f>IF(OR(P149="⚠️ Libellé ≠ n°", O149="Inconnu"), "⚠️", IF(Q149="Différent", "ℹ️", ""))</f>
        <v>ℹ️</v>
      </c>
      <c r="S149" t="str" cm="1">
        <f t="array" ref="S149">_xlfn.LET(_xlpm.genCat,IFERROR(LOWER(TRIM(G149)),""),_xlpm.principal,IFERROR(LOWER(TRIM(H149)),""),_xlpm.orig,IFERROR(LOWER(TRIM(N149)),""),IF(OR(_xlpm.genCat="",_xlpm.principal=""),"",IF(LEFT(LOWER(G149),5)="autre","OK (Autre)",IF(OR(ISNUMBER(SEARCH(_xlpm.genCat,_xlpm.principal)),ISNUMBER(SEARCH(_xlpm.principal,_xlpm.genCat)),AND(_xlpm.orig&lt;&gt;"",OR(ISNUMBER(SEARCH(_xlpm.genCat,_xlpm.orig)),ISNUMBER(SEARCH(_xlpm.orig,_xlpm.genCat))))),"OK","⚠️ À vérifier"))))</f>
        <v>OK</v>
      </c>
      <c r="T149" t="str">
        <f>IF(S149="","",IF(S149="OK (Autre)","Diagnostic générique = 'Autre – …'",IF(S149="OK","Concordance générique/principal","Écart entre générique et principal")))</f>
        <v>Concordance générique/principal</v>
      </c>
      <c r="U149" t="str" cm="1">
        <f t="array" ref="U149">_xlfn.LET(_xlpm.yr, A149, _xlpm.diag, IF(N149&lt;&gt;"", N149, H149), _xlpm.base, TRIM(SUBSTITUTE(SUBSTITUTE(SUBSTITUTE(SUBSTITUTE(_xlpm.diag,"•"," "),CHAR(160)," "),CHAR(10)," "),"  "," ")), LOWER(_xlpm.yr&amp;"|"&amp;_xlpm.base))</f>
        <v>2016|pneumothorax probable</v>
      </c>
      <c r="V149" t="str">
        <f>IFERROR(_xlfn.XLOOKUP($AB149,'Cas 2013-2017'!$K:$K,'Cas 2013-2017'!$D:$D,""),"")</f>
        <v/>
      </c>
      <c r="W149" t="str">
        <f>IFERROR(_xlfn.XLOOKUP($AB149,'Cas 2013-2017'!$K:$K,'Cas 2013-2017'!$E:$E,""),"")</f>
        <v/>
      </c>
      <c r="X149" t="str">
        <f>IFERROR(_xlfn.XLOOKUP($AB149,'Cas 2013-2017'!$K:$K,'Cas 2013-2017'!$F:$F,""),"")</f>
        <v/>
      </c>
      <c r="Y149" t="str">
        <f>IFERROR(_xlfn.XLOOKUP($AB149,'Cas 2013-2017'!$K:$K,'Cas 2013-2017'!$G:$G,""),"")</f>
        <v/>
      </c>
      <c r="Z149" t="str">
        <f>IFERROR(_xlfn.XLOOKUP($AB149,'Cas 2013-2017'!$K:$K,'Cas 2013-2017'!$I:$I,""),"")</f>
        <v/>
      </c>
      <c r="AA149" t="str">
        <f>IFERROR(_xlfn.XLOOKUP($AB149,'Cas 2013-2017'!$K:$K,'Cas 2013-2017'!$H:$H,""),"")</f>
        <v/>
      </c>
      <c r="AB149" t="str">
        <f>LOWER($A149 &amp; "|" &amp; $AF149)</f>
        <v>2016|pneumothorax probable</v>
      </c>
      <c r="AC149" t="str">
        <f>TRIM(SUBSTITUTE(SUBSTITUTE(SUBSTITUTE(SUBSTITUTE(" " &amp; LOWER(TRIM(IF($N149&lt;&gt;"", $N149, $H149))) &amp; " ", " aomi ", " arteriopathie des membres inferieurs "), " hta ", " hypertension arterielle "), " saos ", " syndrome d'apnees obstructives du sommeil "), " rgo ", " reflux gastro-oesophagien ") )</f>
        <v>pneumothorax probable</v>
      </c>
      <c r="AD149" t="str">
        <f>TRIM(SUBSTITUTE(SUBSTITUTE(SUBSTITUTE(SUBSTITUTE(" " &amp; LOWER(TRIM($AC149)) &amp; " ", " oacr ", " occlusion de l'artere centrale de la retine "), " hsd ", " hematome sous-dural "), " fa ", " fibrillation auriculaire "), " ep ", " embolie pulmonaire ") )</f>
        <v>pneumothorax probable</v>
      </c>
      <c r="AE149" t="str" cm="1">
        <f t="array" ref="AE149">_xlfn.LET(_xlpm.base, " " &amp; LOWER(TRIM($AD149))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pneumothorax probable</v>
      </c>
      <c r="AF149" t="str" cm="1">
        <f t="array" ref="AF149">_xlfn.LET(_xlpm.base, " " &amp; LOWER(TRIM($AE149))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pneumothorax probable</v>
      </c>
    </row>
    <row r="150" spans="1:32" ht="100.5">
      <c r="A150" s="8">
        <v>2016</v>
      </c>
      <c r="B150" s="10" t="s">
        <v>221</v>
      </c>
      <c r="C150" s="8" t="s">
        <v>33</v>
      </c>
      <c r="D150" s="20">
        <v>10</v>
      </c>
      <c r="E150" s="11" t="str">
        <f>IF(D150="","",IFERROR(INDEX(SSP!$E$2:$E$266, MATCH(D150, SSP!$F$2:$F$266, 0)),""))</f>
        <v>Douleur (toutes localisations et types confondus)</v>
      </c>
      <c r="F150" s="11" t="str">
        <f>Feuil1!E150</f>
        <v>Douleur jambe</v>
      </c>
      <c r="G150" s="12" t="s">
        <v>226</v>
      </c>
      <c r="H150" s="13" t="s">
        <v>593</v>
      </c>
      <c r="I150" s="13" t="s">
        <v>594</v>
      </c>
      <c r="J150" s="15" t="s">
        <v>595</v>
      </c>
      <c r="K150" s="9" t="s">
        <v>596</v>
      </c>
      <c r="L150" s="9" t="s">
        <v>597</v>
      </c>
      <c r="M150" s="9" t="s">
        <v>598</v>
      </c>
      <c r="N150" t="s">
        <v>593</v>
      </c>
      <c r="O150" t="str">
        <f>IFERROR(_xlfn.XLOOKUP($D150, SSP!$F:$F, SSP!$E:$E, "Inconnu"), "")</f>
        <v>Douleur (toutes localisations et types confondus)</v>
      </c>
      <c r="P150" t="str">
        <f>IF(OR(E150="", O150=""), "", IF(LOWER(E150)=LOWER(O150), "OK", "⚠️ Libellé ≠ n°"))</f>
        <v>OK</v>
      </c>
      <c r="Q150" t="str">
        <f>IF(Feuil1!$E150="", "", IF(LOWER(Feuil1!$E150)=LOWER(E150), "Identique", "Différent"))</f>
        <v>Différent</v>
      </c>
      <c r="R150" t="str">
        <f>IF(OR(P150="⚠️ Libellé ≠ n°", O150="Inconnu"), "⚠️", IF(Q150="Différent", "ℹ️", ""))</f>
        <v>ℹ️</v>
      </c>
      <c r="S150" t="str" cm="1">
        <f t="array" ref="S150">_xlfn.LET(_xlpm.genCat,IFERROR(LOWER(TRIM(G150)),""),_xlpm.principal,IFERROR(LOWER(TRIM(H150)),""),_xlpm.orig,IFERROR(LOWER(TRIM(N150)),""),IF(OR(_xlpm.genCat="",_xlpm.principal=""),"",IF(LEFT(LOWER(G150),5)="autre","OK (Autre)",IF(OR(ISNUMBER(SEARCH(_xlpm.genCat,_xlpm.principal)),ISNUMBER(SEARCH(_xlpm.principal,_xlpm.genCat)),AND(_xlpm.orig&lt;&gt;"",OR(ISNUMBER(SEARCH(_xlpm.genCat,_xlpm.orig)),ISNUMBER(SEARCH(_xlpm.orig,_xlpm.genCat))))),"OK","⚠️ À vérifier"))))</f>
        <v>OK (Autre)</v>
      </c>
      <c r="T150" t="str">
        <f>IF(S150="","",IF(S150="OK (Autre)","Diagnostic générique = 'Autre – …'",IF(S150="OK","Concordance générique/principal","Écart entre générique et principal")))</f>
        <v>Diagnostic générique = 'Autre – …'</v>
      </c>
      <c r="U150" t="str" cm="1">
        <f t="array" ref="U150">_xlfn.LET(_xlpm.yr, A150, _xlpm.diag, IF(N150&lt;&gt;"", N150, H150), _xlpm.base, TRIM(SUBSTITUTE(SUBSTITUTE(SUBSTITUTE(SUBSTITUTE(_xlpm.diag,"•"," "),CHAR(160)," "),CHAR(10)," "),"  "," ")), LOWER(_xlpm.yr&amp;"|"&amp;_xlpm.base))</f>
        <v>2016|syndrome des loges</v>
      </c>
      <c r="V150" t="str">
        <f>IFERROR(_xlfn.XLOOKUP($AB150,'Cas 2013-2017'!$K:$K,'Cas 2013-2017'!$D:$D,""),"")</f>
        <v>Douleur ++ jambe après tacle au foot chez jeune patient. ASPEC =&gt; Syndrome des loges =&gt; Urgences (on est dans un hôpital périphérique, dimanche aprèm)</v>
      </c>
      <c r="W150" t="str">
        <f>IFERROR(_xlfn.XLOOKUP($AB150,'Cas 2013-2017'!$K:$K,'Cas 2013-2017'!$E:$E,""),"")</f>
        <v>Douleur progressive et forte, paresthésie, pâleur, pire avec étirement/contraction des muscles • Sympt. Sensitivo-moteur</v>
      </c>
      <c r="X150" t="str">
        <f>IFERROR(_xlfn.XLOOKUP($AB150,'Cas 2013-2017'!$K:$K,'Cas 2013-2017'!$F:$F,""),"")</f>
        <v>Musculature tendue, très douloureuse • Gonflement tissu mou • Pouls conservés jusqu’à tardivement • Inspection, palpation, mvt actifs/passifs, force/sensi/réflexe, pouls • Homans, palpation</v>
      </c>
      <c r="Y150" t="str">
        <f>IFERROR(_xlfn.XLOOKUP($AB150,'Cas 2013-2017'!$K:$K,'Cas 2013-2017'!$G:$G,""),"")</f>
        <v>Syndrome tibial ant : • Déficit extension hallux • Tb sensitif au niveau du 1er espace interdigital • TVP • AOMI</v>
      </c>
      <c r="Z150" t="str">
        <f>IFERROR(_xlfn.XLOOKUP($AB150,'Cas 2013-2017'!$K:$K,'Cas 2013-2017'!$I:$I,""),"")</f>
        <v>Fasciotomie en urgence (dans les 6 premières heures)</v>
      </c>
      <c r="AA150" t="str">
        <f>IFERROR(_xlfn.XLOOKUP($AB150,'Cas 2013-2017'!$K:$K,'Cas 2013-2017'!$H:$H,""),"")</f>
        <v>Mesure de la pression invasive intracompartimentale (N&lt;10mmHg) ici 30- 40mmHg • Suivre Créat et CK (Rhabdomyolyse)</v>
      </c>
      <c r="AB150" t="str">
        <f>LOWER($A150 &amp; "|" &amp; $AF150)</f>
        <v>2016|syndrome des loges</v>
      </c>
      <c r="AC150" t="str">
        <f>TRIM(SUBSTITUTE(SUBSTITUTE(SUBSTITUTE(SUBSTITUTE(" " &amp; LOWER(TRIM(IF($N150&lt;&gt;"", $N150, $H150))) &amp; " ", " aomi ", " arteriopathie des membres inferieurs "), " hta ", " hypertension arterielle "), " saos ", " syndrome d'apnees obstructives du sommeil "), " rgo ", " reflux gastro-oesophagien ") )</f>
        <v>syndrome des loges</v>
      </c>
      <c r="AD150" t="str">
        <f>TRIM(SUBSTITUTE(SUBSTITUTE(SUBSTITUTE(SUBSTITUTE(" " &amp; LOWER(TRIM($AC150)) &amp; " ", " oacr ", " occlusion de l'artere centrale de la retine "), " hsd ", " hematome sous-dural "), " fa ", " fibrillation auriculaire "), " ep ", " embolie pulmonaire ") )</f>
        <v>syndrome des loges</v>
      </c>
      <c r="AE150" t="str" cm="1">
        <f t="array" ref="AE150">_xlfn.LET(_xlpm.base, " " &amp; LOWER(TRIM($AD150))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des loges</v>
      </c>
      <c r="AF150" t="str" cm="1">
        <f t="array" ref="AF150">_xlfn.LET(_xlpm.base, " " &amp; LOWER(TRIM($AE150))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des loges</v>
      </c>
    </row>
    <row r="151" spans="1:32" ht="100.5">
      <c r="A151" s="8">
        <v>2016</v>
      </c>
      <c r="B151" s="10" t="s">
        <v>100</v>
      </c>
      <c r="C151" s="8" t="s">
        <v>33</v>
      </c>
      <c r="D151" s="20">
        <v>103</v>
      </c>
      <c r="E151" s="11" t="str">
        <f>IF(D151="","",IFERROR(INDEX(SSP!$E$2:$E$266, MATCH(D151, SSP!$F$2:$F$266, 0)),""))</f>
        <v>Paresie, paralysie</v>
      </c>
      <c r="F151" s="11" t="str">
        <f>Feuil1!E151</f>
        <v>Parésie</v>
      </c>
      <c r="G151" s="12" t="s">
        <v>599</v>
      </c>
      <c r="H151" s="13" t="s">
        <v>600</v>
      </c>
      <c r="I151" s="13"/>
      <c r="J151" s="15" t="s">
        <v>601</v>
      </c>
      <c r="K151" s="9" t="s">
        <v>602</v>
      </c>
      <c r="L151" s="9" t="s">
        <v>603</v>
      </c>
      <c r="M151" s="9" t="s">
        <v>604</v>
      </c>
      <c r="N151" t="s">
        <v>605</v>
      </c>
      <c r="O151" t="str">
        <f>IFERROR(_xlfn.XLOOKUP($D151, SSP!$F:$F, SSP!$E:$E, "Inconnu"), "")</f>
        <v>Paresie, paralysie</v>
      </c>
      <c r="P151" t="str">
        <f>IF(OR(E151="", O151=""), "", IF(LOWER(E151)=LOWER(O151), "OK", "⚠️ Libellé ≠ n°"))</f>
        <v>OK</v>
      </c>
      <c r="Q151" t="str">
        <f>IF(Feuil1!$E151="", "", IF(LOWER(Feuil1!$E151)=LOWER(E151), "Identique", "Différent"))</f>
        <v>Différent</v>
      </c>
      <c r="R151" t="str">
        <f>IF(OR(P151="⚠️ Libellé ≠ n°", O151="Inconnu"), "⚠️", IF(Q151="Différent", "ℹ️", ""))</f>
        <v>ℹ️</v>
      </c>
      <c r="S151" t="str" cm="1">
        <f t="array" ref="S151">_xlfn.LET(_xlpm.genCat,IFERROR(LOWER(TRIM(G151)),""),_xlpm.principal,IFERROR(LOWER(TRIM(H151)),""),_xlpm.orig,IFERROR(LOWER(TRIM(N151)),""),IF(OR(_xlpm.genCat="",_xlpm.principal=""),"",IF(LEFT(LOWER(G151),5)="autre","OK (Autre)",IF(OR(ISNUMBER(SEARCH(_xlpm.genCat,_xlpm.principal)),ISNUMBER(SEARCH(_xlpm.principal,_xlpm.genCat)),AND(_xlpm.orig&lt;&gt;"",OR(ISNUMBER(SEARCH(_xlpm.genCat,_xlpm.orig)),ISNUMBER(SEARCH(_xlpm.orig,_xlpm.genCat))))),"OK","⚠️ À vérifier"))))</f>
        <v>⚠️ À vérifier</v>
      </c>
      <c r="T151" t="str">
        <f>IF(S151="","",IF(S151="OK (Autre)","Diagnostic générique = 'Autre – …'",IF(S151="OK","Concordance générique/principal","Écart entre générique et principal")))</f>
        <v>Écart entre générique et principal</v>
      </c>
      <c r="U151" t="str" cm="1">
        <f t="array" ref="U151">_xlfn.LET(_xlpm.yr, A151, _xlpm.diag, IF(N151&lt;&gt;"", N151, H151), _xlpm.base, TRIM(SUBSTITUTE(SUBSTITUTE(SUBSTITUTE(SUBSTITUTE(_xlpm.diag,"•"," "),CHAR(160)," "),CHAR(10)," "),"  "," ")), LOWER(_xlpm.yr&amp;"|"&amp;_xlpm.base))</f>
        <v>2016|guillain barré</v>
      </c>
      <c r="V151" t="str">
        <f>IFERROR(_xlfn.XLOOKUP($AB151,'Cas 2013-2017'!$K:$K,'Cas 2013-2017'!$D:$D,""),"")</f>
        <v>Jeune avec fourmillement et perte de force MI symétrique</v>
      </c>
      <c r="W151" t="str">
        <f>IFERROR(_xlfn.XLOOKUP($AB151,'Cas 2013-2017'!$K:$K,'Cas 2013-2017'!$E:$E,""),"")</f>
        <v>Caractériser la plainte -&gt; commence aux MI (paresthésie puis parésie) • Douleurs dos + articulations • Douleur neuropathique • Sensibilité, force, céphalées, vertiges, trouble marche, ataxie, problème de vue, audition, dysphagie, dysarthrie (peut atteindre nn crâniens) • Atteinte autonome: Dyspnée, douleurs thoraciques, palpitations, sudations. Trouble urinaire et transit. • ⅔ cas: infection précède (GI ou tracte resp) -&gt; C. jejuni, CMV</v>
      </c>
      <c r="X151" t="str">
        <f>IFERROR(_xlfn.XLOOKUP($AB151,'Cas 2013-2017'!$K:$K,'Cas 2013-2017'!$F:$F,""),"")</f>
        <v>Neuro : • Hyporéflexie, • Trouble sensibilité • Cardio aussi?</v>
      </c>
      <c r="Y151">
        <f>IFERROR(_xlfn.XLOOKUP($AB151,'Cas 2013-2017'!$K:$K,'Cas 2013-2017'!$G:$G,""),"")</f>
        <v>0</v>
      </c>
      <c r="Z151" t="str">
        <f>IFERROR(_xlfn.XLOOKUP($AB151,'Cas 2013-2017'!$K:$K,'Cas 2013-2017'!$I:$I,""),"")</f>
        <v>Hosp avec monitoring • (⅓ vont nécessiter ventilation) • IVIg haute dose • Evtl Plasmaphérèse • Prophylaxie thrombotique (HBPM) • (PAS glucocorticoide, marche pas, même si maladie AI)</v>
      </c>
      <c r="AA151" t="str">
        <f>IFERROR(_xlfn.XLOOKUP($AB151,'Cas 2013-2017'!$K:$K,'Cas 2013-2017'!$H:$H,""),"")</f>
        <v>PL (dissociation cyto-albumine: cellules normales, protéines élevés) • ENMG (ralentissement de la conduction nerveuse) • Sérologie C. jejuni • ECG (diminution de la variabilité de la FC ou arythmie)</v>
      </c>
      <c r="AB151" t="str">
        <f>LOWER($A151 &amp; "|" &amp; $AF151)</f>
        <v>2016|guillain barré</v>
      </c>
      <c r="AC151" t="str">
        <f>TRIM(SUBSTITUTE(SUBSTITUTE(SUBSTITUTE(SUBSTITUTE(" " &amp; LOWER(TRIM(IF($N151&lt;&gt;"", $N151, $H151))) &amp; " ", " aomi ", " arteriopathie des membres inferieurs "), " hta ", " hypertension arterielle "), " saos ", " syndrome d'apnees obstructives du sommeil "), " rgo ", " reflux gastro-oesophagien ") )</f>
        <v>guillain barré</v>
      </c>
      <c r="AD151" t="str">
        <f>TRIM(SUBSTITUTE(SUBSTITUTE(SUBSTITUTE(SUBSTITUTE(" " &amp; LOWER(TRIM($AC151)) &amp; " ", " oacr ", " occlusion de l'artere centrale de la retine "), " hsd ", " hematome sous-dural "), " fa ", " fibrillation auriculaire "), " ep ", " embolie pulmonaire ") )</f>
        <v>guillain barré</v>
      </c>
      <c r="AE151" t="str" cm="1">
        <f t="array" ref="AE151">_xlfn.LET(_xlpm.base, " " &amp; LOWER(TRIM($AD151))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guillain barré</v>
      </c>
      <c r="AF151" t="str" cm="1">
        <f t="array" ref="AF151">_xlfn.LET(_xlpm.base, " " &amp; LOWER(TRIM($AE151))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guillain barré</v>
      </c>
    </row>
    <row r="152" spans="1:32" ht="33.75">
      <c r="A152" s="8">
        <v>2016</v>
      </c>
      <c r="B152" s="10" t="s">
        <v>100</v>
      </c>
      <c r="C152" s="8" t="s">
        <v>33</v>
      </c>
      <c r="D152" s="20">
        <v>119</v>
      </c>
      <c r="E152" s="11" t="str">
        <f>IF(D152="","",IFERROR(INDEX(SSP!$E$2:$E$266, MATCH(D152, SSP!$F$2:$F$266, 0)),""))</f>
        <v>Trouble du déficit de l’attention</v>
      </c>
      <c r="F152" s="11" t="str">
        <f>Feuil1!E152</f>
        <v>Trouble de la marche</v>
      </c>
      <c r="G152" s="12" t="s">
        <v>606</v>
      </c>
      <c r="H152" s="13" t="s">
        <v>606</v>
      </c>
      <c r="I152" s="13"/>
      <c r="J152" s="15" t="s">
        <v>607</v>
      </c>
      <c r="K152" s="9" t="s">
        <v>33</v>
      </c>
      <c r="L152" s="9" t="s">
        <v>33</v>
      </c>
      <c r="M152" s="9" t="s">
        <v>33</v>
      </c>
      <c r="N152" t="s">
        <v>608</v>
      </c>
      <c r="O152" t="str">
        <f>IFERROR(_xlfn.XLOOKUP($D152, SSP!$F:$F, SSP!$E:$E, "Inconnu"), "")</f>
        <v>Trouble du déficit de l’attention</v>
      </c>
      <c r="P152" t="str">
        <f>IF(OR(E152="", O152=""), "", IF(LOWER(E152)=LOWER(O152), "OK", "⚠️ Libellé ≠ n°"))</f>
        <v>OK</v>
      </c>
      <c r="Q152" t="str">
        <f>IF(Feuil1!$E152="", "", IF(LOWER(Feuil1!$E152)=LOWER(E152), "Identique", "Différent"))</f>
        <v>Différent</v>
      </c>
      <c r="R152" t="str">
        <f>IF(OR(P152="⚠️ Libellé ≠ n°", O152="Inconnu"), "⚠️", IF(Q152="Différent", "ℹ️", ""))</f>
        <v>ℹ️</v>
      </c>
      <c r="S152" t="str" cm="1">
        <f t="array" ref="S152">_xlfn.LET(_xlpm.genCat,IFERROR(LOWER(TRIM(G152)),""),_xlpm.principal,IFERROR(LOWER(TRIM(H152)),""),_xlpm.orig,IFERROR(LOWER(TRIM(N152)),""),IF(OR(_xlpm.genCat="",_xlpm.principal=""),"",IF(LEFT(LOWER(G152),5)="autre","OK (Autre)",IF(OR(ISNUMBER(SEARCH(_xlpm.genCat,_xlpm.principal)),ISNUMBER(SEARCH(_xlpm.principal,_xlpm.genCat)),AND(_xlpm.orig&lt;&gt;"",OR(ISNUMBER(SEARCH(_xlpm.genCat,_xlpm.orig)),ISNUMBER(SEARCH(_xlpm.orig,_xlpm.genCat))))),"OK","⚠️ À vérifier"))))</f>
        <v>OK</v>
      </c>
      <c r="T152" t="str">
        <f>IF(S152="","",IF(S152="OK (Autre)","Diagnostic générique = 'Autre – …'",IF(S152="OK","Concordance générique/principal","Écart entre générique et principal")))</f>
        <v>Concordance générique/principal</v>
      </c>
      <c r="U152" t="str" cm="1">
        <f t="array" ref="U152">_xlfn.LET(_xlpm.yr, A152, _xlpm.diag, IF(N152&lt;&gt;"", N152, H152), _xlpm.base, TRIM(SUBSTITUTE(SUBSTITUTE(SUBSTITUTE(SUBSTITUTE(_xlpm.diag,"•"," "),CHAR(160)," "),CHAR(10)," "),"  "," ")), LOWER(_xlpm.yr&amp;"|"&amp;_xlpm.base))</f>
        <v>2016|hydrocephalie à pression normale</v>
      </c>
      <c r="V152" t="str">
        <f>IFERROR(_xlfn.XLOOKUP($AB152,'Cas 2013-2017'!$K:$K,'Cas 2013-2017'!$D:$D,""),"")</f>
        <v/>
      </c>
      <c r="W152" t="str">
        <f>IFERROR(_xlfn.XLOOKUP($AB152,'Cas 2013-2017'!$K:$K,'Cas 2013-2017'!$E:$E,""),"")</f>
        <v/>
      </c>
      <c r="X152" t="str">
        <f>IFERROR(_xlfn.XLOOKUP($AB152,'Cas 2013-2017'!$K:$K,'Cas 2013-2017'!$F:$F,""),"")</f>
        <v/>
      </c>
      <c r="Y152" t="str">
        <f>IFERROR(_xlfn.XLOOKUP($AB152,'Cas 2013-2017'!$K:$K,'Cas 2013-2017'!$G:$G,""),"")</f>
        <v/>
      </c>
      <c r="Z152" t="str">
        <f>IFERROR(_xlfn.XLOOKUP($AB152,'Cas 2013-2017'!$K:$K,'Cas 2013-2017'!$I:$I,""),"")</f>
        <v/>
      </c>
      <c r="AA152" t="str">
        <f>IFERROR(_xlfn.XLOOKUP($AB152,'Cas 2013-2017'!$K:$K,'Cas 2013-2017'!$H:$H,""),"")</f>
        <v/>
      </c>
      <c r="AB152" t="str">
        <f>LOWER($A152 &amp; "|" &amp; $AF152)</f>
        <v>2016|hydrocephalie à pression normale</v>
      </c>
      <c r="AC152" t="str">
        <f>TRIM(SUBSTITUTE(SUBSTITUTE(SUBSTITUTE(SUBSTITUTE(" " &amp; LOWER(TRIM(IF($N152&lt;&gt;"", $N152, $H152))) &amp; " ", " aomi ", " arteriopathie des membres inferieurs "), " hta ", " hypertension arterielle "), " saos ", " syndrome d'apnees obstructives du sommeil "), " rgo ", " reflux gastro-oesophagien ") )</f>
        <v>hydrocephalie à pression normale</v>
      </c>
      <c r="AD152" t="str">
        <f>TRIM(SUBSTITUTE(SUBSTITUTE(SUBSTITUTE(SUBSTITUTE(" " &amp; LOWER(TRIM($AC152)) &amp; " ", " oacr ", " occlusion de l'artere centrale de la retine "), " hsd ", " hematome sous-dural "), " fa ", " fibrillation auriculaire "), " ep ", " embolie pulmonaire ") )</f>
        <v>hydrocephalie à pression normale</v>
      </c>
      <c r="AE152" t="str" cm="1">
        <f t="array" ref="AE152">_xlfn.LET(_xlpm.base, " " &amp; LOWER(TRIM($AD152))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hydrocephalie à pression normale</v>
      </c>
      <c r="AF152" t="str" cm="1">
        <f t="array" ref="AF152">_xlfn.LET(_xlpm.base, " " &amp; LOWER(TRIM($AE152))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hydrocephalie à pression normale</v>
      </c>
    </row>
    <row r="153" spans="1:32" ht="401.25">
      <c r="A153" s="8">
        <v>2016</v>
      </c>
      <c r="B153" s="10" t="s">
        <v>100</v>
      </c>
      <c r="C153" s="8" t="s">
        <v>33</v>
      </c>
      <c r="D153" s="20">
        <v>100</v>
      </c>
      <c r="E153" s="11" t="str">
        <f>IF(D153="","",IFERROR(INDEX(SSP!$E$2:$E$266, MATCH(D153, SSP!$F$2:$F$266, 0)),""))</f>
        <v>Vertiges, étourdissements</v>
      </c>
      <c r="F153" s="11" t="str">
        <f>Feuil1!E153</f>
        <v>Vertige</v>
      </c>
      <c r="G153" s="12" t="s">
        <v>609</v>
      </c>
      <c r="H153" s="13" t="s">
        <v>610</v>
      </c>
      <c r="I153" s="13"/>
      <c r="J153" s="15" t="s">
        <v>611</v>
      </c>
      <c r="K153" s="9" t="s">
        <v>612</v>
      </c>
      <c r="L153" s="17"/>
      <c r="M153" s="17"/>
      <c r="N153" t="s">
        <v>613</v>
      </c>
      <c r="O153" t="str">
        <f>IFERROR(_xlfn.XLOOKUP($D153, SSP!$F:$F, SSP!$E:$E, "Inconnu"), "")</f>
        <v>Vertiges, étourdissements</v>
      </c>
      <c r="P153" t="str">
        <f>IF(OR(E153="", O153=""), "", IF(LOWER(E153)=LOWER(O153), "OK", "⚠️ Libellé ≠ n°"))</f>
        <v>OK</v>
      </c>
      <c r="Q153" t="str">
        <f>IF(Feuil1!$E153="", "", IF(LOWER(Feuil1!$E153)=LOWER(E153), "Identique", "Différent"))</f>
        <v>Différent</v>
      </c>
      <c r="R153" t="str">
        <f>IF(OR(P153="⚠️ Libellé ≠ n°", O153="Inconnu"), "⚠️", IF(Q153="Différent", "ℹ️", ""))</f>
        <v>ℹ️</v>
      </c>
      <c r="S153" t="str" cm="1">
        <f t="array" ref="S153">_xlfn.LET(_xlpm.genCat,IFERROR(LOWER(TRIM(G153)),""),_xlpm.principal,IFERROR(LOWER(TRIM(H153)),""),_xlpm.orig,IFERROR(LOWER(TRIM(N153)),""),IF(OR(_xlpm.genCat="",_xlpm.principal=""),"",IF(LEFT(LOWER(G153),5)="autre","OK (Autre)",IF(OR(ISNUMBER(SEARCH(_xlpm.genCat,_xlpm.principal)),ISNUMBER(SEARCH(_xlpm.principal,_xlpm.genCat)),AND(_xlpm.orig&lt;&gt;"",OR(ISNUMBER(SEARCH(_xlpm.genCat,_xlpm.orig)),ISNUMBER(SEARCH(_xlpm.orig,_xlpm.genCat))))),"OK","⚠️ À vérifier"))))</f>
        <v>⚠️ À vérifier</v>
      </c>
      <c r="T153" t="str">
        <f>IF(S153="","",IF(S153="OK (Autre)","Diagnostic générique = 'Autre – …'",IF(S153="OK","Concordance générique/principal","Écart entre générique et principal")))</f>
        <v>Écart entre générique et principal</v>
      </c>
      <c r="U153" t="str" cm="1">
        <f t="array" ref="U153">_xlfn.LET(_xlpm.yr, A153, _xlpm.diag, IF(N153&lt;&gt;"", N153, H153), _xlpm.base, TRIM(SUBSTITUTE(SUBSTITUTE(SUBSTITUTE(SUBSTITUTE(_xlpm.diag,"•"," "),CHAR(160)," "),CHAR(10)," "),"  "," ")), LOWER(_xlpm.yr&amp;"|"&amp;_xlpm.base))</f>
        <v>2016|hypota orthostatique</v>
      </c>
      <c r="V153" t="str">
        <f>IFERROR(_xlfn.XLOOKUP($AB153,'Cas 2013-2017'!$K:$K,'Cas 2013-2017'!$D:$D,""),"")</f>
        <v/>
      </c>
      <c r="W153" t="str">
        <f>IFERROR(_xlfn.XLOOKUP($AB153,'Cas 2013-2017'!$K:$K,'Cas 2013-2017'!$E:$E,""),"")</f>
        <v/>
      </c>
      <c r="X153" t="str">
        <f>IFERROR(_xlfn.XLOOKUP($AB153,'Cas 2013-2017'!$K:$K,'Cas 2013-2017'!$F:$F,""),"")</f>
        <v/>
      </c>
      <c r="Y153" t="str">
        <f>IFERROR(_xlfn.XLOOKUP($AB153,'Cas 2013-2017'!$K:$K,'Cas 2013-2017'!$G:$G,""),"")</f>
        <v/>
      </c>
      <c r="Z153" t="str">
        <f>IFERROR(_xlfn.XLOOKUP($AB153,'Cas 2013-2017'!$K:$K,'Cas 2013-2017'!$I:$I,""),"")</f>
        <v/>
      </c>
      <c r="AA153" t="str">
        <f>IFERROR(_xlfn.XLOOKUP($AB153,'Cas 2013-2017'!$K:$K,'Cas 2013-2017'!$H:$H,""),"")</f>
        <v/>
      </c>
      <c r="AB153" t="str">
        <f>LOWER($A153 &amp; "|" &amp; $AF153)</f>
        <v>2016|hypota orthostatique</v>
      </c>
      <c r="AC153" t="str">
        <f>TRIM(SUBSTITUTE(SUBSTITUTE(SUBSTITUTE(SUBSTITUTE(" " &amp; LOWER(TRIM(IF($N153&lt;&gt;"", $N153, $H153))) &amp; " ", " aomi ", " arteriopathie des membres inferieurs "), " hta ", " hypertension arterielle "), " saos ", " syndrome d'apnees obstructives du sommeil "), " rgo ", " reflux gastro-oesophagien ") )</f>
        <v>hypota orthostatique</v>
      </c>
      <c r="AD153" t="str">
        <f>TRIM(SUBSTITUTE(SUBSTITUTE(SUBSTITUTE(SUBSTITUTE(" " &amp; LOWER(TRIM($AC153)) &amp; " ", " oacr ", " occlusion de l'artere centrale de la retine "), " hsd ", " hematome sous-dural "), " fa ", " fibrillation auriculaire "), " ep ", " embolie pulmonaire ") )</f>
        <v>hypota orthostatique</v>
      </c>
      <c r="AE153" t="str" cm="1">
        <f t="array" ref="AE153">_xlfn.LET(_xlpm.base, " " &amp; LOWER(TRIM($AD153))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hypota orthostatique</v>
      </c>
      <c r="AF153" t="str" cm="1">
        <f t="array" ref="AF153">_xlfn.LET(_xlpm.base, " " &amp; LOWER(TRIM($AE153))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hypota orthostatique</v>
      </c>
    </row>
    <row r="154" spans="1:32" ht="33.75">
      <c r="A154" s="8">
        <v>2016</v>
      </c>
      <c r="B154" s="10" t="s">
        <v>100</v>
      </c>
      <c r="C154" s="8" t="s">
        <v>33</v>
      </c>
      <c r="D154" s="20">
        <v>119</v>
      </c>
      <c r="E154" s="11" t="str">
        <f>IF(D154="","",IFERROR(INDEX(SSP!$E$2:$E$266, MATCH(D154, SSP!$F$2:$F$266, 0)),""))</f>
        <v>Trouble du déficit de l’attention</v>
      </c>
      <c r="F154" s="11" t="str">
        <f>Feuil1!E154</f>
        <v>Trouble de la vigilance</v>
      </c>
      <c r="G154" s="12" t="s">
        <v>353</v>
      </c>
      <c r="H154" s="13" t="s">
        <v>354</v>
      </c>
      <c r="I154" s="13"/>
      <c r="J154" s="15" t="s">
        <v>614</v>
      </c>
      <c r="K154" s="9" t="s">
        <v>615</v>
      </c>
      <c r="L154" s="9" t="s">
        <v>33</v>
      </c>
      <c r="M154" s="9" t="s">
        <v>33</v>
      </c>
      <c r="N154" t="s">
        <v>354</v>
      </c>
      <c r="O154" t="str">
        <f>IFERROR(_xlfn.XLOOKUP($D154, SSP!$F:$F, SSP!$E:$E, "Inconnu"), "")</f>
        <v>Trouble du déficit de l’attention</v>
      </c>
      <c r="P154" t="str">
        <f>IF(OR(E154="", O154=""), "", IF(LOWER(E154)=LOWER(O154), "OK", "⚠️ Libellé ≠ n°"))</f>
        <v>OK</v>
      </c>
      <c r="Q154" t="str">
        <f>IF(Feuil1!$E154="", "", IF(LOWER(Feuil1!$E154)=LOWER(E154), "Identique", "Différent"))</f>
        <v>Différent</v>
      </c>
      <c r="R154" t="str">
        <f>IF(OR(P154="⚠️ Libellé ≠ n°", O154="Inconnu"), "⚠️", IF(Q154="Différent", "ℹ️", ""))</f>
        <v>ℹ️</v>
      </c>
      <c r="S154" t="str" cm="1">
        <f t="array" ref="S154">_xlfn.LET(_xlpm.genCat,IFERROR(LOWER(TRIM(G154)),""),_xlpm.principal,IFERROR(LOWER(TRIM(H154)),""),_xlpm.orig,IFERROR(LOWER(TRIM(N154)),""),IF(OR(_xlpm.genCat="",_xlpm.principal=""),"",IF(LEFT(LOWER(G154),5)="autre","OK (Autre)",IF(OR(ISNUMBER(SEARCH(_xlpm.genCat,_xlpm.principal)),ISNUMBER(SEARCH(_xlpm.principal,_xlpm.genCat)),AND(_xlpm.orig&lt;&gt;"",OR(ISNUMBER(SEARCH(_xlpm.genCat,_xlpm.orig)),ISNUMBER(SEARCH(_xlpm.orig,_xlpm.genCat))))),"OK","⚠️ À vérifier"))))</f>
        <v>⚠️ À vérifier</v>
      </c>
      <c r="T154" t="str">
        <f>IF(S154="","",IF(S154="OK (Autre)","Diagnostic générique = 'Autre – …'",IF(S154="OK","Concordance générique/principal","Écart entre générique et principal")))</f>
        <v>Écart entre générique et principal</v>
      </c>
      <c r="U154" t="str" cm="1">
        <f t="array" ref="U154">_xlfn.LET(_xlpm.yr, A154, _xlpm.diag, IF(N154&lt;&gt;"", N154, H154), _xlpm.base, TRIM(SUBSTITUTE(SUBSTITUTE(SUBSTITUTE(SUBSTITUTE(_xlpm.diag,"•"," "),CHAR(160)," "),CHAR(10)," "),"  "," ")), LOWER(_xlpm.yr&amp;"|"&amp;_xlpm.base))</f>
        <v>2016|méningite</v>
      </c>
      <c r="V154" t="str">
        <f>IFERROR(_xlfn.XLOOKUP($AB154,'Cas 2013-2017'!$K:$K,'Cas 2013-2017'!$D:$D,""),"")</f>
        <v/>
      </c>
      <c r="W154" t="str">
        <f>IFERROR(_xlfn.XLOOKUP($AB154,'Cas 2013-2017'!$K:$K,'Cas 2013-2017'!$E:$E,""),"")</f>
        <v/>
      </c>
      <c r="X154" t="str">
        <f>IFERROR(_xlfn.XLOOKUP($AB154,'Cas 2013-2017'!$K:$K,'Cas 2013-2017'!$F:$F,""),"")</f>
        <v/>
      </c>
      <c r="Y154" t="str">
        <f>IFERROR(_xlfn.XLOOKUP($AB154,'Cas 2013-2017'!$K:$K,'Cas 2013-2017'!$G:$G,""),"")</f>
        <v/>
      </c>
      <c r="Z154" t="str">
        <f>IFERROR(_xlfn.XLOOKUP($AB154,'Cas 2013-2017'!$K:$K,'Cas 2013-2017'!$I:$I,""),"")</f>
        <v/>
      </c>
      <c r="AA154" t="str">
        <f>IFERROR(_xlfn.XLOOKUP($AB154,'Cas 2013-2017'!$K:$K,'Cas 2013-2017'!$H:$H,""),"")</f>
        <v/>
      </c>
      <c r="AB154" t="str">
        <f>LOWER($A154 &amp; "|" &amp; $AF154)</f>
        <v>2016|méningite</v>
      </c>
      <c r="AC154" t="str">
        <f>TRIM(SUBSTITUTE(SUBSTITUTE(SUBSTITUTE(SUBSTITUTE(" " &amp; LOWER(TRIM(IF($N154&lt;&gt;"", $N154, $H154))) &amp; " ", " aomi ", " arteriopathie des membres inferieurs "), " hta ", " hypertension arterielle "), " saos ", " syndrome d'apnees obstructives du sommeil "), " rgo ", " reflux gastro-oesophagien ") )</f>
        <v>méningite</v>
      </c>
      <c r="AD154" t="str">
        <f>TRIM(SUBSTITUTE(SUBSTITUTE(SUBSTITUTE(SUBSTITUTE(" " &amp; LOWER(TRIM($AC154)) &amp; " ", " oacr ", " occlusion de l'artere centrale de la retine "), " hsd ", " hematome sous-dural "), " fa ", " fibrillation auriculaire "), " ep ", " embolie pulmonaire ") )</f>
        <v>méningite</v>
      </c>
      <c r="AE154" t="str" cm="1">
        <f t="array" ref="AE154">_xlfn.LET(_xlpm.base, " " &amp; LOWER(TRIM($AD154))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méningite</v>
      </c>
      <c r="AF154" t="str" cm="1">
        <f t="array" ref="AF154">_xlfn.LET(_xlpm.base, " " &amp; LOWER(TRIM($AE154))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méningite</v>
      </c>
    </row>
    <row r="155" spans="1:32" ht="50.25">
      <c r="A155" s="8">
        <v>2016</v>
      </c>
      <c r="B155" s="10" t="s">
        <v>100</v>
      </c>
      <c r="C155" s="8" t="s">
        <v>33</v>
      </c>
      <c r="D155" s="20">
        <v>207</v>
      </c>
      <c r="E155" s="11" t="str">
        <f>IF(D155="","",IFERROR(INDEX(SSP!$E$2:$E$266, MATCH(D155, SSP!$F$2:$F$266, 0)),""))</f>
        <v>Céphalée aiguë intense, syndrome méningé</v>
      </c>
      <c r="F155" s="11" t="str">
        <f>Feuil1!E155</f>
        <v>Céphalée</v>
      </c>
      <c r="G155" s="12" t="s">
        <v>233</v>
      </c>
      <c r="H155" s="13" t="s">
        <v>616</v>
      </c>
      <c r="I155" s="13"/>
      <c r="J155" s="15" t="s">
        <v>617</v>
      </c>
      <c r="K155" s="9" t="s">
        <v>618</v>
      </c>
      <c r="L155" s="9" t="s">
        <v>33</v>
      </c>
      <c r="M155" s="9" t="s">
        <v>33</v>
      </c>
      <c r="N155" t="s">
        <v>616</v>
      </c>
      <c r="O155" t="str">
        <f>IFERROR(_xlfn.XLOOKUP($D155, SSP!$F:$F, SSP!$E:$E, "Inconnu"), "")</f>
        <v>Céphalée aiguë intense, syndrome méningé</v>
      </c>
      <c r="P155" t="str">
        <f>IF(OR(E155="", O155=""), "", IF(LOWER(E155)=LOWER(O155), "OK", "⚠️ Libellé ≠ n°"))</f>
        <v>OK</v>
      </c>
      <c r="Q155" t="str">
        <f>IF(Feuil1!$E155="", "", IF(LOWER(Feuil1!$E155)=LOWER(E155), "Identique", "Différent"))</f>
        <v>Différent</v>
      </c>
      <c r="R155" t="str">
        <f>IF(OR(P155="⚠️ Libellé ≠ n°", O155="Inconnu"), "⚠️", IF(Q155="Différent", "ℹ️", ""))</f>
        <v>ℹ️</v>
      </c>
      <c r="S155" t="str" cm="1">
        <f t="array" ref="S155">_xlfn.LET(_xlpm.genCat,IFERROR(LOWER(TRIM(G155)),""),_xlpm.principal,IFERROR(LOWER(TRIM(H155)),""),_xlpm.orig,IFERROR(LOWER(TRIM(N155)),""),IF(OR(_xlpm.genCat="",_xlpm.principal=""),"",IF(LEFT(LOWER(G155),5)="autre","OK (Autre)",IF(OR(ISNUMBER(SEARCH(_xlpm.genCat,_xlpm.principal)),ISNUMBER(SEARCH(_xlpm.principal,_xlpm.genCat)),AND(_xlpm.orig&lt;&gt;"",OR(ISNUMBER(SEARCH(_xlpm.genCat,_xlpm.orig)),ISNUMBER(SEARCH(_xlpm.orig,_xlpm.genCat))))),"OK","⚠️ À vérifier"))))</f>
        <v>OK (Autre)</v>
      </c>
      <c r="T155" t="str">
        <f>IF(S155="","",IF(S155="OK (Autre)","Diagnostic générique = 'Autre – …'",IF(S155="OK","Concordance générique/principal","Écart entre générique et principal")))</f>
        <v>Diagnostic générique = 'Autre – …'</v>
      </c>
      <c r="U155" t="str" cm="1">
        <f t="array" ref="U155">_xlfn.LET(_xlpm.yr, A155, _xlpm.diag, IF(N155&lt;&gt;"", N155, H155), _xlpm.base, TRIM(SUBSTITUTE(SUBSTITUTE(SUBSTITUTE(SUBSTITUTE(_xlpm.diag,"•"," "),CHAR(160)," "),CHAR(10)," "),"  "," ")), LOWER(_xlpm.yr&amp;"|"&amp;_xlpm.base))</f>
        <v>2016|métastases cérébrales</v>
      </c>
      <c r="V155" t="str">
        <f>IFERROR(_xlfn.XLOOKUP($AB155,'Cas 2013-2017'!$K:$K,'Cas 2013-2017'!$D:$D,""),"")</f>
        <v/>
      </c>
      <c r="W155" t="str">
        <f>IFERROR(_xlfn.XLOOKUP($AB155,'Cas 2013-2017'!$K:$K,'Cas 2013-2017'!$E:$E,""),"")</f>
        <v/>
      </c>
      <c r="X155" t="str">
        <f>IFERROR(_xlfn.XLOOKUP($AB155,'Cas 2013-2017'!$K:$K,'Cas 2013-2017'!$F:$F,""),"")</f>
        <v/>
      </c>
      <c r="Y155" t="str">
        <f>IFERROR(_xlfn.XLOOKUP($AB155,'Cas 2013-2017'!$K:$K,'Cas 2013-2017'!$G:$G,""),"")</f>
        <v/>
      </c>
      <c r="Z155" t="str">
        <f>IFERROR(_xlfn.XLOOKUP($AB155,'Cas 2013-2017'!$K:$K,'Cas 2013-2017'!$I:$I,""),"")</f>
        <v/>
      </c>
      <c r="AA155" t="str">
        <f>IFERROR(_xlfn.XLOOKUP($AB155,'Cas 2013-2017'!$K:$K,'Cas 2013-2017'!$H:$H,""),"")</f>
        <v/>
      </c>
      <c r="AB155" t="str">
        <f>LOWER($A155 &amp; "|" &amp; $AF155)</f>
        <v>2016|métastases cérébrales</v>
      </c>
      <c r="AC155" t="str">
        <f>TRIM(SUBSTITUTE(SUBSTITUTE(SUBSTITUTE(SUBSTITUTE(" " &amp; LOWER(TRIM(IF($N155&lt;&gt;"", $N155, $H155))) &amp; " ", " aomi ", " arteriopathie des membres inferieurs "), " hta ", " hypertension arterielle "), " saos ", " syndrome d'apnees obstructives du sommeil "), " rgo ", " reflux gastro-oesophagien ") )</f>
        <v>métastases cérébrales</v>
      </c>
      <c r="AD155" t="str">
        <f>TRIM(SUBSTITUTE(SUBSTITUTE(SUBSTITUTE(SUBSTITUTE(" " &amp; LOWER(TRIM($AC155)) &amp; " ", " oacr ", " occlusion de l'artere centrale de la retine "), " hsd ", " hematome sous-dural "), " fa ", " fibrillation auriculaire "), " ep ", " embolie pulmonaire ") )</f>
        <v>métastases cérébrales</v>
      </c>
      <c r="AE155" t="str" cm="1">
        <f t="array" ref="AE155">_xlfn.LET(_xlpm.base, " " &amp; LOWER(TRIM($AD155))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métastases cérébrales</v>
      </c>
      <c r="AF155" t="str" cm="1">
        <f t="array" ref="AF155">_xlfn.LET(_xlpm.base, " " &amp; LOWER(TRIM($AE155))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métastases cérébrales</v>
      </c>
    </row>
    <row r="156" spans="1:32" ht="84">
      <c r="A156" s="8">
        <v>2016</v>
      </c>
      <c r="B156" s="10" t="s">
        <v>82</v>
      </c>
      <c r="C156" s="8" t="s">
        <v>33</v>
      </c>
      <c r="D156" s="20">
        <v>18</v>
      </c>
      <c r="E156" s="11" t="str">
        <f>IF(D156="","",IFERROR(INDEX(SSP!$E$2:$E$266, MATCH(D156, SSP!$F$2:$F$266, 0)),""))</f>
        <v>Perte de vision aiguë ou progressive (brutale, lente, transitoire, partielle)</v>
      </c>
      <c r="F156" s="11" t="str">
        <f>Feuil1!E156</f>
        <v>Trouble de la vision</v>
      </c>
      <c r="G156" s="12" t="s">
        <v>83</v>
      </c>
      <c r="H156" s="13" t="s">
        <v>619</v>
      </c>
      <c r="I156" s="13"/>
      <c r="J156" s="15" t="s">
        <v>620</v>
      </c>
      <c r="K156" s="9" t="s">
        <v>621</v>
      </c>
      <c r="L156" s="9" t="s">
        <v>33</v>
      </c>
      <c r="M156" s="9" t="s">
        <v>33</v>
      </c>
      <c r="N156" t="s">
        <v>619</v>
      </c>
      <c r="O156" t="str">
        <f>IFERROR(_xlfn.XLOOKUP($D156, SSP!$F:$F, SSP!$E:$E, "Inconnu"), "")</f>
        <v>Perte de vision aiguë ou progressive (brutale, lente, transitoire, partielle)</v>
      </c>
      <c r="P156" t="str">
        <f>IF(OR(E156="", O156=""), "", IF(LOWER(E156)=LOWER(O156), "OK", "⚠️ Libellé ≠ n°"))</f>
        <v>OK</v>
      </c>
      <c r="Q156" t="str">
        <f>IF(Feuil1!$E156="", "", IF(LOWER(Feuil1!$E156)=LOWER(E156), "Identique", "Différent"))</f>
        <v>Différent</v>
      </c>
      <c r="R156" t="str">
        <f>IF(OR(P156="⚠️ Libellé ≠ n°", O156="Inconnu"), "⚠️", IF(Q156="Différent", "ℹ️", ""))</f>
        <v>ℹ️</v>
      </c>
      <c r="S156" t="str" cm="1">
        <f t="array" ref="S156">_xlfn.LET(_xlpm.genCat,IFERROR(LOWER(TRIM(G156)),""),_xlpm.principal,IFERROR(LOWER(TRIM(H156)),""),_xlpm.orig,IFERROR(LOWER(TRIM(N156)),""),IF(OR(_xlpm.genCat="",_xlpm.principal=""),"",IF(LEFT(LOWER(G156),5)="autre","OK (Autre)",IF(OR(ISNUMBER(SEARCH(_xlpm.genCat,_xlpm.principal)),ISNUMBER(SEARCH(_xlpm.principal,_xlpm.genCat)),AND(_xlpm.orig&lt;&gt;"",OR(ISNUMBER(SEARCH(_xlpm.genCat,_xlpm.orig)),ISNUMBER(SEARCH(_xlpm.orig,_xlpm.genCat))))),"OK","⚠️ À vérifier"))))</f>
        <v>OK (Autre)</v>
      </c>
      <c r="T156" t="str">
        <f>IF(S156="","",IF(S156="OK (Autre)","Diagnostic générique = 'Autre – …'",IF(S156="OK","Concordance générique/principal","Écart entre générique et principal")))</f>
        <v>Diagnostic générique = 'Autre – …'</v>
      </c>
      <c r="U156" t="str" cm="1">
        <f t="array" ref="U156">_xlfn.LET(_xlpm.yr, A156, _xlpm.diag, IF(N156&lt;&gt;"", N156, H156), _xlpm.base, TRIM(SUBSTITUTE(SUBSTITUTE(SUBSTITUTE(SUBSTITUTE(_xlpm.diag,"•"," "),CHAR(160)," "),CHAR(10)," "),"  "," ")), LOWER(_xlpm.yr&amp;"|"&amp;_xlpm.base))</f>
        <v>2016|décollement rétine</v>
      </c>
      <c r="V156" t="str">
        <f>IFERROR(_xlfn.XLOOKUP($AB156,'Cas 2013-2017'!$K:$K,'Cas 2013-2017'!$D:$D,""),"")</f>
        <v/>
      </c>
      <c r="W156" t="str">
        <f>IFERROR(_xlfn.XLOOKUP($AB156,'Cas 2013-2017'!$K:$K,'Cas 2013-2017'!$E:$E,""),"")</f>
        <v/>
      </c>
      <c r="X156" t="str">
        <f>IFERROR(_xlfn.XLOOKUP($AB156,'Cas 2013-2017'!$K:$K,'Cas 2013-2017'!$F:$F,""),"")</f>
        <v/>
      </c>
      <c r="Y156" t="str">
        <f>IFERROR(_xlfn.XLOOKUP($AB156,'Cas 2013-2017'!$K:$K,'Cas 2013-2017'!$G:$G,""),"")</f>
        <v/>
      </c>
      <c r="Z156" t="str">
        <f>IFERROR(_xlfn.XLOOKUP($AB156,'Cas 2013-2017'!$K:$K,'Cas 2013-2017'!$I:$I,""),"")</f>
        <v/>
      </c>
      <c r="AA156" t="str">
        <f>IFERROR(_xlfn.XLOOKUP($AB156,'Cas 2013-2017'!$K:$K,'Cas 2013-2017'!$H:$H,""),"")</f>
        <v/>
      </c>
      <c r="AB156" t="str">
        <f>LOWER($A156 &amp; "|" &amp; $AF156)</f>
        <v>2016|décollement rétine</v>
      </c>
      <c r="AC156" t="str">
        <f>TRIM(SUBSTITUTE(SUBSTITUTE(SUBSTITUTE(SUBSTITUTE(" " &amp; LOWER(TRIM(IF($N156&lt;&gt;"", $N156, $H156))) &amp; " ", " aomi ", " arteriopathie des membres inferieurs "), " hta ", " hypertension arterielle "), " saos ", " syndrome d'apnees obstructives du sommeil "), " rgo ", " reflux gastro-oesophagien ") )</f>
        <v>décollement rétine</v>
      </c>
      <c r="AD156" t="str">
        <f>TRIM(SUBSTITUTE(SUBSTITUTE(SUBSTITUTE(SUBSTITUTE(" " &amp; LOWER(TRIM($AC156)) &amp; " ", " oacr ", " occlusion de l'artere centrale de la retine "), " hsd ", " hematome sous-dural "), " fa ", " fibrillation auriculaire "), " ep ", " embolie pulmonaire ") )</f>
        <v>décollement rétine</v>
      </c>
      <c r="AE156" t="str" cm="1">
        <f t="array" ref="AE156">_xlfn.LET(_xlpm.base, " " &amp; LOWER(TRIM($AD156))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décollement rétine</v>
      </c>
      <c r="AF156" t="str" cm="1">
        <f t="array" ref="AF156">_xlfn.LET(_xlpm.base, " " &amp; LOWER(TRIM($AE156))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décollement rétine</v>
      </c>
    </row>
    <row r="157" spans="1:32" ht="33.75">
      <c r="A157" s="8">
        <v>2016</v>
      </c>
      <c r="B157" s="10" t="s">
        <v>115</v>
      </c>
      <c r="C157" s="8" t="s">
        <v>33</v>
      </c>
      <c r="D157" s="20">
        <v>28</v>
      </c>
      <c r="E157" s="11" t="str">
        <f>IF(D157="","",IFERROR(INDEX(SSP!$E$2:$E$266, MATCH(D157, SSP!$F$2:$F$266, 0)),""))</f>
        <v>Troubles de l’audition : hyperacousie, hypoacousie, surdité, acouphènes</v>
      </c>
      <c r="F157" s="11" t="str">
        <f>Feuil1!E157</f>
        <v>Trouble de l'audition</v>
      </c>
      <c r="G157" s="12" t="s">
        <v>254</v>
      </c>
      <c r="H157" s="13" t="s">
        <v>255</v>
      </c>
      <c r="I157" s="13"/>
      <c r="J157" s="15" t="s">
        <v>622</v>
      </c>
      <c r="K157" s="9" t="s">
        <v>623</v>
      </c>
      <c r="L157" s="9" t="s">
        <v>33</v>
      </c>
      <c r="M157" s="9" t="s">
        <v>33</v>
      </c>
      <c r="N157" t="s">
        <v>257</v>
      </c>
      <c r="O157" t="str">
        <f>IFERROR(_xlfn.XLOOKUP($D157, SSP!$F:$F, SSP!$E:$E, "Inconnu"), "")</f>
        <v>Troubles de l’audition : hyperacousie, hypoacousie, surdité, acouphènes</v>
      </c>
      <c r="P157" t="str">
        <f>IF(OR(E157="", O157=""), "", IF(LOWER(E157)=LOWER(O157), "OK", "⚠️ Libellé ≠ n°"))</f>
        <v>OK</v>
      </c>
      <c r="Q157" t="str">
        <f>IF(Feuil1!$E157="", "", IF(LOWER(Feuil1!$E157)=LOWER(E157), "Identique", "Différent"))</f>
        <v>Différent</v>
      </c>
      <c r="R157" t="str">
        <f>IF(OR(P157="⚠️ Libellé ≠ n°", O157="Inconnu"), "⚠️", IF(Q157="Différent", "ℹ️", ""))</f>
        <v>ℹ️</v>
      </c>
      <c r="S157" t="str" cm="1">
        <f t="array" ref="S157">_xlfn.LET(_xlpm.genCat,IFERROR(LOWER(TRIM(G157)),""),_xlpm.principal,IFERROR(LOWER(TRIM(H157)),""),_xlpm.orig,IFERROR(LOWER(TRIM(N157)),""),IF(OR(_xlpm.genCat="",_xlpm.principal=""),"",IF(LEFT(LOWER(G157),5)="autre","OK (Autre)",IF(OR(ISNUMBER(SEARCH(_xlpm.genCat,_xlpm.principal)),ISNUMBER(SEARCH(_xlpm.principal,_xlpm.genCat)),AND(_xlpm.orig&lt;&gt;"",OR(ISNUMBER(SEARCH(_xlpm.genCat,_xlpm.orig)),ISNUMBER(SEARCH(_xlpm.orig,_xlpm.genCat))))),"OK","⚠️ À vérifier"))))</f>
        <v>⚠️ À vérifier</v>
      </c>
      <c r="T157" t="str">
        <f>IF(S157="","",IF(S157="OK (Autre)","Diagnostic générique = 'Autre – …'",IF(S157="OK","Concordance générique/principal","Écart entre générique et principal")))</f>
        <v>Écart entre générique et principal</v>
      </c>
      <c r="U157" t="str" cm="1">
        <f t="array" ref="U157">_xlfn.LET(_xlpm.yr, A157, _xlpm.diag, IF(N157&lt;&gt;"", N157, H157), _xlpm.base, TRIM(SUBSTITUTE(SUBSTITUTE(SUBSTITUTE(SUBSTITUTE(_xlpm.diag,"•"," "),CHAR(160)," "),CHAR(10)," "),"  "," ")), LOWER(_xlpm.yr&amp;"|"&amp;_xlpm.base))</f>
        <v>2016|otosclérose</v>
      </c>
      <c r="V157" t="str">
        <f>IFERROR(_xlfn.XLOOKUP($AB157,'Cas 2013-2017'!$K:$K,'Cas 2013-2017'!$D:$D,""),"")</f>
        <v/>
      </c>
      <c r="W157" t="str">
        <f>IFERROR(_xlfn.XLOOKUP($AB157,'Cas 2013-2017'!$K:$K,'Cas 2013-2017'!$E:$E,""),"")</f>
        <v/>
      </c>
      <c r="X157" t="str">
        <f>IFERROR(_xlfn.XLOOKUP($AB157,'Cas 2013-2017'!$K:$K,'Cas 2013-2017'!$F:$F,""),"")</f>
        <v/>
      </c>
      <c r="Y157" t="str">
        <f>IFERROR(_xlfn.XLOOKUP($AB157,'Cas 2013-2017'!$K:$K,'Cas 2013-2017'!$G:$G,""),"")</f>
        <v/>
      </c>
      <c r="Z157" t="str">
        <f>IFERROR(_xlfn.XLOOKUP($AB157,'Cas 2013-2017'!$K:$K,'Cas 2013-2017'!$I:$I,""),"")</f>
        <v/>
      </c>
      <c r="AA157" t="str">
        <f>IFERROR(_xlfn.XLOOKUP($AB157,'Cas 2013-2017'!$K:$K,'Cas 2013-2017'!$H:$H,""),"")</f>
        <v/>
      </c>
      <c r="AB157" t="str">
        <f>LOWER($A157 &amp; "|" &amp; $AF157)</f>
        <v>2016|otosclérose</v>
      </c>
      <c r="AC157" t="str">
        <f>TRIM(SUBSTITUTE(SUBSTITUTE(SUBSTITUTE(SUBSTITUTE(" " &amp; LOWER(TRIM(IF($N157&lt;&gt;"", $N157, $H157))) &amp; " ", " aomi ", " arteriopathie des membres inferieurs "), " hta ", " hypertension arterielle "), " saos ", " syndrome d'apnees obstructives du sommeil "), " rgo ", " reflux gastro-oesophagien ") )</f>
        <v>otosclérose</v>
      </c>
      <c r="AD157" t="str">
        <f>TRIM(SUBSTITUTE(SUBSTITUTE(SUBSTITUTE(SUBSTITUTE(" " &amp; LOWER(TRIM($AC157)) &amp; " ", " oacr ", " occlusion de l'artere centrale de la retine "), " hsd ", " hematome sous-dural "), " fa ", " fibrillation auriculaire "), " ep ", " embolie pulmonaire ") )</f>
        <v>otosclérose</v>
      </c>
      <c r="AE157" t="str" cm="1">
        <f t="array" ref="AE157">_xlfn.LET(_xlpm.base, " " &amp; LOWER(TRIM($AD157))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otosclérose</v>
      </c>
      <c r="AF157" t="str" cm="1">
        <f t="array" ref="AF157">_xlfn.LET(_xlpm.base, " " &amp; LOWER(TRIM($AE157))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otosclérose</v>
      </c>
    </row>
    <row r="158" spans="1:32" ht="33.75">
      <c r="A158" s="8">
        <v>2016</v>
      </c>
      <c r="B158" s="10" t="s">
        <v>60</v>
      </c>
      <c r="C158" s="8" t="s">
        <v>33</v>
      </c>
      <c r="D158" s="20">
        <v>63</v>
      </c>
      <c r="E158" s="11" t="str">
        <f>IF(D158="","",IFERROR(INDEX(SSP!$E$2:$E$266, MATCH(D158, SSP!$F$2:$F$266, 0)),""))</f>
        <v>Anurie, pollakiurie, oligurie, polyurie</v>
      </c>
      <c r="F158" s="11" t="str">
        <f>Feuil1!E158</f>
        <v>Polyurie</v>
      </c>
      <c r="G158" s="12" t="s">
        <v>123</v>
      </c>
      <c r="H158" s="13" t="s">
        <v>124</v>
      </c>
      <c r="I158" s="13"/>
      <c r="J158" s="15" t="s">
        <v>624</v>
      </c>
      <c r="K158" s="9" t="s">
        <v>625</v>
      </c>
      <c r="L158" s="9" t="s">
        <v>33</v>
      </c>
      <c r="M158" s="9" t="s">
        <v>33</v>
      </c>
      <c r="N158" t="s">
        <v>124</v>
      </c>
      <c r="O158" t="str">
        <f>IFERROR(_xlfn.XLOOKUP($D158, SSP!$F:$F, SSP!$E:$E, "Inconnu"), "")</f>
        <v>Anurie, pollakiurie, oligurie, polyurie</v>
      </c>
      <c r="P158" t="str">
        <f>IF(OR(E158="", O158=""), "", IF(LOWER(E158)=LOWER(O158), "OK", "⚠️ Libellé ≠ n°"))</f>
        <v>OK</v>
      </c>
      <c r="Q158" t="str">
        <f>IF(Feuil1!$E158="", "", IF(LOWER(Feuil1!$E158)=LOWER(E158), "Identique", "Différent"))</f>
        <v>Différent</v>
      </c>
      <c r="R158" t="str">
        <f>IF(OR(P158="⚠️ Libellé ≠ n°", O158="Inconnu"), "⚠️", IF(Q158="Différent", "ℹ️", ""))</f>
        <v>ℹ️</v>
      </c>
      <c r="S158" t="str" cm="1">
        <f t="array" ref="S158">_xlfn.LET(_xlpm.genCat,IFERROR(LOWER(TRIM(G158)),""),_xlpm.principal,IFERROR(LOWER(TRIM(H158)),""),_xlpm.orig,IFERROR(LOWER(TRIM(N158)),""),IF(OR(_xlpm.genCat="",_xlpm.principal=""),"",IF(LEFT(LOWER(G158),5)="autre","OK (Autre)",IF(OR(ISNUMBER(SEARCH(_xlpm.genCat,_xlpm.principal)),ISNUMBER(SEARCH(_xlpm.principal,_xlpm.genCat)),AND(_xlpm.orig&lt;&gt;"",OR(ISNUMBER(SEARCH(_xlpm.genCat,_xlpm.orig)),ISNUMBER(SEARCH(_xlpm.orig,_xlpm.genCat))))),"OK","⚠️ À vérifier"))))</f>
        <v>OK (Autre)</v>
      </c>
      <c r="T158" t="str">
        <f>IF(S158="","",IF(S158="OK (Autre)","Diagnostic générique = 'Autre – …'",IF(S158="OK","Concordance générique/principal","Écart entre générique et principal")))</f>
        <v>Diagnostic générique = 'Autre – …'</v>
      </c>
      <c r="U158" t="str" cm="1">
        <f t="array" ref="U158">_xlfn.LET(_xlpm.yr, A158, _xlpm.diag, IF(N158&lt;&gt;"", N158, H158), _xlpm.base, TRIM(SUBSTITUTE(SUBSTITUTE(SUBSTITUTE(SUBSTITUTE(_xlpm.diag,"•"," "),CHAR(160)," "),CHAR(10)," "),"  "," ")), LOWER(_xlpm.yr&amp;"|"&amp;_xlpm.base))</f>
        <v>2016|acido-cétose sur diabète inaugural</v>
      </c>
      <c r="V158" t="str">
        <f>IFERROR(_xlfn.XLOOKUP($AB158,'Cas 2013-2017'!$K:$K,'Cas 2013-2017'!$D:$D,""),"")</f>
        <v/>
      </c>
      <c r="W158" t="str">
        <f>IFERROR(_xlfn.XLOOKUP($AB158,'Cas 2013-2017'!$K:$K,'Cas 2013-2017'!$E:$E,""),"")</f>
        <v/>
      </c>
      <c r="X158" t="str">
        <f>IFERROR(_xlfn.XLOOKUP($AB158,'Cas 2013-2017'!$K:$K,'Cas 2013-2017'!$F:$F,""),"")</f>
        <v/>
      </c>
      <c r="Y158" t="str">
        <f>IFERROR(_xlfn.XLOOKUP($AB158,'Cas 2013-2017'!$K:$K,'Cas 2013-2017'!$G:$G,""),"")</f>
        <v/>
      </c>
      <c r="Z158" t="str">
        <f>IFERROR(_xlfn.XLOOKUP($AB158,'Cas 2013-2017'!$K:$K,'Cas 2013-2017'!$I:$I,""),"")</f>
        <v/>
      </c>
      <c r="AA158" t="str">
        <f>IFERROR(_xlfn.XLOOKUP($AB158,'Cas 2013-2017'!$K:$K,'Cas 2013-2017'!$H:$H,""),"")</f>
        <v/>
      </c>
      <c r="AB158" t="str">
        <f>LOWER($A158 &amp; "|" &amp; $AF158)</f>
        <v>2016|acido-cétose sur diabète inaugural</v>
      </c>
      <c r="AC158" t="str">
        <f>TRIM(SUBSTITUTE(SUBSTITUTE(SUBSTITUTE(SUBSTITUTE(" " &amp; LOWER(TRIM(IF($N158&lt;&gt;"", $N158, $H158))) &amp; " ", " aomi ", " arteriopathie des membres inferieurs "), " hta ", " hypertension arterielle "), " saos ", " syndrome d'apnees obstructives du sommeil "), " rgo ", " reflux gastro-oesophagien ") )</f>
        <v>acido-cétose sur diabète inaugural</v>
      </c>
      <c r="AD158" t="str">
        <f>TRIM(SUBSTITUTE(SUBSTITUTE(SUBSTITUTE(SUBSTITUTE(" " &amp; LOWER(TRIM($AC158)) &amp; " ", " oacr ", " occlusion de l'artere centrale de la retine "), " hsd ", " hematome sous-dural "), " fa ", " fibrillation auriculaire "), " ep ", " embolie pulmonaire ") )</f>
        <v>acido-cétose sur diabète inaugural</v>
      </c>
      <c r="AE158" t="str" cm="1">
        <f t="array" ref="AE158">_xlfn.LET(_xlpm.base, " " &amp; LOWER(TRIM($AD158))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acido-cétose sur diabète inaugural</v>
      </c>
      <c r="AF158" t="str" cm="1">
        <f t="array" ref="AF158">_xlfn.LET(_xlpm.base, " " &amp; LOWER(TRIM($AE158))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acido-cétose sur diabète inaugural</v>
      </c>
    </row>
    <row r="159" spans="1:32" ht="16.5">
      <c r="A159" s="8">
        <v>2016</v>
      </c>
      <c r="B159" s="10" t="s">
        <v>133</v>
      </c>
      <c r="C159" s="8" t="s">
        <v>33</v>
      </c>
      <c r="D159" s="20">
        <v>45</v>
      </c>
      <c r="E159" s="11" t="str">
        <f>IF(D159="","",IFERROR(INDEX(SSP!$E$2:$E$266, MATCH(D159, SSP!$F$2:$F$266, 0)),""))</f>
        <v>Toux, expectoration, hémoptysie</v>
      </c>
      <c r="F159" s="11" t="str">
        <f>Feuil1!E159</f>
        <v>Toux</v>
      </c>
      <c r="G159" s="12" t="s">
        <v>375</v>
      </c>
      <c r="H159" s="13" t="s">
        <v>626</v>
      </c>
      <c r="I159" s="13" t="s">
        <v>627</v>
      </c>
      <c r="J159" s="15" t="s">
        <v>628</v>
      </c>
      <c r="K159" s="9" t="s">
        <v>33</v>
      </c>
      <c r="L159" s="9" t="s">
        <v>33</v>
      </c>
      <c r="M159" s="9" t="s">
        <v>33</v>
      </c>
      <c r="N159" t="s">
        <v>629</v>
      </c>
      <c r="O159" t="str">
        <f>IFERROR(_xlfn.XLOOKUP($D159, SSP!$F:$F, SSP!$E:$E, "Inconnu"), "")</f>
        <v>Toux, expectoration, hémoptysie</v>
      </c>
      <c r="P159" t="str">
        <f>IF(OR(E159="", O159=""), "", IF(LOWER(E159)=LOWER(O159), "OK", "⚠️ Libellé ≠ n°"))</f>
        <v>OK</v>
      </c>
      <c r="Q159" t="str">
        <f>IF(Feuil1!$E159="", "", IF(LOWER(Feuil1!$E159)=LOWER(E159), "Identique", "Différent"))</f>
        <v>Différent</v>
      </c>
      <c r="R159" t="str">
        <f>IF(OR(P159="⚠️ Libellé ≠ n°", O159="Inconnu"), "⚠️", IF(Q159="Différent", "ℹ️", ""))</f>
        <v>ℹ️</v>
      </c>
      <c r="S159" t="str" cm="1">
        <f t="array" ref="S159">_xlfn.LET(_xlpm.genCat,IFERROR(LOWER(TRIM(G159)),""),_xlpm.principal,IFERROR(LOWER(TRIM(H159)),""),_xlpm.orig,IFERROR(LOWER(TRIM(N159)),""),IF(OR(_xlpm.genCat="",_xlpm.principal=""),"",IF(LEFT(LOWER(G159),5)="autre","OK (Autre)",IF(OR(ISNUMBER(SEARCH(_xlpm.genCat,_xlpm.principal)),ISNUMBER(SEARCH(_xlpm.principal,_xlpm.genCat)),AND(_xlpm.orig&lt;&gt;"",OR(ISNUMBER(SEARCH(_xlpm.genCat,_xlpm.orig)),ISNUMBER(SEARCH(_xlpm.orig,_xlpm.genCat))))),"OK","⚠️ À vérifier"))))</f>
        <v>OK</v>
      </c>
      <c r="T159" t="str">
        <f>IF(S159="","",IF(S159="OK (Autre)","Diagnostic générique = 'Autre – …'",IF(S159="OK","Concordance générique/principal","Écart entre générique et principal")))</f>
        <v>Concordance générique/principal</v>
      </c>
      <c r="U159" t="str" cm="1">
        <f t="array" ref="U159">_xlfn.LET(_xlpm.yr, A159, _xlpm.diag, IF(N159&lt;&gt;"", N159, H159), _xlpm.base, TRIM(SUBSTITUTE(SUBSTITUTE(SUBSTITUTE(SUBSTITUTE(_xlpm.diag,"•"," "),CHAR(160)," "),CHAR(10)," "),"  "," ")), LOWER(_xlpm.yr&amp;"|"&amp;_xlpm.base))</f>
        <v>2016|asthme d’effort/au froid</v>
      </c>
      <c r="V159" t="str">
        <f>IFERROR(_xlfn.XLOOKUP($AB159,'Cas 2013-2017'!$K:$K,'Cas 2013-2017'!$D:$D,""),"")</f>
        <v/>
      </c>
      <c r="W159" t="str">
        <f>IFERROR(_xlfn.XLOOKUP($AB159,'Cas 2013-2017'!$K:$K,'Cas 2013-2017'!$E:$E,""),"")</f>
        <v/>
      </c>
      <c r="X159" t="str">
        <f>IFERROR(_xlfn.XLOOKUP($AB159,'Cas 2013-2017'!$K:$K,'Cas 2013-2017'!$F:$F,""),"")</f>
        <v/>
      </c>
      <c r="Y159" t="str">
        <f>IFERROR(_xlfn.XLOOKUP($AB159,'Cas 2013-2017'!$K:$K,'Cas 2013-2017'!$G:$G,""),"")</f>
        <v/>
      </c>
      <c r="Z159" t="str">
        <f>IFERROR(_xlfn.XLOOKUP($AB159,'Cas 2013-2017'!$K:$K,'Cas 2013-2017'!$I:$I,""),"")</f>
        <v/>
      </c>
      <c r="AA159" t="str">
        <f>IFERROR(_xlfn.XLOOKUP($AB159,'Cas 2013-2017'!$K:$K,'Cas 2013-2017'!$H:$H,""),"")</f>
        <v/>
      </c>
      <c r="AB159" t="str">
        <f>LOWER($A159 &amp; "|" &amp; $AF159)</f>
        <v>2016|asthme d’effort/au froid</v>
      </c>
      <c r="AC159" t="str">
        <f>TRIM(SUBSTITUTE(SUBSTITUTE(SUBSTITUTE(SUBSTITUTE(" " &amp; LOWER(TRIM(IF($N159&lt;&gt;"", $N159, $H159))) &amp; " ", " aomi ", " arteriopathie des membres inferieurs "), " hta ", " hypertension arterielle "), " saos ", " syndrome d'apnees obstructives du sommeil "), " rgo ", " reflux gastro-oesophagien ") )</f>
        <v>asthme d’effort/au froid</v>
      </c>
      <c r="AD159" t="str">
        <f>TRIM(SUBSTITUTE(SUBSTITUTE(SUBSTITUTE(SUBSTITUTE(" " &amp; LOWER(TRIM($AC159)) &amp; " ", " oacr ", " occlusion de l'artere centrale de la retine "), " hsd ", " hematome sous-dural "), " fa ", " fibrillation auriculaire "), " ep ", " embolie pulmonaire ") )</f>
        <v>asthme d’effort/au froid</v>
      </c>
      <c r="AE159" t="str" cm="1">
        <f t="array" ref="AE159">_xlfn.LET(_xlpm.base, " " &amp; LOWER(TRIM($AD159))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asthme d’effort/au froid</v>
      </c>
      <c r="AF159" t="str" cm="1">
        <f t="array" ref="AF159">_xlfn.LET(_xlpm.base, " " &amp; LOWER(TRIM($AE159))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asthme d’effort/au froid</v>
      </c>
    </row>
    <row r="160" spans="1:32" ht="66.75">
      <c r="A160" s="8">
        <v>2016</v>
      </c>
      <c r="B160" s="10" t="s">
        <v>82</v>
      </c>
      <c r="C160" s="8" t="s">
        <v>33</v>
      </c>
      <c r="D160" s="20">
        <v>224</v>
      </c>
      <c r="E160" s="11" t="str">
        <f>IF(D160="","",IFERROR(INDEX(SSP!$E$2:$E$266, MATCH(D160, SSP!$F$2:$F$266, 0)),""))</f>
        <v>Demande de bilan de santé, d’examens radiologiques ou biologiques</v>
      </c>
      <c r="F160" s="11" t="str">
        <f>Feuil1!E160</f>
        <v>Bilan</v>
      </c>
      <c r="G160" s="12" t="s">
        <v>630</v>
      </c>
      <c r="H160" s="13" t="s">
        <v>631</v>
      </c>
      <c r="I160" s="13"/>
      <c r="J160" s="15" t="s">
        <v>632</v>
      </c>
      <c r="K160" s="9" t="s">
        <v>633</v>
      </c>
      <c r="L160" s="9" t="s">
        <v>33</v>
      </c>
      <c r="M160" s="9" t="s">
        <v>33</v>
      </c>
      <c r="N160" t="s">
        <v>631</v>
      </c>
      <c r="O160" t="str">
        <f>IFERROR(_xlfn.XLOOKUP($D160, SSP!$F:$F, SSP!$E:$E, "Inconnu"), "")</f>
        <v>Demande de bilan de santé, d’examens radiologiques ou biologiques</v>
      </c>
      <c r="P160" t="str">
        <f>IF(OR(E160="", O160=""), "", IF(LOWER(E160)=LOWER(O160), "OK", "⚠️ Libellé ≠ n°"))</f>
        <v>OK</v>
      </c>
      <c r="Q160" t="str">
        <f>IF(Feuil1!$E160="", "", IF(LOWER(Feuil1!$E160)=LOWER(E160), "Identique", "Différent"))</f>
        <v>Différent</v>
      </c>
      <c r="R160" t="str">
        <f>IF(OR(P160="⚠️ Libellé ≠ n°", O160="Inconnu"), "⚠️", IF(Q160="Différent", "ℹ️", ""))</f>
        <v>ℹ️</v>
      </c>
      <c r="S160" t="str" cm="1">
        <f t="array" ref="S160">_xlfn.LET(_xlpm.genCat,IFERROR(LOWER(TRIM(G160)),""),_xlpm.principal,IFERROR(LOWER(TRIM(H160)),""),_xlpm.orig,IFERROR(LOWER(TRIM(N160)),""),IF(OR(_xlpm.genCat="",_xlpm.principal=""),"",IF(LEFT(LOWER(G160),5)="autre","OK (Autre)",IF(OR(ISNUMBER(SEARCH(_xlpm.genCat,_xlpm.principal)),ISNUMBER(SEARCH(_xlpm.principal,_xlpm.genCat)),AND(_xlpm.orig&lt;&gt;"",OR(ISNUMBER(SEARCH(_xlpm.genCat,_xlpm.orig)),ISNUMBER(SEARCH(_xlpm.orig,_xlpm.genCat))))),"OK","⚠️ À vérifier"))))</f>
        <v>⚠️ À vérifier</v>
      </c>
      <c r="T160" t="str">
        <f>IF(S160="","",IF(S160="OK (Autre)","Diagnostic générique = 'Autre – …'",IF(S160="OK","Concordance générique/principal","Écart entre générique et principal")))</f>
        <v>Écart entre générique et principal</v>
      </c>
      <c r="U160" t="str" cm="1">
        <f t="array" ref="U160">_xlfn.LET(_xlpm.yr, A160, _xlpm.diag, IF(N160&lt;&gt;"", N160, H160), _xlpm.base, TRIM(SUBSTITUTE(SUBSTITUTE(SUBSTITUTE(SUBSTITUTE(_xlpm.diag,"•"," "),CHAR(160)," "),CHAR(10)," "),"  "," ")), LOWER(_xlpm.yr&amp;"|"&amp;_xlpm.base))</f>
        <v>2016|capacité de discernement</v>
      </c>
      <c r="V160" t="str">
        <f>IFERROR(_xlfn.XLOOKUP($AB160,'Cas 2013-2017'!$K:$K,'Cas 2013-2017'!$D:$D,""),"")</f>
        <v/>
      </c>
      <c r="W160" t="str">
        <f>IFERROR(_xlfn.XLOOKUP($AB160,'Cas 2013-2017'!$K:$K,'Cas 2013-2017'!$E:$E,""),"")</f>
        <v/>
      </c>
      <c r="X160" t="str">
        <f>IFERROR(_xlfn.XLOOKUP($AB160,'Cas 2013-2017'!$K:$K,'Cas 2013-2017'!$F:$F,""),"")</f>
        <v/>
      </c>
      <c r="Y160" t="str">
        <f>IFERROR(_xlfn.XLOOKUP($AB160,'Cas 2013-2017'!$K:$K,'Cas 2013-2017'!$G:$G,""),"")</f>
        <v/>
      </c>
      <c r="Z160" t="str">
        <f>IFERROR(_xlfn.XLOOKUP($AB160,'Cas 2013-2017'!$K:$K,'Cas 2013-2017'!$I:$I,""),"")</f>
        <v/>
      </c>
      <c r="AA160" t="str">
        <f>IFERROR(_xlfn.XLOOKUP($AB160,'Cas 2013-2017'!$K:$K,'Cas 2013-2017'!$H:$H,""),"")</f>
        <v/>
      </c>
      <c r="AB160" t="str">
        <f>LOWER($A160 &amp; "|" &amp; $AF160)</f>
        <v>2016|capacité de discernement</v>
      </c>
      <c r="AC160" t="str">
        <f>TRIM(SUBSTITUTE(SUBSTITUTE(SUBSTITUTE(SUBSTITUTE(" " &amp; LOWER(TRIM(IF($N160&lt;&gt;"", $N160, $H160))) &amp; " ", " aomi ", " arteriopathie des membres inferieurs "), " hta ", " hypertension arterielle "), " saos ", " syndrome d'apnees obstructives du sommeil "), " rgo ", " reflux gastro-oesophagien ") )</f>
        <v>capacité de discernement</v>
      </c>
      <c r="AD160" t="str">
        <f>TRIM(SUBSTITUTE(SUBSTITUTE(SUBSTITUTE(SUBSTITUTE(" " &amp; LOWER(TRIM($AC160)) &amp; " ", " oacr ", " occlusion de l'artere centrale de la retine "), " hsd ", " hematome sous-dural "), " fa ", " fibrillation auriculaire "), " ep ", " embolie pulmonaire ") )</f>
        <v>capacité de discernement</v>
      </c>
      <c r="AE160" t="str" cm="1">
        <f t="array" ref="AE160">_xlfn.LET(_xlpm.base, " " &amp; LOWER(TRIM($AD160))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capacité de discernement</v>
      </c>
      <c r="AF160" t="str" cm="1">
        <f t="array" ref="AF160">_xlfn.LET(_xlpm.base, " " &amp; LOWER(TRIM($AE160))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capacité de discernement</v>
      </c>
    </row>
    <row r="161" spans="1:32" ht="84">
      <c r="A161" s="8">
        <v>2016</v>
      </c>
      <c r="B161" s="10" t="s">
        <v>33</v>
      </c>
      <c r="C161" s="8" t="s">
        <v>33</v>
      </c>
      <c r="D161" s="20">
        <v>55</v>
      </c>
      <c r="E161" s="11" t="str">
        <f>IF(D161="","",IFERROR(INDEX(SSP!$E$2:$E$266, MATCH(D161, SSP!$F$2:$F$266, 0)),""))</f>
        <v>Troubles du transit intestinal, incontinence, douleur à la défécation</v>
      </c>
      <c r="F161" s="11" t="str">
        <f>Feuil1!E161</f>
        <v>ECA</v>
      </c>
      <c r="G161" s="12" t="s">
        <v>634</v>
      </c>
      <c r="H161" s="13" t="s">
        <v>635</v>
      </c>
      <c r="I161" s="13"/>
      <c r="J161" s="15" t="s">
        <v>636</v>
      </c>
      <c r="K161" s="9" t="s">
        <v>637</v>
      </c>
      <c r="L161" s="9" t="s">
        <v>33</v>
      </c>
      <c r="M161" s="9" t="s">
        <v>33</v>
      </c>
      <c r="N161" t="s">
        <v>638</v>
      </c>
      <c r="O161" t="str">
        <f>IFERROR(_xlfn.XLOOKUP($D161, SSP!$F:$F, SSP!$E:$E, "Inconnu"), "")</f>
        <v>Troubles du transit intestinal, incontinence, douleur à la défécation</v>
      </c>
      <c r="P161" t="str">
        <f>IF(OR(E161="", O161=""), "", IF(LOWER(E161)=LOWER(O161), "OK", "⚠️ Libellé ≠ n°"))</f>
        <v>OK</v>
      </c>
      <c r="Q161" t="str">
        <f>IF(Feuil1!$E161="", "", IF(LOWER(Feuil1!$E161)=LOWER(E161), "Identique", "Différent"))</f>
        <v>Différent</v>
      </c>
      <c r="R161" t="str">
        <f>IF(OR(P161="⚠️ Libellé ≠ n°", O161="Inconnu"), "⚠️", IF(Q161="Différent", "ℹ️", ""))</f>
        <v>ℹ️</v>
      </c>
      <c r="S161" t="str" cm="1">
        <f t="array" ref="S161">_xlfn.LET(_xlpm.genCat,IFERROR(LOWER(TRIM(G161)),""),_xlpm.principal,IFERROR(LOWER(TRIM(H161)),""),_xlpm.orig,IFERROR(LOWER(TRIM(N161)),""),IF(OR(_xlpm.genCat="",_xlpm.principal=""),"",IF(LEFT(LOWER(G161),5)="autre","OK (Autre)",IF(OR(ISNUMBER(SEARCH(_xlpm.genCat,_xlpm.principal)),ISNUMBER(SEARCH(_xlpm.principal,_xlpm.genCat)),AND(_xlpm.orig&lt;&gt;"",OR(ISNUMBER(SEARCH(_xlpm.genCat,_xlpm.orig)),ISNUMBER(SEARCH(_xlpm.orig,_xlpm.genCat))))),"OK","⚠️ À vérifier"))))</f>
        <v>⚠️ À vérifier</v>
      </c>
      <c r="T161" t="str">
        <f>IF(S161="","",IF(S161="OK (Autre)","Diagnostic générique = 'Autre – …'",IF(S161="OK","Concordance générique/principal","Écart entre générique et principal")))</f>
        <v>Écart entre générique et principal</v>
      </c>
      <c r="U161" t="str" cm="1">
        <f t="array" ref="U161">_xlfn.LET(_xlpm.yr, A161, _xlpm.diag, IF(N161&lt;&gt;"", N161, H161), _xlpm.base, TRIM(SUBSTITUTE(SUBSTITUTE(SUBSTITUTE(SUBSTITUTE(_xlpm.diag,"•"," "),CHAR(160)," "),CHAR(10)," "),"  "," ")), LOWER(_xlpm.yr&amp;"|"&amp;_xlpm.base))</f>
        <v>2016|eca (post-op)</v>
      </c>
      <c r="V161" t="str">
        <f>IFERROR(_xlfn.XLOOKUP($AB161,'Cas 2013-2017'!$K:$K,'Cas 2013-2017'!$D:$D,""),"")</f>
        <v/>
      </c>
      <c r="W161" t="str">
        <f>IFERROR(_xlfn.XLOOKUP($AB161,'Cas 2013-2017'!$K:$K,'Cas 2013-2017'!$E:$E,""),"")</f>
        <v/>
      </c>
      <c r="X161" t="str">
        <f>IFERROR(_xlfn.XLOOKUP($AB161,'Cas 2013-2017'!$K:$K,'Cas 2013-2017'!$F:$F,""),"")</f>
        <v/>
      </c>
      <c r="Y161" t="str">
        <f>IFERROR(_xlfn.XLOOKUP($AB161,'Cas 2013-2017'!$K:$K,'Cas 2013-2017'!$G:$G,""),"")</f>
        <v/>
      </c>
      <c r="Z161" t="str">
        <f>IFERROR(_xlfn.XLOOKUP($AB161,'Cas 2013-2017'!$K:$K,'Cas 2013-2017'!$I:$I,""),"")</f>
        <v/>
      </c>
      <c r="AA161" t="str">
        <f>IFERROR(_xlfn.XLOOKUP($AB161,'Cas 2013-2017'!$K:$K,'Cas 2013-2017'!$H:$H,""),"")</f>
        <v/>
      </c>
      <c r="AB161" t="str">
        <f>LOWER($A161 &amp; "|" &amp; $AF161)</f>
        <v>2016|eca (post-op)</v>
      </c>
      <c r="AC161" t="str">
        <f>TRIM(SUBSTITUTE(SUBSTITUTE(SUBSTITUTE(SUBSTITUTE(" " &amp; LOWER(TRIM(IF($N161&lt;&gt;"", $N161, $H161))) &amp; " ", " aomi ", " arteriopathie des membres inferieurs "), " hta ", " hypertension arterielle "), " saos ", " syndrome d'apnees obstructives du sommeil "), " rgo ", " reflux gastro-oesophagien ") )</f>
        <v>eca (post-op)</v>
      </c>
      <c r="AD161" t="str">
        <f>TRIM(SUBSTITUTE(SUBSTITUTE(SUBSTITUTE(SUBSTITUTE(" " &amp; LOWER(TRIM($AC161)) &amp; " ", " oacr ", " occlusion de l'artere centrale de la retine "), " hsd ", " hematome sous-dural "), " fa ", " fibrillation auriculaire "), " ep ", " embolie pulmonaire ") )</f>
        <v>eca (post-op)</v>
      </c>
      <c r="AE161" t="str" cm="1">
        <f t="array" ref="AE161">_xlfn.LET(_xlpm.base, " " &amp; LOWER(TRIM($AD161))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eca (post-op)</v>
      </c>
      <c r="AF161" t="str" cm="1">
        <f t="array" ref="AF161">_xlfn.LET(_xlpm.base, " " &amp; LOWER(TRIM($AE161))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eca (post-op)</v>
      </c>
    </row>
    <row r="162" spans="1:32" ht="50.25">
      <c r="A162" s="8">
        <v>2016</v>
      </c>
      <c r="B162" s="10" t="s">
        <v>141</v>
      </c>
      <c r="C162" s="8" t="s">
        <v>33</v>
      </c>
      <c r="D162" s="20">
        <v>120</v>
      </c>
      <c r="E162" s="11" t="str">
        <f>IF(D162="","",IFERROR(INDEX(SSP!$E$2:$E$266, MATCH(D162, SSP!$F$2:$F$266, 0)),""))</f>
        <v>Modification du comportement</v>
      </c>
      <c r="F162" s="11" t="str">
        <f>Feuil1!E162</f>
        <v>Psychose</v>
      </c>
      <c r="G162" s="12" t="s">
        <v>639</v>
      </c>
      <c r="H162" s="13" t="s">
        <v>640</v>
      </c>
      <c r="I162" s="13"/>
      <c r="J162" s="15" t="s">
        <v>641</v>
      </c>
      <c r="K162" s="9" t="s">
        <v>642</v>
      </c>
      <c r="L162" s="9" t="s">
        <v>33</v>
      </c>
      <c r="M162" s="9" t="s">
        <v>33</v>
      </c>
      <c r="N162" t="s">
        <v>640</v>
      </c>
      <c r="O162" t="str">
        <f>IFERROR(_xlfn.XLOOKUP($D162, SSP!$F:$F, SSP!$E:$E, "Inconnu"), "")</f>
        <v>Modification du comportement</v>
      </c>
      <c r="P162" t="str">
        <f>IF(OR(E162="", O162=""), "", IF(LOWER(E162)=LOWER(O162), "OK", "⚠️ Libellé ≠ n°"))</f>
        <v>OK</v>
      </c>
      <c r="Q162" t="str">
        <f>IF(Feuil1!$E162="", "", IF(LOWER(Feuil1!$E162)=LOWER(E162), "Identique", "Différent"))</f>
        <v>Différent</v>
      </c>
      <c r="R162" t="str">
        <f>IF(OR(P162="⚠️ Libellé ≠ n°", O162="Inconnu"), "⚠️", IF(Q162="Différent", "ℹ️", ""))</f>
        <v>ℹ️</v>
      </c>
      <c r="S162" t="str" cm="1">
        <f t="array" ref="S162">_xlfn.LET(_xlpm.genCat,IFERROR(LOWER(TRIM(G162)),""),_xlpm.principal,IFERROR(LOWER(TRIM(H162)),""),_xlpm.orig,IFERROR(LOWER(TRIM(N162)),""),IF(OR(_xlpm.genCat="",_xlpm.principal=""),"",IF(LEFT(LOWER(G162),5)="autre","OK (Autre)",IF(OR(ISNUMBER(SEARCH(_xlpm.genCat,_xlpm.principal)),ISNUMBER(SEARCH(_xlpm.principal,_xlpm.genCat)),AND(_xlpm.orig&lt;&gt;"",OR(ISNUMBER(SEARCH(_xlpm.genCat,_xlpm.orig)),ISNUMBER(SEARCH(_xlpm.orig,_xlpm.genCat))))),"OK","⚠️ À vérifier"))))</f>
        <v>OK</v>
      </c>
      <c r="T162" t="str">
        <f>IF(S162="","",IF(S162="OK (Autre)","Diagnostic générique = 'Autre – …'",IF(S162="OK","Concordance générique/principal","Écart entre générique et principal")))</f>
        <v>Concordance générique/principal</v>
      </c>
      <c r="U162" t="str" cm="1">
        <f t="array" ref="U162">_xlfn.LET(_xlpm.yr, A162, _xlpm.diag, IF(N162&lt;&gt;"", N162, H162), _xlpm.base, TRIM(SUBSTITUTE(SUBSTITUTE(SUBSTITUTE(SUBSTITUTE(_xlpm.diag,"•"," "),CHAR(160)," "),CHAR(10)," "),"  "," ")), LOWER(_xlpm.yr&amp;"|"&amp;_xlpm.base))</f>
        <v>2016|psychose du post-partum 2016</v>
      </c>
      <c r="V162" t="str">
        <f>IFERROR(_xlfn.XLOOKUP($AB162,'Cas 2013-2017'!$K:$K,'Cas 2013-2017'!$D:$D,""),"")</f>
        <v/>
      </c>
      <c r="W162" t="str">
        <f>IFERROR(_xlfn.XLOOKUP($AB162,'Cas 2013-2017'!$K:$K,'Cas 2013-2017'!$E:$E,""),"")</f>
        <v/>
      </c>
      <c r="X162" t="str">
        <f>IFERROR(_xlfn.XLOOKUP($AB162,'Cas 2013-2017'!$K:$K,'Cas 2013-2017'!$F:$F,""),"")</f>
        <v/>
      </c>
      <c r="Y162" t="str">
        <f>IFERROR(_xlfn.XLOOKUP($AB162,'Cas 2013-2017'!$K:$K,'Cas 2013-2017'!$G:$G,""),"")</f>
        <v/>
      </c>
      <c r="Z162" t="str">
        <f>IFERROR(_xlfn.XLOOKUP($AB162,'Cas 2013-2017'!$K:$K,'Cas 2013-2017'!$I:$I,""),"")</f>
        <v/>
      </c>
      <c r="AA162" t="str">
        <f>IFERROR(_xlfn.XLOOKUP($AB162,'Cas 2013-2017'!$K:$K,'Cas 2013-2017'!$H:$H,""),"")</f>
        <v/>
      </c>
      <c r="AB162" t="str">
        <f>LOWER($A162 &amp; "|" &amp; $AF162)</f>
        <v>2016|psychose du post-partum 2016</v>
      </c>
      <c r="AC162" t="str">
        <f>TRIM(SUBSTITUTE(SUBSTITUTE(SUBSTITUTE(SUBSTITUTE(" " &amp; LOWER(TRIM(IF($N162&lt;&gt;"", $N162, $H162))) &amp; " ", " aomi ", " arteriopathie des membres inferieurs "), " hta ", " hypertension arterielle "), " saos ", " syndrome d'apnees obstructives du sommeil "), " rgo ", " reflux gastro-oesophagien ") )</f>
        <v>psychose du post-partum 2016</v>
      </c>
      <c r="AD162" t="str">
        <f>TRIM(SUBSTITUTE(SUBSTITUTE(SUBSTITUTE(SUBSTITUTE(" " &amp; LOWER(TRIM($AC162)) &amp; " ", " oacr ", " occlusion de l'artere centrale de la retine "), " hsd ", " hematome sous-dural "), " fa ", " fibrillation auriculaire "), " ep ", " embolie pulmonaire ") )</f>
        <v>psychose du post-partum 2016</v>
      </c>
      <c r="AE162" t="str" cm="1">
        <f t="array" ref="AE162">_xlfn.LET(_xlpm.base, " " &amp; LOWER(TRIM($AD162))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psychose du post-partum 2016</v>
      </c>
      <c r="AF162" t="str" cm="1">
        <f t="array" ref="AF162">_xlfn.LET(_xlpm.base, " " &amp; LOWER(TRIM($AE162))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psychose du post-partum 2016</v>
      </c>
    </row>
    <row r="163" spans="1:32" ht="50.25">
      <c r="A163" s="8">
        <v>2016</v>
      </c>
      <c r="B163" s="10" t="s">
        <v>141</v>
      </c>
      <c r="C163" s="8" t="s">
        <v>33</v>
      </c>
      <c r="D163" s="20">
        <v>233</v>
      </c>
      <c r="E163" s="11" t="str">
        <f>IF(D163="","",IFERROR(INDEX(SSP!$E$2:$E$266, MATCH(D163, SSP!$F$2:$F$266, 0)),""))</f>
        <v>Absentéisme scolaire ou professionnel</v>
      </c>
      <c r="F163" s="11" t="str">
        <f>Feuil1!E163</f>
        <v>Difficulté scolaire</v>
      </c>
      <c r="G163" s="12" t="s">
        <v>643</v>
      </c>
      <c r="H163" s="13" t="s">
        <v>643</v>
      </c>
      <c r="I163" s="13"/>
      <c r="J163" s="15" t="s">
        <v>644</v>
      </c>
      <c r="K163" s="9" t="s">
        <v>645</v>
      </c>
      <c r="L163" s="9" t="s">
        <v>33</v>
      </c>
      <c r="M163" s="9" t="s">
        <v>33</v>
      </c>
      <c r="N163" t="s">
        <v>643</v>
      </c>
      <c r="O163" t="str">
        <f>IFERROR(_xlfn.XLOOKUP($D163, SSP!$F:$F, SSP!$E:$E, "Inconnu"), "")</f>
        <v>Absentéisme scolaire ou professionnel</v>
      </c>
      <c r="P163" t="str">
        <f>IF(OR(E163="", O163=""), "", IF(LOWER(E163)=LOWER(O163), "OK", "⚠️ Libellé ≠ n°"))</f>
        <v>OK</v>
      </c>
      <c r="Q163" t="str">
        <f>IF(Feuil1!$E163="", "", IF(LOWER(Feuil1!$E163)=LOWER(E163), "Identique", "Différent"))</f>
        <v>Différent</v>
      </c>
      <c r="R163" t="str">
        <f>IF(OR(P163="⚠️ Libellé ≠ n°", O163="Inconnu"), "⚠️", IF(Q163="Différent", "ℹ️", ""))</f>
        <v>ℹ️</v>
      </c>
      <c r="S163" t="str" cm="1">
        <f t="array" ref="S163">_xlfn.LET(_xlpm.genCat,IFERROR(LOWER(TRIM(G163)),""),_xlpm.principal,IFERROR(LOWER(TRIM(H163)),""),_xlpm.orig,IFERROR(LOWER(TRIM(N163)),""),IF(OR(_xlpm.genCat="",_xlpm.principal=""),"",IF(LEFT(LOWER(G163),5)="autre","OK (Autre)",IF(OR(ISNUMBER(SEARCH(_xlpm.genCat,_xlpm.principal)),ISNUMBER(SEARCH(_xlpm.principal,_xlpm.genCat)),AND(_xlpm.orig&lt;&gt;"",OR(ISNUMBER(SEARCH(_xlpm.genCat,_xlpm.orig)),ISNUMBER(SEARCH(_xlpm.orig,_xlpm.genCat))))),"OK","⚠️ À vérifier"))))</f>
        <v>OK</v>
      </c>
      <c r="T163" t="str">
        <f>IF(S163="","",IF(S163="OK (Autre)","Diagnostic générique = 'Autre – …'",IF(S163="OK","Concordance générique/principal","Écart entre générique et principal")))</f>
        <v>Concordance générique/principal</v>
      </c>
      <c r="U163" t="str" cm="1">
        <f t="array" ref="U163">_xlfn.LET(_xlpm.yr, A163, _xlpm.diag, IF(N163&lt;&gt;"", N163, H163), _xlpm.base, TRIM(SUBSTITUTE(SUBSTITUTE(SUBSTITUTE(SUBSTITUTE(_xlpm.diag,"•"," "),CHAR(160)," "),CHAR(10)," "),"  "," ")), LOWER(_xlpm.yr&amp;"|"&amp;_xlpm.base))</f>
        <v>2016|tdah</v>
      </c>
      <c r="V163" t="str">
        <f>IFERROR(_xlfn.XLOOKUP($AB163,'Cas 2013-2017'!$K:$K,'Cas 2013-2017'!$D:$D,""),"")</f>
        <v/>
      </c>
      <c r="W163" t="str">
        <f>IFERROR(_xlfn.XLOOKUP($AB163,'Cas 2013-2017'!$K:$K,'Cas 2013-2017'!$E:$E,""),"")</f>
        <v/>
      </c>
      <c r="X163" t="str">
        <f>IFERROR(_xlfn.XLOOKUP($AB163,'Cas 2013-2017'!$K:$K,'Cas 2013-2017'!$F:$F,""),"")</f>
        <v/>
      </c>
      <c r="Y163" t="str">
        <f>IFERROR(_xlfn.XLOOKUP($AB163,'Cas 2013-2017'!$K:$K,'Cas 2013-2017'!$G:$G,""),"")</f>
        <v/>
      </c>
      <c r="Z163" t="str">
        <f>IFERROR(_xlfn.XLOOKUP($AB163,'Cas 2013-2017'!$K:$K,'Cas 2013-2017'!$I:$I,""),"")</f>
        <v/>
      </c>
      <c r="AA163" t="str">
        <f>IFERROR(_xlfn.XLOOKUP($AB163,'Cas 2013-2017'!$K:$K,'Cas 2013-2017'!$H:$H,""),"")</f>
        <v/>
      </c>
      <c r="AB163" t="str">
        <f>LOWER($A163 &amp; "|" &amp; $AF163)</f>
        <v>2016|tdah</v>
      </c>
      <c r="AC163" t="str">
        <f>TRIM(SUBSTITUTE(SUBSTITUTE(SUBSTITUTE(SUBSTITUTE(" " &amp; LOWER(TRIM(IF($N163&lt;&gt;"", $N163, $H163))) &amp; " ", " aomi ", " arteriopathie des membres inferieurs "), " hta ", " hypertension arterielle "), " saos ", " syndrome d'apnees obstructives du sommeil "), " rgo ", " reflux gastro-oesophagien ") )</f>
        <v>tdah</v>
      </c>
      <c r="AD163" t="str">
        <f>TRIM(SUBSTITUTE(SUBSTITUTE(SUBSTITUTE(SUBSTITUTE(" " &amp; LOWER(TRIM($AC163)) &amp; " ", " oacr ", " occlusion de l'artere centrale de la retine "), " hsd ", " hematome sous-dural "), " fa ", " fibrillation auriculaire "), " ep ", " embolie pulmonaire ") )</f>
        <v>tdah</v>
      </c>
      <c r="AE163" t="str" cm="1">
        <f t="array" ref="AE163">_xlfn.LET(_xlpm.base, " " &amp; LOWER(TRIM($AD163))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tdah</v>
      </c>
      <c r="AF163" t="str" cm="1">
        <f t="array" ref="AF163">_xlfn.LET(_xlpm.base, " " &amp; LOWER(TRIM($AE163))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tdah</v>
      </c>
    </row>
    <row r="164" spans="1:32" ht="33.75">
      <c r="A164" s="8">
        <v>2016</v>
      </c>
      <c r="B164" s="10" t="s">
        <v>64</v>
      </c>
      <c r="C164" s="8" t="s">
        <v>33</v>
      </c>
      <c r="D164" s="20">
        <v>64</v>
      </c>
      <c r="E164" s="11" t="str">
        <f>IF(D164="","",IFERROR(INDEX(SSP!$E$2:$E$266, MATCH(D164, SSP!$F$2:$F$266, 0)),""))</f>
        <v>Dysurie, pyurie, hématurie</v>
      </c>
      <c r="F164" s="11" t="str">
        <f>Feuil1!E164</f>
        <v>Hématurie</v>
      </c>
      <c r="G164" s="12" t="s">
        <v>65</v>
      </c>
      <c r="H164" s="13" t="s">
        <v>646</v>
      </c>
      <c r="I164" s="13"/>
      <c r="J164" s="15" t="s">
        <v>647</v>
      </c>
      <c r="K164" s="9" t="s">
        <v>648</v>
      </c>
      <c r="L164" s="9" t="s">
        <v>33</v>
      </c>
      <c r="M164" s="9" t="s">
        <v>33</v>
      </c>
      <c r="N164" t="s">
        <v>646</v>
      </c>
      <c r="O164" t="str">
        <f>IFERROR(_xlfn.XLOOKUP($D164, SSP!$F:$F, SSP!$E:$E, "Inconnu"), "")</f>
        <v>Dysurie, pyurie, hématurie</v>
      </c>
      <c r="P164" t="str">
        <f>IF(OR(E164="", O164=""), "", IF(LOWER(E164)=LOWER(O164), "OK", "⚠️ Libellé ≠ n°"))</f>
        <v>OK</v>
      </c>
      <c r="Q164" t="str">
        <f>IF(Feuil1!$E164="", "", IF(LOWER(Feuil1!$E164)=LOWER(E164), "Identique", "Différent"))</f>
        <v>Différent</v>
      </c>
      <c r="R164" t="str">
        <f>IF(OR(P164="⚠️ Libellé ≠ n°", O164="Inconnu"), "⚠️", IF(Q164="Différent", "ℹ️", ""))</f>
        <v>ℹ️</v>
      </c>
      <c r="S164" t="str" cm="1">
        <f t="array" ref="S164">_xlfn.LET(_xlpm.genCat,IFERROR(LOWER(TRIM(G164)),""),_xlpm.principal,IFERROR(LOWER(TRIM(H164)),""),_xlpm.orig,IFERROR(LOWER(TRIM(N164)),""),IF(OR(_xlpm.genCat="",_xlpm.principal=""),"",IF(LEFT(LOWER(G164),5)="autre","OK (Autre)",IF(OR(ISNUMBER(SEARCH(_xlpm.genCat,_xlpm.principal)),ISNUMBER(SEARCH(_xlpm.principal,_xlpm.genCat)),AND(_xlpm.orig&lt;&gt;"",OR(ISNUMBER(SEARCH(_xlpm.genCat,_xlpm.orig)),ISNUMBER(SEARCH(_xlpm.orig,_xlpm.genCat))))),"OK","⚠️ À vérifier"))))</f>
        <v>OK</v>
      </c>
      <c r="T164" t="str">
        <f>IF(S164="","",IF(S164="OK (Autre)","Diagnostic générique = 'Autre – …'",IF(S164="OK","Concordance générique/principal","Écart entre générique et principal")))</f>
        <v>Concordance générique/principal</v>
      </c>
      <c r="U164" t="str" cm="1">
        <f t="array" ref="U164">_xlfn.LET(_xlpm.yr, A164, _xlpm.diag, IF(N164&lt;&gt;"", N164, H164), _xlpm.base, TRIM(SUBSTITUTE(SUBSTITUTE(SUBSTITUTE(SUBSTITUTE(_xlpm.diag,"•"," "),CHAR(160)," "),CHAR(10)," "),"  "," ")), LOWER(_xlpm.yr&amp;"|"&amp;_xlpm.base))</f>
        <v>2016|cancer vésical</v>
      </c>
      <c r="V164" t="str">
        <f>IFERROR(_xlfn.XLOOKUP($AB164,'Cas 2013-2017'!$K:$K,'Cas 2013-2017'!$D:$D,""),"")</f>
        <v/>
      </c>
      <c r="W164" t="str">
        <f>IFERROR(_xlfn.XLOOKUP($AB164,'Cas 2013-2017'!$K:$K,'Cas 2013-2017'!$E:$E,""),"")</f>
        <v/>
      </c>
      <c r="X164" t="str">
        <f>IFERROR(_xlfn.XLOOKUP($AB164,'Cas 2013-2017'!$K:$K,'Cas 2013-2017'!$F:$F,""),"")</f>
        <v/>
      </c>
      <c r="Y164" t="str">
        <f>IFERROR(_xlfn.XLOOKUP($AB164,'Cas 2013-2017'!$K:$K,'Cas 2013-2017'!$G:$G,""),"")</f>
        <v/>
      </c>
      <c r="Z164" t="str">
        <f>IFERROR(_xlfn.XLOOKUP($AB164,'Cas 2013-2017'!$K:$K,'Cas 2013-2017'!$I:$I,""),"")</f>
        <v/>
      </c>
      <c r="AA164" t="str">
        <f>IFERROR(_xlfn.XLOOKUP($AB164,'Cas 2013-2017'!$K:$K,'Cas 2013-2017'!$H:$H,""),"")</f>
        <v/>
      </c>
      <c r="AB164" t="str">
        <f>LOWER($A164 &amp; "|" &amp; $AF164)</f>
        <v>2016|cancer vésical</v>
      </c>
      <c r="AC164" t="str">
        <f>TRIM(SUBSTITUTE(SUBSTITUTE(SUBSTITUTE(SUBSTITUTE(" " &amp; LOWER(TRIM(IF($N164&lt;&gt;"", $N164, $H164))) &amp; " ", " aomi ", " arteriopathie des membres inferieurs "), " hta ", " hypertension arterielle "), " saos ", " syndrome d'apnees obstructives du sommeil "), " rgo ", " reflux gastro-oesophagien ") )</f>
        <v>cancer vésical</v>
      </c>
      <c r="AD164" t="str">
        <f>TRIM(SUBSTITUTE(SUBSTITUTE(SUBSTITUTE(SUBSTITUTE(" " &amp; LOWER(TRIM($AC164)) &amp; " ", " oacr ", " occlusion de l'artere centrale de la retine "), " hsd ", " hematome sous-dural "), " fa ", " fibrillation auriculaire "), " ep ", " embolie pulmonaire ") )</f>
        <v>cancer vésical</v>
      </c>
      <c r="AE164" t="str" cm="1">
        <f t="array" ref="AE164">_xlfn.LET(_xlpm.base, " " &amp; LOWER(TRIM($AD164))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cancer vésical</v>
      </c>
      <c r="AF164" t="str" cm="1">
        <f t="array" ref="AF164">_xlfn.LET(_xlpm.base, " " &amp; LOWER(TRIM($AE164))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cancer vésical</v>
      </c>
    </row>
    <row r="165" spans="1:32" ht="66.75">
      <c r="A165" s="8">
        <v>2017</v>
      </c>
      <c r="B165" s="10" t="s">
        <v>32</v>
      </c>
      <c r="C165" s="8" t="s">
        <v>33</v>
      </c>
      <c r="D165" s="20">
        <v>44</v>
      </c>
      <c r="E165" s="11" t="str">
        <f>IF(D165="","",IFERROR(INDEX(SSP!$E$2:$E$266, MATCH(D165, SSP!$F$2:$F$266, 0)),""))</f>
        <v>Douleur thoracique</v>
      </c>
      <c r="F165" s="11" t="str">
        <f>Feuil1!E165</f>
        <v>Douleur thoracique</v>
      </c>
      <c r="G165" s="12" t="s">
        <v>649</v>
      </c>
      <c r="H165" s="13" t="s">
        <v>650</v>
      </c>
      <c r="I165" s="13" t="s">
        <v>651</v>
      </c>
      <c r="J165" s="16" t="s">
        <v>165</v>
      </c>
      <c r="K165" s="9" t="s">
        <v>652</v>
      </c>
      <c r="L165" s="9" t="s">
        <v>653</v>
      </c>
      <c r="M165" s="9" t="s">
        <v>654</v>
      </c>
      <c r="N165" t="s">
        <v>650</v>
      </c>
      <c r="O165" t="str">
        <f>IFERROR(_xlfn.XLOOKUP($D165, SSP!$F:$F, SSP!$E:$E, "Inconnu"), "")</f>
        <v>Douleur thoracique</v>
      </c>
      <c r="P165" t="str">
        <f>IF(OR(E165="", O165=""), "", IF(LOWER(E165)=LOWER(O165), "OK", "⚠️ Libellé ≠ n°"))</f>
        <v>OK</v>
      </c>
      <c r="Q165" t="str">
        <f>IF(Feuil1!$E165="", "", IF(LOWER(Feuil1!$E165)=LOWER(E165), "Identique", "Différent"))</f>
        <v>Identique</v>
      </c>
      <c r="R165" t="str">
        <f>IF(OR(P165="⚠️ Libellé ≠ n°", O165="Inconnu"), "⚠️", IF(Q165="Différent", "ℹ️", ""))</f>
        <v/>
      </c>
      <c r="S165" t="str" cm="1">
        <f t="array" ref="S165">_xlfn.LET(_xlpm.genCat,IFERROR(LOWER(TRIM(G165)),""),_xlpm.principal,IFERROR(LOWER(TRIM(H165)),""),_xlpm.orig,IFERROR(LOWER(TRIM(N165)),""),IF(OR(_xlpm.genCat="",_xlpm.principal=""),"",IF(LEFT(LOWER(G165),5)="autre","OK (Autre)",IF(OR(ISNUMBER(SEARCH(_xlpm.genCat,_xlpm.principal)),ISNUMBER(SEARCH(_xlpm.principal,_xlpm.genCat)),AND(_xlpm.orig&lt;&gt;"",OR(ISNUMBER(SEARCH(_xlpm.genCat,_xlpm.orig)),ISNUMBER(SEARCH(_xlpm.orig,_xlpm.genCat))))),"OK","⚠️ À vérifier"))))</f>
        <v>⚠️ À vérifier</v>
      </c>
      <c r="T165" t="str">
        <f>IF(S165="","",IF(S165="OK (Autre)","Diagnostic générique = 'Autre – …'",IF(S165="OK","Concordance générique/principal","Écart entre générique et principal")))</f>
        <v>Écart entre générique et principal</v>
      </c>
      <c r="U165" t="str" cm="1">
        <f t="array" ref="U165">_xlfn.LET(_xlpm.yr, A165, _xlpm.diag, IF(N165&lt;&gt;"", N165, H165), _xlpm.base, TRIM(SUBSTITUTE(SUBSTITUTE(SUBSTITUTE(SUBSTITUTE(_xlpm.diag,"•"," "),CHAR(160)," "),CHAR(10)," "),"  "," ")), LOWER(_xlpm.yr&amp;"|"&amp;_xlpm.base))</f>
        <v>2017|dissection aortique</v>
      </c>
      <c r="V165">
        <f>IFERROR(_xlfn.XLOOKUP($AB165,'Cas 2013-2017'!$K:$K,'Cas 2013-2017'!$D:$D,""),"")</f>
        <v>0</v>
      </c>
      <c r="W165" t="str">
        <f>IFERROR(_xlfn.XLOOKUP($AB165,'Cas 2013-2017'!$K:$K,'Cas 2013-2017'!$E:$E,""),"")</f>
        <v>Carct. douleur...</v>
      </c>
      <c r="X165" t="str">
        <f>IFERROR(_xlfn.XLOOKUP($AB165,'Cas 2013-2017'!$K:$K,'Cas 2013-2017'!$F:$F,""),"")</f>
        <v>TA des deux côtés! • Cardio-pulm • Abdo</v>
      </c>
      <c r="Y165" t="str">
        <f>IFERROR(_xlfn.XLOOKUP($AB165,'Cas 2013-2017'!$K:$K,'Cas 2013-2017'!$G:$G,""),"")</f>
        <v>Pancréatite • EP • SCA • Rupture ulcère</v>
      </c>
      <c r="Z165" t="str">
        <f>IFERROR(_xlfn.XLOOKUP($AB165,'Cas 2013-2017'!$K:$K,'Cas 2013-2017'!$I:$I,""),"")</f>
        <v>Si Stanford A: chir immédiate • Si Stanford B: conservateur sauf si complications (rupture, occlusion) • Morphine, contrôle HTA</v>
      </c>
      <c r="AA165" t="str">
        <f>IFERROR(_xlfn.XLOOKUP($AB165,'Cas 2013-2017'!$K:$K,'Cas 2013-2017'!$H:$H,""),"")</f>
        <v>ECG • Angio CT</v>
      </c>
      <c r="AB165" t="str">
        <f>LOWER($A165 &amp; "|" &amp; $AF165)</f>
        <v>2017|dissection aortique</v>
      </c>
      <c r="AC165" t="str">
        <f>TRIM(SUBSTITUTE(SUBSTITUTE(SUBSTITUTE(SUBSTITUTE(" " &amp; LOWER(TRIM(IF($N165&lt;&gt;"", $N165, $H165))) &amp; " ", " aomi ", " arteriopathie des membres inferieurs "), " hta ", " hypertension arterielle "), " saos ", " syndrome d'apnees obstructives du sommeil "), " rgo ", " reflux gastro-oesophagien ") )</f>
        <v>dissection aortique</v>
      </c>
      <c r="AD165" t="str">
        <f>TRIM(SUBSTITUTE(SUBSTITUTE(SUBSTITUTE(SUBSTITUTE(" " &amp; LOWER(TRIM($AC165)) &amp; " ", " oacr ", " occlusion de l'artere centrale de la retine "), " hsd ", " hematome sous-dural "), " fa ", " fibrillation auriculaire "), " ep ", " embolie pulmonaire ") )</f>
        <v>dissection aortique</v>
      </c>
      <c r="AE165" t="str" cm="1">
        <f t="array" ref="AE165">_xlfn.LET(_xlpm.base, " " &amp; LOWER(TRIM($AD165))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dissection aortique</v>
      </c>
      <c r="AF165" t="str" cm="1">
        <f t="array" ref="AF165">_xlfn.LET(_xlpm.base, " " &amp; LOWER(TRIM($AE165))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dissection aortique</v>
      </c>
    </row>
    <row r="166" spans="1:32" ht="16.5">
      <c r="A166" s="8">
        <v>2017</v>
      </c>
      <c r="B166" s="10" t="s">
        <v>32</v>
      </c>
      <c r="C166" s="8" t="s">
        <v>33</v>
      </c>
      <c r="D166" s="20">
        <v>44</v>
      </c>
      <c r="E166" s="11" t="str">
        <f>IF(D166="","",IFERROR(INDEX(SSP!$E$2:$E$266, MATCH(D166, SSP!$F$2:$F$266, 0)),""))</f>
        <v>Douleur thoracique</v>
      </c>
      <c r="F166" s="11" t="str">
        <f>Feuil1!E166</f>
        <v>Douleur thoracique</v>
      </c>
      <c r="G166" s="12" t="s">
        <v>166</v>
      </c>
      <c r="H166" s="13" t="s">
        <v>528</v>
      </c>
      <c r="I166" s="13"/>
      <c r="J166" s="15" t="s">
        <v>655</v>
      </c>
      <c r="K166" s="9" t="s">
        <v>33</v>
      </c>
      <c r="L166" s="9" t="s">
        <v>33</v>
      </c>
      <c r="M166" s="9" t="s">
        <v>33</v>
      </c>
      <c r="N166" t="s">
        <v>528</v>
      </c>
      <c r="O166" t="str">
        <f>IFERROR(_xlfn.XLOOKUP($D166, SSP!$F:$F, SSP!$E:$E, "Inconnu"), "")</f>
        <v>Douleur thoracique</v>
      </c>
      <c r="P166" t="str">
        <f>IF(OR(E166="", O166=""), "", IF(LOWER(E166)=LOWER(O166), "OK", "⚠️ Libellé ≠ n°"))</f>
        <v>OK</v>
      </c>
      <c r="Q166" t="str">
        <f>IF(Feuil1!$E166="", "", IF(LOWER(Feuil1!$E166)=LOWER(E166), "Identique", "Différent"))</f>
        <v>Identique</v>
      </c>
      <c r="R166" t="str">
        <f>IF(OR(P166="⚠️ Libellé ≠ n°", O166="Inconnu"), "⚠️", IF(Q166="Différent", "ℹ️", ""))</f>
        <v/>
      </c>
      <c r="S166" t="str" cm="1">
        <f t="array" ref="S166">_xlfn.LET(_xlpm.genCat,IFERROR(LOWER(TRIM(G166)),""),_xlpm.principal,IFERROR(LOWER(TRIM(H166)),""),_xlpm.orig,IFERROR(LOWER(TRIM(N166)),""),IF(OR(_xlpm.genCat="",_xlpm.principal=""),"",IF(LEFT(LOWER(G166),5)="autre","OK (Autre)",IF(OR(ISNUMBER(SEARCH(_xlpm.genCat,_xlpm.principal)),ISNUMBER(SEARCH(_xlpm.principal,_xlpm.genCat)),AND(_xlpm.orig&lt;&gt;"",OR(ISNUMBER(SEARCH(_xlpm.genCat,_xlpm.orig)),ISNUMBER(SEARCH(_xlpm.orig,_xlpm.genCat))))),"OK","⚠️ À vérifier"))))</f>
        <v>⚠️ À vérifier</v>
      </c>
      <c r="T166" t="str">
        <f>IF(S166="","",IF(S166="OK (Autre)","Diagnostic générique = 'Autre – …'",IF(S166="OK","Concordance générique/principal","Écart entre générique et principal")))</f>
        <v>Écart entre générique et principal</v>
      </c>
      <c r="U166" t="str" cm="1">
        <f t="array" ref="U166">_xlfn.LET(_xlpm.yr, A166, _xlpm.diag, IF(N166&lt;&gt;"", N166, H166), _xlpm.base, TRIM(SUBSTITUTE(SUBSTITUTE(SUBSTITUTE(SUBSTITUTE(_xlpm.diag,"•"," "),CHAR(160)," "),CHAR(10)," "),"  "," ")), LOWER(_xlpm.yr&amp;"|"&amp;_xlpm.base))</f>
        <v>2017|infarctus du myocarde inférieur</v>
      </c>
      <c r="V166" t="str">
        <f>IFERROR(_xlfn.XLOOKUP($AB166,'Cas 2013-2017'!$K:$K,'Cas 2013-2017'!$D:$D,""),"")</f>
        <v/>
      </c>
      <c r="W166" t="str">
        <f>IFERROR(_xlfn.XLOOKUP($AB166,'Cas 2013-2017'!$K:$K,'Cas 2013-2017'!$E:$E,""),"")</f>
        <v/>
      </c>
      <c r="X166" t="str">
        <f>IFERROR(_xlfn.XLOOKUP($AB166,'Cas 2013-2017'!$K:$K,'Cas 2013-2017'!$F:$F,""),"")</f>
        <v/>
      </c>
      <c r="Y166" t="str">
        <f>IFERROR(_xlfn.XLOOKUP($AB166,'Cas 2013-2017'!$K:$K,'Cas 2013-2017'!$G:$G,""),"")</f>
        <v/>
      </c>
      <c r="Z166" t="str">
        <f>IFERROR(_xlfn.XLOOKUP($AB166,'Cas 2013-2017'!$K:$K,'Cas 2013-2017'!$I:$I,""),"")</f>
        <v/>
      </c>
      <c r="AA166" t="str">
        <f>IFERROR(_xlfn.XLOOKUP($AB166,'Cas 2013-2017'!$K:$K,'Cas 2013-2017'!$H:$H,""),"")</f>
        <v/>
      </c>
      <c r="AB166" t="str">
        <f>LOWER($A166 &amp; "|" &amp; $AF166)</f>
        <v>2017|infarctus du myocarde inférieur</v>
      </c>
      <c r="AC166" t="str">
        <f>TRIM(SUBSTITUTE(SUBSTITUTE(SUBSTITUTE(SUBSTITUTE(" " &amp; LOWER(TRIM(IF($N166&lt;&gt;"", $N166, $H166))) &amp; " ", " aomi ", " arteriopathie des membres inferieurs "), " hta ", " hypertension arterielle "), " saos ", " syndrome d'apnees obstructives du sommeil "), " rgo ", " reflux gastro-oesophagien ") )</f>
        <v>infarctus du myocarde inférieur</v>
      </c>
      <c r="AD166" t="str">
        <f>TRIM(SUBSTITUTE(SUBSTITUTE(SUBSTITUTE(SUBSTITUTE(" " &amp; LOWER(TRIM($AC166)) &amp; " ", " oacr ", " occlusion de l'artere centrale de la retine "), " hsd ", " hematome sous-dural "), " fa ", " fibrillation auriculaire "), " ep ", " embolie pulmonaire ") )</f>
        <v>infarctus du myocarde inférieur</v>
      </c>
      <c r="AE166" t="str" cm="1">
        <f t="array" ref="AE166">_xlfn.LET(_xlpm.base, " " &amp; LOWER(TRIM($AD166))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infarctus du myocarde inférieur</v>
      </c>
      <c r="AF166" t="str" cm="1">
        <f t="array" ref="AF166">_xlfn.LET(_xlpm.base, " " &amp; LOWER(TRIM($AE166))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infarctus du myocarde inférieur</v>
      </c>
    </row>
    <row r="167" spans="1:32" ht="134.25">
      <c r="A167" s="8">
        <v>2017</v>
      </c>
      <c r="B167" s="10" t="s">
        <v>32</v>
      </c>
      <c r="C167" s="8" t="s">
        <v>33</v>
      </c>
      <c r="D167" s="20">
        <v>44</v>
      </c>
      <c r="E167" s="11" t="str">
        <f>IF(D167="","",IFERROR(INDEX(SSP!$E$2:$E$266, MATCH(D167, SSP!$F$2:$F$266, 0)),""))</f>
        <v>Douleur thoracique</v>
      </c>
      <c r="F167" s="11" t="str">
        <f>Feuil1!E167</f>
        <v>Douleur thoracique</v>
      </c>
      <c r="G167" s="12" t="s">
        <v>38</v>
      </c>
      <c r="H167" s="13" t="s">
        <v>38</v>
      </c>
      <c r="I167" s="13" t="s">
        <v>656</v>
      </c>
      <c r="J167" s="16" t="s">
        <v>165</v>
      </c>
      <c r="K167" s="9" t="s">
        <v>657</v>
      </c>
      <c r="L167" s="9" t="s">
        <v>658</v>
      </c>
      <c r="M167" s="9" t="s">
        <v>659</v>
      </c>
      <c r="N167" t="s">
        <v>38</v>
      </c>
      <c r="O167" t="str">
        <f>IFERROR(_xlfn.XLOOKUP($D167, SSP!$F:$F, SSP!$E:$E, "Inconnu"), "")</f>
        <v>Douleur thoracique</v>
      </c>
      <c r="P167" t="str">
        <f>IF(OR(E167="", O167=""), "", IF(LOWER(E167)=LOWER(O167), "OK", "⚠️ Libellé ≠ n°"))</f>
        <v>OK</v>
      </c>
      <c r="Q167" t="str">
        <f>IF(Feuil1!$E167="", "", IF(LOWER(Feuil1!$E167)=LOWER(E167), "Identique", "Différent"))</f>
        <v>Identique</v>
      </c>
      <c r="R167" t="str">
        <f>IF(OR(P167="⚠️ Libellé ≠ n°", O167="Inconnu"), "⚠️", IF(Q167="Différent", "ℹ️", ""))</f>
        <v/>
      </c>
      <c r="S167" t="str" cm="1">
        <f t="array" ref="S167">_xlfn.LET(_xlpm.genCat,IFERROR(LOWER(TRIM(G167)),""),_xlpm.principal,IFERROR(LOWER(TRIM(H167)),""),_xlpm.orig,IFERROR(LOWER(TRIM(N167)),""),IF(OR(_xlpm.genCat="",_xlpm.principal=""),"",IF(LEFT(LOWER(G167),5)="autre","OK (Autre)",IF(OR(ISNUMBER(SEARCH(_xlpm.genCat,_xlpm.principal)),ISNUMBER(SEARCH(_xlpm.principal,_xlpm.genCat)),AND(_xlpm.orig&lt;&gt;"",OR(ISNUMBER(SEARCH(_xlpm.genCat,_xlpm.orig)),ISNUMBER(SEARCH(_xlpm.orig,_xlpm.genCat))))),"OK","⚠️ À vérifier"))))</f>
        <v>OK</v>
      </c>
      <c r="T167" t="str">
        <f>IF(S167="","",IF(S167="OK (Autre)","Diagnostic générique = 'Autre – …'",IF(S167="OK","Concordance générique/principal","Écart entre générique et principal")))</f>
        <v>Concordance générique/principal</v>
      </c>
      <c r="U167" t="str" cm="1">
        <f t="array" ref="U167">_xlfn.LET(_xlpm.yr, A167, _xlpm.diag, IF(N167&lt;&gt;"", N167, H167), _xlpm.base, TRIM(SUBSTITUTE(SUBSTITUTE(SUBSTITUTE(SUBSTITUTE(_xlpm.diag,"•"," "),CHAR(160)," "),CHAR(10)," "),"  "," ")), LOWER(_xlpm.yr&amp;"|"&amp;_xlpm.base))</f>
        <v>2017|péricardite</v>
      </c>
      <c r="V167" t="str">
        <f>IFERROR(_xlfn.XLOOKUP($AB167,'Cas 2013-2017'!$K:$K,'Cas 2013-2017'!$D:$D,""),"")</f>
        <v>Jeune patiente 19 ans douleur à la poitrine depuis ce matin (invention)</v>
      </c>
      <c r="W167" t="str">
        <f>IFERROR(_xlfn.XLOOKUP($AB167,'Cas 2013-2017'!$K:$K,'Cas 2013-2017'!$E:$E,""),"")</f>
        <v>-Angor ? Localisation ? Irradiation? Caractère ? Mode de survenue ? Depuis quand? Evolution ? Facteur aggravant/soulageant? • -CV: Dyspnée, orthopnée, DPN, palpitations, syncope, oedèmes, nycturies, FRCV, infection récente • -anamnèse personnelle et famil</v>
      </c>
      <c r="X167" t="str">
        <f>IFERROR(_xlfn.XLOOKUP($AB167,'Cas 2013-2017'!$K:$K,'Cas 2013-2017'!$F:$F,""),"")</f>
        <v>CV • PULM</v>
      </c>
      <c r="Y167" t="str">
        <f>IFERROR(_xlfn.XLOOKUP($AB167,'Cas 2013-2017'!$K:$K,'Cas 2013-2017'!$G:$G,""),"")</f>
        <v>myocardite • angor stable angor instable • STEMI NSTEMI</v>
      </c>
      <c r="Z167" t="str">
        <f>IFERROR(_xlfn.XLOOKUP($AB167,'Cas 2013-2017'!$K:$K,'Cas 2013-2017'!$I:$I,""),"")</f>
        <v>-monitoring • -hospitalisation si patient instable → tamponade • -AINS • -repos • -contrôle à 24 et 48 h et 4s</v>
      </c>
      <c r="AA167" t="str">
        <f>IFERROR(_xlfn.XLOOKUP($AB167,'Cas 2013-2017'!$K:$K,'Cas 2013-2017'!$H:$H,""),"")</f>
        <v>FSC, paramètres inflammatoires, CK, trop, électrolytes, créat, urée • hémoculture ECG Rx thorax US coeur</v>
      </c>
      <c r="AB167" t="str">
        <f>LOWER($A167 &amp; "|" &amp; $AF167)</f>
        <v>2017|péricardite</v>
      </c>
      <c r="AC167" t="str">
        <f>TRIM(SUBSTITUTE(SUBSTITUTE(SUBSTITUTE(SUBSTITUTE(" " &amp; LOWER(TRIM(IF($N167&lt;&gt;"", $N167, $H167))) &amp; " ", " aomi ", " arteriopathie des membres inferieurs "), " hta ", " hypertension arterielle "), " saos ", " syndrome d'apnees obstructives du sommeil "), " rgo ", " reflux gastro-oesophagien ") )</f>
        <v>péricardite</v>
      </c>
      <c r="AD167" t="str">
        <f>TRIM(SUBSTITUTE(SUBSTITUTE(SUBSTITUTE(SUBSTITUTE(" " &amp; LOWER(TRIM($AC167)) &amp; " ", " oacr ", " occlusion de l'artere centrale de la retine "), " hsd ", " hematome sous-dural "), " fa ", " fibrillation auriculaire "), " ep ", " embolie pulmonaire ") )</f>
        <v>péricardite</v>
      </c>
      <c r="AE167" t="str" cm="1">
        <f t="array" ref="AE167">_xlfn.LET(_xlpm.base, " " &amp; LOWER(TRIM($AD167))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péricardite</v>
      </c>
      <c r="AF167" t="str" cm="1">
        <f t="array" ref="AF167">_xlfn.LET(_xlpm.base, " " &amp; LOWER(TRIM($AE167))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péricardite</v>
      </c>
    </row>
    <row r="168" spans="1:32" ht="50.25">
      <c r="A168" s="8">
        <v>2017</v>
      </c>
      <c r="B168" s="10" t="s">
        <v>51</v>
      </c>
      <c r="C168" s="8" t="s">
        <v>33</v>
      </c>
      <c r="D168" s="20">
        <v>93</v>
      </c>
      <c r="E168" s="11" t="str">
        <f>IF(D168="","",IFERROR(INDEX(SSP!$E$2:$E$266, MATCH(D168, SSP!$F$2:$F$266, 0)),""))</f>
        <v>Macules, papules, pustules, vésicules, ulcères, abcès, bulles, épaississement cutané, nécrose, tumeur cutanée</v>
      </c>
      <c r="F168" s="11" t="str">
        <f>Feuil1!E168</f>
        <v>Éruption cutanée</v>
      </c>
      <c r="G168" s="12" t="s">
        <v>52</v>
      </c>
      <c r="H168" s="13" t="s">
        <v>52</v>
      </c>
      <c r="I168" s="13" t="s">
        <v>660</v>
      </c>
      <c r="J168" s="16" t="s">
        <v>165</v>
      </c>
      <c r="K168" s="9" t="s">
        <v>661</v>
      </c>
      <c r="L168" s="9" t="s">
        <v>33</v>
      </c>
      <c r="M168" s="9" t="s">
        <v>33</v>
      </c>
      <c r="N168" t="s">
        <v>662</v>
      </c>
      <c r="O168" t="str">
        <f>IFERROR(_xlfn.XLOOKUP($D168, SSP!$F:$F, SSP!$E:$E, "Inconnu"), "")</f>
        <v>Macules, papules, pustules, vésicules, ulcères, abcès, bulles, épaississement cutané, nécrose, tumeur cutanée</v>
      </c>
      <c r="P168" t="str">
        <f>IF(OR(E168="", O168=""), "", IF(LOWER(E168)=LOWER(O168), "OK", "⚠️ Libellé ≠ n°"))</f>
        <v>OK</v>
      </c>
      <c r="Q168" t="str">
        <f>IF(Feuil1!$E168="", "", IF(LOWER(Feuil1!$E168)=LOWER(E168), "Identique", "Différent"))</f>
        <v>Différent</v>
      </c>
      <c r="R168" t="str">
        <f>IF(OR(P168="⚠️ Libellé ≠ n°", O168="Inconnu"), "⚠️", IF(Q168="Différent", "ℹ️", ""))</f>
        <v>ℹ️</v>
      </c>
      <c r="S168" t="str" cm="1">
        <f t="array" ref="S168">_xlfn.LET(_xlpm.genCat,IFERROR(LOWER(TRIM(G168)),""),_xlpm.principal,IFERROR(LOWER(TRIM(H168)),""),_xlpm.orig,IFERROR(LOWER(TRIM(N168)),""),IF(OR(_xlpm.genCat="",_xlpm.principal=""),"",IF(LEFT(LOWER(G168),5)="autre","OK (Autre)",IF(OR(ISNUMBER(SEARCH(_xlpm.genCat,_xlpm.principal)),ISNUMBER(SEARCH(_xlpm.principal,_xlpm.genCat)),AND(_xlpm.orig&lt;&gt;"",OR(ISNUMBER(SEARCH(_xlpm.genCat,_xlpm.orig)),ISNUMBER(SEARCH(_xlpm.orig,_xlpm.genCat))))),"OK","⚠️ À vérifier"))))</f>
        <v>OK</v>
      </c>
      <c r="T168" t="str">
        <f>IF(S168="","",IF(S168="OK (Autre)","Diagnostic générique = 'Autre – …'",IF(S168="OK","Concordance générique/principal","Écart entre générique et principal")))</f>
        <v>Concordance générique/principal</v>
      </c>
      <c r="U168" t="str" cm="1">
        <f t="array" ref="U168">_xlfn.LET(_xlpm.yr, A168, _xlpm.diag, IF(N168&lt;&gt;"", N168, H168), _xlpm.base, TRIM(SUBSTITUTE(SUBSTITUTE(SUBSTITUTE(SUBSTITUTE(_xlpm.diag,"•"," "),CHAR(160)," "),CHAR(10)," "),"  "," ")), LOWER(_xlpm.yr&amp;"|"&amp;_xlpm.base))</f>
        <v>2017|psoriasis + eczéma de contact</v>
      </c>
      <c r="V168" t="str">
        <f>IFERROR(_xlfn.XLOOKUP($AB168,'Cas 2013-2017'!$K:$K,'Cas 2013-2017'!$D:$D,""),"")</f>
        <v/>
      </c>
      <c r="W168" t="str">
        <f>IFERROR(_xlfn.XLOOKUP($AB168,'Cas 2013-2017'!$K:$K,'Cas 2013-2017'!$E:$E,""),"")</f>
        <v/>
      </c>
      <c r="X168" t="str">
        <f>IFERROR(_xlfn.XLOOKUP($AB168,'Cas 2013-2017'!$K:$K,'Cas 2013-2017'!$F:$F,""),"")</f>
        <v/>
      </c>
      <c r="Y168" t="str">
        <f>IFERROR(_xlfn.XLOOKUP($AB168,'Cas 2013-2017'!$K:$K,'Cas 2013-2017'!$G:$G,""),"")</f>
        <v/>
      </c>
      <c r="Z168" t="str">
        <f>IFERROR(_xlfn.XLOOKUP($AB168,'Cas 2013-2017'!$K:$K,'Cas 2013-2017'!$I:$I,""),"")</f>
        <v/>
      </c>
      <c r="AA168" t="str">
        <f>IFERROR(_xlfn.XLOOKUP($AB168,'Cas 2013-2017'!$K:$K,'Cas 2013-2017'!$H:$H,""),"")</f>
        <v/>
      </c>
      <c r="AB168" t="str">
        <f>LOWER($A168 &amp; "|" &amp; $AF168)</f>
        <v>2017|psoriasis + eczéma de contact</v>
      </c>
      <c r="AC168" t="str">
        <f>TRIM(SUBSTITUTE(SUBSTITUTE(SUBSTITUTE(SUBSTITUTE(" " &amp; LOWER(TRIM(IF($N168&lt;&gt;"", $N168, $H168))) &amp; " ", " aomi ", " arteriopathie des membres inferieurs "), " hta ", " hypertension arterielle "), " saos ", " syndrome d'apnees obstructives du sommeil "), " rgo ", " reflux gastro-oesophagien ") )</f>
        <v>psoriasis + eczéma de contact</v>
      </c>
      <c r="AD168" t="str">
        <f>TRIM(SUBSTITUTE(SUBSTITUTE(SUBSTITUTE(SUBSTITUTE(" " &amp; LOWER(TRIM($AC168)) &amp; " ", " oacr ", " occlusion de l'artere centrale de la retine "), " hsd ", " hematome sous-dural "), " fa ", " fibrillation auriculaire "), " ep ", " embolie pulmonaire ") )</f>
        <v>psoriasis + eczéma de contact</v>
      </c>
      <c r="AE168" t="str" cm="1">
        <f t="array" ref="AE168">_xlfn.LET(_xlpm.base, " " &amp; LOWER(TRIM($AD168))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psoriasis + eczéma de contact</v>
      </c>
      <c r="AF168" t="str" cm="1">
        <f t="array" ref="AF168">_xlfn.LET(_xlpm.base, " " &amp; LOWER(TRIM($AE168))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psoriasis + eczéma de contact</v>
      </c>
    </row>
    <row r="169" spans="1:32" ht="50.25">
      <c r="A169" s="8">
        <v>2017</v>
      </c>
      <c r="B169" s="10" t="s">
        <v>82</v>
      </c>
      <c r="C169" s="8" t="s">
        <v>55</v>
      </c>
      <c r="D169" s="20">
        <v>224</v>
      </c>
      <c r="E169" s="11" t="str">
        <f>IF(D169="","",IFERROR(INDEX(SSP!$E$2:$E$266, MATCH(D169, SSP!$F$2:$F$266, 0)),""))</f>
        <v>Demande de bilan de santé, d’examens radiologiques ou biologiques</v>
      </c>
      <c r="F169" s="11" t="str">
        <f>Feuil1!E169</f>
        <v>Bilan</v>
      </c>
      <c r="G169" s="12" t="s">
        <v>83</v>
      </c>
      <c r="H169" s="13"/>
      <c r="I169" s="13"/>
      <c r="J169" s="15" t="s">
        <v>663</v>
      </c>
      <c r="K169" s="9" t="s">
        <v>664</v>
      </c>
      <c r="L169" s="9" t="s">
        <v>33</v>
      </c>
      <c r="M169" s="9" t="s">
        <v>33</v>
      </c>
      <c r="N169" t="s">
        <v>33</v>
      </c>
      <c r="O169" t="str">
        <f>IFERROR(_xlfn.XLOOKUP($D169, SSP!$F:$F, SSP!$E:$E, "Inconnu"), "")</f>
        <v>Demande de bilan de santé, d’examens radiologiques ou biologiques</v>
      </c>
      <c r="P169" t="str">
        <f>IF(OR(E169="", O169=""), "", IF(LOWER(E169)=LOWER(O169), "OK", "⚠️ Libellé ≠ n°"))</f>
        <v>OK</v>
      </c>
      <c r="Q169" t="str">
        <f>IF(Feuil1!$E169="", "", IF(LOWER(Feuil1!$E169)=LOWER(E169), "Identique", "Différent"))</f>
        <v>Différent</v>
      </c>
      <c r="R169" t="str">
        <f>IF(OR(P169="⚠️ Libellé ≠ n°", O169="Inconnu"), "⚠️", IF(Q169="Différent", "ℹ️", ""))</f>
        <v>ℹ️</v>
      </c>
      <c r="S169" t="str" cm="1">
        <f t="array" ref="S169">_xlfn.LET(_xlpm.genCat,IFERROR(LOWER(TRIM(G169)),""),_xlpm.principal,IFERROR(LOWER(TRIM(H169)),""),_xlpm.orig,IFERROR(LOWER(TRIM(N169)),""),IF(OR(_xlpm.genCat="",_xlpm.principal=""),"",IF(LEFT(LOWER(G169),5)="autre","OK (Autre)",IF(OR(ISNUMBER(SEARCH(_xlpm.genCat,_xlpm.principal)),ISNUMBER(SEARCH(_xlpm.principal,_xlpm.genCat)),AND(_xlpm.orig&lt;&gt;"",OR(ISNUMBER(SEARCH(_xlpm.genCat,_xlpm.orig)),ISNUMBER(SEARCH(_xlpm.orig,_xlpm.genCat))))),"OK","⚠️ À vérifier"))))</f>
        <v/>
      </c>
      <c r="T169" t="str">
        <f>IF(S169="","",IF(S169="OK (Autre)","Diagnostic générique = 'Autre – …'",IF(S169="OK","Concordance générique/principal","Écart entre générique et principal")))</f>
        <v/>
      </c>
      <c r="U169" t="str" cm="1">
        <f t="array" ref="U169">_xlfn.LET(_xlpm.yr, A169, _xlpm.diag, IF(N169&lt;&gt;"", N169, H169), _xlpm.base, TRIM(SUBSTITUTE(SUBSTITUTE(SUBSTITUTE(SUBSTITUTE(_xlpm.diag,"•"," "),CHAR(160)," "),CHAR(10)," "),"  "," ")), LOWER(_xlpm.yr&amp;"|"&amp;_xlpm.base))</f>
        <v>2017|</v>
      </c>
      <c r="V169" t="str">
        <f>IFERROR(_xlfn.XLOOKUP($AB169,'Cas 2013-2017'!$K:$K,'Cas 2013-2017'!$D:$D,""),"")</f>
        <v/>
      </c>
      <c r="W169" t="str">
        <f>IFERROR(_xlfn.XLOOKUP($AB169,'Cas 2013-2017'!$K:$K,'Cas 2013-2017'!$E:$E,""),"")</f>
        <v/>
      </c>
      <c r="X169" t="str">
        <f>IFERROR(_xlfn.XLOOKUP($AB169,'Cas 2013-2017'!$K:$K,'Cas 2013-2017'!$F:$F,""),"")</f>
        <v/>
      </c>
      <c r="Y169" t="str">
        <f>IFERROR(_xlfn.XLOOKUP($AB169,'Cas 2013-2017'!$K:$K,'Cas 2013-2017'!$G:$G,""),"")</f>
        <v/>
      </c>
      <c r="Z169" t="str">
        <f>IFERROR(_xlfn.XLOOKUP($AB169,'Cas 2013-2017'!$K:$K,'Cas 2013-2017'!$I:$I,""),"")</f>
        <v/>
      </c>
      <c r="AA169" t="str">
        <f>IFERROR(_xlfn.XLOOKUP($AB169,'Cas 2013-2017'!$K:$K,'Cas 2013-2017'!$H:$H,""),"")</f>
        <v/>
      </c>
      <c r="AB169" t="str">
        <f>LOWER($A169 &amp; "|" &amp; $AF169)</f>
        <v>2017| </v>
      </c>
      <c r="AC169" t="str">
        <f>TRIM(SUBSTITUTE(SUBSTITUTE(SUBSTITUTE(SUBSTITUTE(" " &amp; LOWER(TRIM(IF($N169&lt;&gt;"", $N169, $H169))) &amp; " ", " aomi ", " arteriopathie des membres inferieurs "), " hta ", " hypertension arterielle "), " saos ", " syndrome d'apnees obstructives du sommeil "), " rgo ", " reflux gastro-oesophagien ") )</f>
        <v> </v>
      </c>
      <c r="AD169" t="str">
        <f>TRIM(SUBSTITUTE(SUBSTITUTE(SUBSTITUTE(SUBSTITUTE(" " &amp; LOWER(TRIM($AC169)) &amp; " ", " oacr ", " occlusion de l'artere centrale de la retine "), " hsd ", " hematome sous-dural "), " fa ", " fibrillation auriculaire "), " ep ", " embolie pulmonaire ") )</f>
        <v> </v>
      </c>
      <c r="AE169" t="str" cm="1">
        <f t="array" ref="AE169">_xlfn.LET(_xlpm.base, " " &amp; LOWER(TRIM($AD169))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169" t="str" cm="1">
        <f t="array" ref="AF169">_xlfn.LET(_xlpm.base, " " &amp; LOWER(TRIM($AE169))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170" spans="1:32" ht="33.75">
      <c r="A170" s="8">
        <v>2017</v>
      </c>
      <c r="B170" s="10" t="s">
        <v>68</v>
      </c>
      <c r="C170" s="8" t="s">
        <v>33</v>
      </c>
      <c r="D170" s="20">
        <v>52</v>
      </c>
      <c r="E170" s="11" t="str">
        <f>IF(D170="","",IFERROR(INDEX(SSP!$E$2:$E$266, MATCH(D170, SSP!$F$2:$F$266, 0)),""))</f>
        <v>Douleur abdominale ou épigastrique</v>
      </c>
      <c r="F170" s="11" t="str">
        <f>Feuil1!E170</f>
        <v>Douleur abdominale</v>
      </c>
      <c r="G170" s="12" t="s">
        <v>665</v>
      </c>
      <c r="H170" s="13" t="s">
        <v>665</v>
      </c>
      <c r="I170" s="13" t="s">
        <v>666</v>
      </c>
      <c r="J170" s="15" t="s">
        <v>667</v>
      </c>
      <c r="K170" s="9" t="s">
        <v>668</v>
      </c>
      <c r="L170" s="9" t="s">
        <v>33</v>
      </c>
      <c r="M170" s="9" t="s">
        <v>33</v>
      </c>
      <c r="N170" t="s">
        <v>669</v>
      </c>
      <c r="O170" t="str">
        <f>IFERROR(_xlfn.XLOOKUP($D170, SSP!$F:$F, SSP!$E:$E, "Inconnu"), "")</f>
        <v>Douleur abdominale ou épigastrique</v>
      </c>
      <c r="P170" t="str">
        <f>IF(OR(E170="", O170=""), "", IF(LOWER(E170)=LOWER(O170), "OK", "⚠️ Libellé ≠ n°"))</f>
        <v>OK</v>
      </c>
      <c r="Q170" t="str">
        <f>IF(Feuil1!$E170="", "", IF(LOWER(Feuil1!$E170)=LOWER(E170), "Identique", "Différent"))</f>
        <v>Différent</v>
      </c>
      <c r="R170" t="str">
        <f>IF(OR(P170="⚠️ Libellé ≠ n°", O170="Inconnu"), "⚠️", IF(Q170="Différent", "ℹ️", ""))</f>
        <v>ℹ️</v>
      </c>
      <c r="S170" t="str" cm="1">
        <f t="array" ref="S170">_xlfn.LET(_xlpm.genCat,IFERROR(LOWER(TRIM(G170)),""),_xlpm.principal,IFERROR(LOWER(TRIM(H170)),""),_xlpm.orig,IFERROR(LOWER(TRIM(N170)),""),IF(OR(_xlpm.genCat="",_xlpm.principal=""),"",IF(LEFT(LOWER(G170),5)="autre","OK (Autre)",IF(OR(ISNUMBER(SEARCH(_xlpm.genCat,_xlpm.principal)),ISNUMBER(SEARCH(_xlpm.principal,_xlpm.genCat)),AND(_xlpm.orig&lt;&gt;"",OR(ISNUMBER(SEARCH(_xlpm.genCat,_xlpm.orig)),ISNUMBER(SEARCH(_xlpm.orig,_xlpm.genCat))))),"OK","⚠️ À vérifier"))))</f>
        <v>OK</v>
      </c>
      <c r="T170" t="str">
        <f>IF(S170="","",IF(S170="OK (Autre)","Diagnostic générique = 'Autre – …'",IF(S170="OK","Concordance générique/principal","Écart entre générique et principal")))</f>
        <v>Concordance générique/principal</v>
      </c>
      <c r="U170" t="str" cm="1">
        <f t="array" ref="U170">_xlfn.LET(_xlpm.yr, A170, _xlpm.diag, IF(N170&lt;&gt;"", N170, H170), _xlpm.base, TRIM(SUBSTITUTE(SUBSTITUTE(SUBSTITUTE(SUBSTITUTE(_xlpm.diag,"•"," "),CHAR(160)," "),CHAR(10)," "),"  "," ")), LOWER(_xlpm.yr&amp;"|"&amp;_xlpm.base))</f>
        <v>2017|gastrite, œsophagite.</v>
      </c>
      <c r="V170" t="str">
        <f>IFERROR(_xlfn.XLOOKUP($AB170,'Cas 2013-2017'!$K:$K,'Cas 2013-2017'!$D:$D,""),"")</f>
        <v/>
      </c>
      <c r="W170" t="str">
        <f>IFERROR(_xlfn.XLOOKUP($AB170,'Cas 2013-2017'!$K:$K,'Cas 2013-2017'!$E:$E,""),"")</f>
        <v/>
      </c>
      <c r="X170" t="str">
        <f>IFERROR(_xlfn.XLOOKUP($AB170,'Cas 2013-2017'!$K:$K,'Cas 2013-2017'!$F:$F,""),"")</f>
        <v/>
      </c>
      <c r="Y170" t="str">
        <f>IFERROR(_xlfn.XLOOKUP($AB170,'Cas 2013-2017'!$K:$K,'Cas 2013-2017'!$G:$G,""),"")</f>
        <v/>
      </c>
      <c r="Z170" t="str">
        <f>IFERROR(_xlfn.XLOOKUP($AB170,'Cas 2013-2017'!$K:$K,'Cas 2013-2017'!$I:$I,""),"")</f>
        <v/>
      </c>
      <c r="AA170" t="str">
        <f>IFERROR(_xlfn.XLOOKUP($AB170,'Cas 2013-2017'!$K:$K,'Cas 2013-2017'!$H:$H,""),"")</f>
        <v/>
      </c>
      <c r="AB170" t="str">
        <f>LOWER($A170 &amp; "|" &amp; $AF170)</f>
        <v>2017|gastrite, œsophagite.</v>
      </c>
      <c r="AC170" t="str">
        <f>TRIM(SUBSTITUTE(SUBSTITUTE(SUBSTITUTE(SUBSTITUTE(" " &amp; LOWER(TRIM(IF($N170&lt;&gt;"", $N170, $H170))) &amp; " ", " aomi ", " arteriopathie des membres inferieurs "), " hta ", " hypertension arterielle "), " saos ", " syndrome d'apnees obstructives du sommeil "), " rgo ", " reflux gastro-oesophagien ") )</f>
        <v>gastrite, œsophagite.</v>
      </c>
      <c r="AD170" t="str">
        <f>TRIM(SUBSTITUTE(SUBSTITUTE(SUBSTITUTE(SUBSTITUTE(" " &amp; LOWER(TRIM($AC170)) &amp; " ", " oacr ", " occlusion de l'artere centrale de la retine "), " hsd ", " hematome sous-dural "), " fa ", " fibrillation auriculaire "), " ep ", " embolie pulmonaire ") )</f>
        <v>gastrite, œsophagite.</v>
      </c>
      <c r="AE170" t="str" cm="1">
        <f t="array" ref="AE170">_xlfn.LET(_xlpm.base, " " &amp; LOWER(TRIM($AD170))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gastrite, œsophagite.</v>
      </c>
      <c r="AF170" t="str" cm="1">
        <f t="array" ref="AF170">_xlfn.LET(_xlpm.base, " " &amp; LOWER(TRIM($AE170))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gastrite, œsophagite.</v>
      </c>
    </row>
    <row r="171" spans="1:32" ht="33.75">
      <c r="A171" s="8">
        <v>2017</v>
      </c>
      <c r="B171" s="10" t="s">
        <v>68</v>
      </c>
      <c r="C171" s="8" t="s">
        <v>33</v>
      </c>
      <c r="D171" s="20">
        <v>59</v>
      </c>
      <c r="E171" s="11" t="str">
        <f>IF(D171="","",IFERROR(INDEX(SSP!$E$2:$E$266, MATCH(D171, SSP!$F$2:$F$266, 0)),""))</f>
        <v>Diarrhée</v>
      </c>
      <c r="F171" s="11" t="str">
        <f>Feuil1!E171</f>
        <v>Diarrhée</v>
      </c>
      <c r="G171" s="12" t="s">
        <v>670</v>
      </c>
      <c r="H171" s="13" t="s">
        <v>671</v>
      </c>
      <c r="I171" s="13"/>
      <c r="J171" s="15" t="s">
        <v>672</v>
      </c>
      <c r="K171" s="9" t="s">
        <v>33</v>
      </c>
      <c r="L171" s="9" t="s">
        <v>33</v>
      </c>
      <c r="M171" s="9" t="s">
        <v>33</v>
      </c>
      <c r="N171" t="s">
        <v>671</v>
      </c>
      <c r="O171" t="str">
        <f>IFERROR(_xlfn.XLOOKUP($D171, SSP!$F:$F, SSP!$E:$E, "Inconnu"), "")</f>
        <v>Diarrhée</v>
      </c>
      <c r="P171" t="str">
        <f>IF(OR(E171="", O171=""), "", IF(LOWER(E171)=LOWER(O171), "OK", "⚠️ Libellé ≠ n°"))</f>
        <v>OK</v>
      </c>
      <c r="Q171" t="str">
        <f>IF(Feuil1!$E171="", "", IF(LOWER(Feuil1!$E171)=LOWER(E171), "Identique", "Différent"))</f>
        <v>Identique</v>
      </c>
      <c r="R171" t="str">
        <f>IF(OR(P171="⚠️ Libellé ≠ n°", O171="Inconnu"), "⚠️", IF(Q171="Différent", "ℹ️", ""))</f>
        <v/>
      </c>
      <c r="S171" t="str" cm="1">
        <f t="array" ref="S171">_xlfn.LET(_xlpm.genCat,IFERROR(LOWER(TRIM(G171)),""),_xlpm.principal,IFERROR(LOWER(TRIM(H171)),""),_xlpm.orig,IFERROR(LOWER(TRIM(N171)),""),IF(OR(_xlpm.genCat="",_xlpm.principal=""),"",IF(LEFT(LOWER(G171),5)="autre","OK (Autre)",IF(OR(ISNUMBER(SEARCH(_xlpm.genCat,_xlpm.principal)),ISNUMBER(SEARCH(_xlpm.principal,_xlpm.genCat)),AND(_xlpm.orig&lt;&gt;"",OR(ISNUMBER(SEARCH(_xlpm.genCat,_xlpm.orig)),ISNUMBER(SEARCH(_xlpm.orig,_xlpm.genCat))))),"OK","⚠️ À vérifier"))))</f>
        <v>OK</v>
      </c>
      <c r="T171" t="str">
        <f>IF(S171="","",IF(S171="OK (Autre)","Diagnostic générique = 'Autre – …'",IF(S171="OK","Concordance générique/principal","Écart entre générique et principal")))</f>
        <v>Concordance générique/principal</v>
      </c>
      <c r="U171" t="str" cm="1">
        <f t="array" ref="U171">_xlfn.LET(_xlpm.yr, A171, _xlpm.diag, IF(N171&lt;&gt;"", N171, H171), _xlpm.base, TRIM(SUBSTITUTE(SUBSTITUTE(SUBSTITUTE(SUBSTITUTE(_xlpm.diag,"•"," "),CHAR(160)," "),CHAR(10)," "),"  "," ")), LOWER(_xlpm.yr&amp;"|"&amp;_xlpm.base))</f>
        <v>2017|mici (rcuh)</v>
      </c>
      <c r="V171" t="str">
        <f>IFERROR(_xlfn.XLOOKUP($AB171,'Cas 2013-2017'!$K:$K,'Cas 2013-2017'!$D:$D,""),"")</f>
        <v/>
      </c>
      <c r="W171" t="str">
        <f>IFERROR(_xlfn.XLOOKUP($AB171,'Cas 2013-2017'!$K:$K,'Cas 2013-2017'!$E:$E,""),"")</f>
        <v/>
      </c>
      <c r="X171" t="str">
        <f>IFERROR(_xlfn.XLOOKUP($AB171,'Cas 2013-2017'!$K:$K,'Cas 2013-2017'!$F:$F,""),"")</f>
        <v/>
      </c>
      <c r="Y171" t="str">
        <f>IFERROR(_xlfn.XLOOKUP($AB171,'Cas 2013-2017'!$K:$K,'Cas 2013-2017'!$G:$G,""),"")</f>
        <v/>
      </c>
      <c r="Z171" t="str">
        <f>IFERROR(_xlfn.XLOOKUP($AB171,'Cas 2013-2017'!$K:$K,'Cas 2013-2017'!$I:$I,""),"")</f>
        <v/>
      </c>
      <c r="AA171" t="str">
        <f>IFERROR(_xlfn.XLOOKUP($AB171,'Cas 2013-2017'!$K:$K,'Cas 2013-2017'!$H:$H,""),"")</f>
        <v/>
      </c>
      <c r="AB171" t="str">
        <f>LOWER($A171 &amp; "|" &amp; $AF171)</f>
        <v>2017|mici (rcuh)</v>
      </c>
      <c r="AC171" t="str">
        <f>TRIM(SUBSTITUTE(SUBSTITUTE(SUBSTITUTE(SUBSTITUTE(" " &amp; LOWER(TRIM(IF($N171&lt;&gt;"", $N171, $H171))) &amp; " ", " aomi ", " arteriopathie des membres inferieurs "), " hta ", " hypertension arterielle "), " saos ", " syndrome d'apnees obstructives du sommeil "), " rgo ", " reflux gastro-oesophagien ") )</f>
        <v>mici (rcuh)</v>
      </c>
      <c r="AD171" t="str">
        <f>TRIM(SUBSTITUTE(SUBSTITUTE(SUBSTITUTE(SUBSTITUTE(" " &amp; LOWER(TRIM($AC171)) &amp; " ", " oacr ", " occlusion de l'artere centrale de la retine "), " hsd ", " hematome sous-dural "), " fa ", " fibrillation auriculaire "), " ep ", " embolie pulmonaire ") )</f>
        <v>mici (rcuh)</v>
      </c>
      <c r="AE171" t="str" cm="1">
        <f t="array" ref="AE171">_xlfn.LET(_xlpm.base, " " &amp; LOWER(TRIM($AD171))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mici (rcuh)</v>
      </c>
      <c r="AF171" t="str" cm="1">
        <f t="array" ref="AF171">_xlfn.LET(_xlpm.base, " " &amp; LOWER(TRIM($AE171))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mici (rcuh)</v>
      </c>
    </row>
    <row r="172" spans="1:32" ht="66.75">
      <c r="A172" s="8">
        <v>2017</v>
      </c>
      <c r="B172" s="10" t="s">
        <v>68</v>
      </c>
      <c r="C172" s="8" t="s">
        <v>33</v>
      </c>
      <c r="D172" s="20">
        <v>52</v>
      </c>
      <c r="E172" s="11" t="str">
        <f>IF(D172="","",IFERROR(INDEX(SSP!$E$2:$E$266, MATCH(D172, SSP!$F$2:$F$266, 0)),""))</f>
        <v>Douleur abdominale ou épigastrique</v>
      </c>
      <c r="F172" s="11" t="str">
        <f>Feuil1!E172</f>
        <v>Douleur abdominale</v>
      </c>
      <c r="G172" s="12" t="s">
        <v>202</v>
      </c>
      <c r="H172" s="13" t="s">
        <v>202</v>
      </c>
      <c r="I172" s="13" t="s">
        <v>673</v>
      </c>
      <c r="J172" s="16" t="s">
        <v>165</v>
      </c>
      <c r="K172" s="9" t="s">
        <v>674</v>
      </c>
      <c r="L172" s="9" t="s">
        <v>675</v>
      </c>
      <c r="M172" s="9" t="s">
        <v>676</v>
      </c>
      <c r="N172" t="s">
        <v>202</v>
      </c>
      <c r="O172" t="str">
        <f>IFERROR(_xlfn.XLOOKUP($D172, SSP!$F:$F, SSP!$E:$E, "Inconnu"), "")</f>
        <v>Douleur abdominale ou épigastrique</v>
      </c>
      <c r="P172" t="str">
        <f>IF(OR(E172="", O172=""), "", IF(LOWER(E172)=LOWER(O172), "OK", "⚠️ Libellé ≠ n°"))</f>
        <v>OK</v>
      </c>
      <c r="Q172" t="str">
        <f>IF(Feuil1!$E172="", "", IF(LOWER(Feuil1!$E172)=LOWER(E172), "Identique", "Différent"))</f>
        <v>Différent</v>
      </c>
      <c r="R172" t="str">
        <f>IF(OR(P172="⚠️ Libellé ≠ n°", O172="Inconnu"), "⚠️", IF(Q172="Différent", "ℹ️", ""))</f>
        <v>ℹ️</v>
      </c>
      <c r="S172" t="str" cm="1">
        <f t="array" ref="S172">_xlfn.LET(_xlpm.genCat,IFERROR(LOWER(TRIM(G172)),""),_xlpm.principal,IFERROR(LOWER(TRIM(H172)),""),_xlpm.orig,IFERROR(LOWER(TRIM(N172)),""),IF(OR(_xlpm.genCat="",_xlpm.principal=""),"",IF(LEFT(LOWER(G172),5)="autre","OK (Autre)",IF(OR(ISNUMBER(SEARCH(_xlpm.genCat,_xlpm.principal)),ISNUMBER(SEARCH(_xlpm.principal,_xlpm.genCat)),AND(_xlpm.orig&lt;&gt;"",OR(ISNUMBER(SEARCH(_xlpm.genCat,_xlpm.orig)),ISNUMBER(SEARCH(_xlpm.orig,_xlpm.genCat))))),"OK","⚠️ À vérifier"))))</f>
        <v>OK</v>
      </c>
      <c r="T172" t="str">
        <f>IF(S172="","",IF(S172="OK (Autre)","Diagnostic générique = 'Autre – …'",IF(S172="OK","Concordance générique/principal","Écart entre générique et principal")))</f>
        <v>Concordance générique/principal</v>
      </c>
      <c r="U172" t="str" cm="1">
        <f t="array" ref="U172">_xlfn.LET(_xlpm.yr, A172, _xlpm.diag, IF(N172&lt;&gt;"", N172, H172), _xlpm.base, TRIM(SUBSTITUTE(SUBSTITUTE(SUBSTITUTE(SUBSTITUTE(_xlpm.diag,"•"," "),CHAR(160)," "),CHAR(10)," "),"  "," ")), LOWER(_xlpm.yr&amp;"|"&amp;_xlpm.base))</f>
        <v>2017|pancréatite</v>
      </c>
      <c r="V172">
        <f>IFERROR(_xlfn.XLOOKUP($AB172,'Cas 2013-2017'!$K:$K,'Cas 2013-2017'!$D:$D,""),"")</f>
        <v>0</v>
      </c>
      <c r="W172" t="str">
        <f>IFERROR(_xlfn.XLOOKUP($AB172,'Cas 2013-2017'!$K:$K,'Cas 2013-2017'!$E:$E,""),"")</f>
        <v>Douleur ? Caractérisation. Reflux, N/V, trouble du transit diarrhée, sang, ictère, dysphagie, brûlures gastriques,</v>
      </c>
      <c r="X172" t="str">
        <f>IFERROR(_xlfn.XLOOKUP($AB172,'Cas 2013-2017'!$K:$K,'Cas 2013-2017'!$F:$F,""),"")</f>
        <v>ABDO • CV • POULS, TENSION DDC</v>
      </c>
      <c r="Y172" t="str">
        <f>IFERROR(_xlfn.XLOOKUP($AB172,'Cas 2013-2017'!$K:$K,'Cas 2013-2017'!$G:$G,""),"")</f>
        <v>dissection de l’aorte • perforation gastrique • gastrite</v>
      </c>
      <c r="Z172" t="str">
        <f>IFERROR(_xlfn.XLOOKUP($AB172,'Cas 2013-2017'!$K:$K,'Cas 2013-2017'!$I:$I,""),"")</f>
        <v>Hospitalisation, antalgie, hydratation, nihil per os, alimentation progressive quand plus de douleur • ERCP si calcul</v>
      </c>
      <c r="AA172" t="str">
        <f>IFERROR(_xlfn.XLOOKUP($AB172,'Cas 2013-2017'!$K:$K,'Cas 2013-2017'!$H:$H,""),"")</f>
        <v>FSS, électrolytes, syndrome inflammatoire, tests hépatiques, amylase,</v>
      </c>
      <c r="AB172" t="str">
        <f>LOWER($A172 &amp; "|" &amp; $AF172)</f>
        <v>2017|pancréatite</v>
      </c>
      <c r="AC172" t="str">
        <f>TRIM(SUBSTITUTE(SUBSTITUTE(SUBSTITUTE(SUBSTITUTE(" " &amp; LOWER(TRIM(IF($N172&lt;&gt;"", $N172, $H172))) &amp; " ", " aomi ", " arteriopathie des membres inferieurs "), " hta ", " hypertension arterielle "), " saos ", " syndrome d'apnees obstructives du sommeil "), " rgo ", " reflux gastro-oesophagien ") )</f>
        <v>pancréatite</v>
      </c>
      <c r="AD172" t="str">
        <f>TRIM(SUBSTITUTE(SUBSTITUTE(SUBSTITUTE(SUBSTITUTE(" " &amp; LOWER(TRIM($AC172)) &amp; " ", " oacr ", " occlusion de l'artere centrale de la retine "), " hsd ", " hematome sous-dural "), " fa ", " fibrillation auriculaire "), " ep ", " embolie pulmonaire ") )</f>
        <v>pancréatite</v>
      </c>
      <c r="AE172" t="str" cm="1">
        <f t="array" ref="AE172">_xlfn.LET(_xlpm.base, " " &amp; LOWER(TRIM($AD172))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pancréatite</v>
      </c>
      <c r="AF172" t="str" cm="1">
        <f t="array" ref="AF172">_xlfn.LET(_xlpm.base, " " &amp; LOWER(TRIM($AE172))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pancréatite</v>
      </c>
    </row>
    <row r="173" spans="1:32" ht="50.25">
      <c r="A173" s="8">
        <v>2017</v>
      </c>
      <c r="B173" s="10" t="s">
        <v>100</v>
      </c>
      <c r="C173" s="8" t="s">
        <v>33</v>
      </c>
      <c r="D173" s="20">
        <v>207</v>
      </c>
      <c r="E173" s="11" t="str">
        <f>IF(D173="","",IFERROR(INDEX(SSP!$E$2:$E$266, MATCH(D173, SSP!$F$2:$F$266, 0)),""))</f>
        <v>Céphalée aiguë intense, syndrome méningé</v>
      </c>
      <c r="F173" s="11" t="str">
        <f>Feuil1!E173</f>
        <v>Céphalée</v>
      </c>
      <c r="G173" s="12" t="s">
        <v>233</v>
      </c>
      <c r="H173" s="13" t="s">
        <v>213</v>
      </c>
      <c r="I173" s="13" t="s">
        <v>677</v>
      </c>
      <c r="J173" s="15" t="s">
        <v>678</v>
      </c>
      <c r="K173" s="9" t="s">
        <v>679</v>
      </c>
      <c r="L173" s="9" t="s">
        <v>33</v>
      </c>
      <c r="M173" s="9" t="s">
        <v>33</v>
      </c>
      <c r="N173" t="s">
        <v>680</v>
      </c>
      <c r="O173" t="str">
        <f>IFERROR(_xlfn.XLOOKUP($D173, SSP!$F:$F, SSP!$E:$E, "Inconnu"), "")</f>
        <v>Céphalée aiguë intense, syndrome méningé</v>
      </c>
      <c r="P173" t="str">
        <f>IF(OR(E173="", O173=""), "", IF(LOWER(E173)=LOWER(O173), "OK", "⚠️ Libellé ≠ n°"))</f>
        <v>OK</v>
      </c>
      <c r="Q173" t="str">
        <f>IF(Feuil1!$E173="", "", IF(LOWER(Feuil1!$E173)=LOWER(E173), "Identique", "Différent"))</f>
        <v>Différent</v>
      </c>
      <c r="R173" t="str">
        <f>IF(OR(P173="⚠️ Libellé ≠ n°", O173="Inconnu"), "⚠️", IF(Q173="Différent", "ℹ️", ""))</f>
        <v>ℹ️</v>
      </c>
      <c r="S173" t="str" cm="1">
        <f t="array" ref="S173">_xlfn.LET(_xlpm.genCat,IFERROR(LOWER(TRIM(G173)),""),_xlpm.principal,IFERROR(LOWER(TRIM(H173)),""),_xlpm.orig,IFERROR(LOWER(TRIM(N173)),""),IF(OR(_xlpm.genCat="",_xlpm.principal=""),"",IF(LEFT(LOWER(G173),5)="autre","OK (Autre)",IF(OR(ISNUMBER(SEARCH(_xlpm.genCat,_xlpm.principal)),ISNUMBER(SEARCH(_xlpm.principal,_xlpm.genCat)),AND(_xlpm.orig&lt;&gt;"",OR(ISNUMBER(SEARCH(_xlpm.genCat,_xlpm.orig)),ISNUMBER(SEARCH(_xlpm.orig,_xlpm.genCat))))),"OK","⚠️ À vérifier"))))</f>
        <v>OK (Autre)</v>
      </c>
      <c r="T173" t="str">
        <f>IF(S173="","",IF(S173="OK (Autre)","Diagnostic générique = 'Autre – …'",IF(S173="OK","Concordance générique/principal","Écart entre générique et principal")))</f>
        <v>Diagnostic générique = 'Autre – …'</v>
      </c>
      <c r="U173" t="str" cm="1">
        <f t="array" ref="U173">_xlfn.LET(_xlpm.yr, A173, _xlpm.diag, IF(N173&lt;&gt;"", N173, H173), _xlpm.base, TRIM(SUBSTITUTE(SUBSTITUTE(SUBSTITUTE(SUBSTITUTE(_xlpm.diag,"•"," "),CHAR(160)," "),CHAR(10)," "),"  "," ")), LOWER(_xlpm.yr&amp;"|"&amp;_xlpm.base))</f>
        <v>2017|prééclampsie / céphalées (urg)</v>
      </c>
      <c r="V173" t="str">
        <f>IFERROR(_xlfn.XLOOKUP($AB173,'Cas 2013-2017'!$K:$K,'Cas 2013-2017'!$D:$D,""),"")</f>
        <v/>
      </c>
      <c r="W173" t="str">
        <f>IFERROR(_xlfn.XLOOKUP($AB173,'Cas 2013-2017'!$K:$K,'Cas 2013-2017'!$E:$E,""),"")</f>
        <v/>
      </c>
      <c r="X173" t="str">
        <f>IFERROR(_xlfn.XLOOKUP($AB173,'Cas 2013-2017'!$K:$K,'Cas 2013-2017'!$F:$F,""),"")</f>
        <v/>
      </c>
      <c r="Y173" t="str">
        <f>IFERROR(_xlfn.XLOOKUP($AB173,'Cas 2013-2017'!$K:$K,'Cas 2013-2017'!$G:$G,""),"")</f>
        <v/>
      </c>
      <c r="Z173" t="str">
        <f>IFERROR(_xlfn.XLOOKUP($AB173,'Cas 2013-2017'!$K:$K,'Cas 2013-2017'!$I:$I,""),"")</f>
        <v/>
      </c>
      <c r="AA173" t="str">
        <f>IFERROR(_xlfn.XLOOKUP($AB173,'Cas 2013-2017'!$K:$K,'Cas 2013-2017'!$H:$H,""),"")</f>
        <v/>
      </c>
      <c r="AB173" t="str">
        <f>LOWER($A173 &amp; "|" &amp; $AF173)</f>
        <v>2017|prééclampsie / céphalées (urg)</v>
      </c>
      <c r="AC173" t="str">
        <f>TRIM(SUBSTITUTE(SUBSTITUTE(SUBSTITUTE(SUBSTITUTE(" " &amp; LOWER(TRIM(IF($N173&lt;&gt;"", $N173, $H173))) &amp; " ", " aomi ", " arteriopathie des membres inferieurs "), " hta ", " hypertension arterielle "), " saos ", " syndrome d'apnees obstructives du sommeil "), " rgo ", " reflux gastro-oesophagien ") )</f>
        <v>prééclampsie / céphalées (urg)</v>
      </c>
      <c r="AD173" t="str">
        <f>TRIM(SUBSTITUTE(SUBSTITUTE(SUBSTITUTE(SUBSTITUTE(" " &amp; LOWER(TRIM($AC173)) &amp; " ", " oacr ", " occlusion de l'artere centrale de la retine "), " hsd ", " hematome sous-dural "), " fa ", " fibrillation auriculaire "), " ep ", " embolie pulmonaire ") )</f>
        <v>prééclampsie / céphalées (urg)</v>
      </c>
      <c r="AE173" t="str" cm="1">
        <f t="array" ref="AE173">_xlfn.LET(_xlpm.base, " " &amp; LOWER(TRIM($AD173))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prééclampsie / céphalées (urg)</v>
      </c>
      <c r="AF173" t="str" cm="1">
        <f t="array" ref="AF173">_xlfn.LET(_xlpm.base, " " &amp; LOWER(TRIM($AE173))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prééclampsie / céphalées (urg)</v>
      </c>
    </row>
    <row r="174" spans="1:32" ht="50.25">
      <c r="A174" s="8">
        <v>2017</v>
      </c>
      <c r="B174" s="10" t="s">
        <v>91</v>
      </c>
      <c r="C174" s="8" t="s">
        <v>33</v>
      </c>
      <c r="D174" s="20">
        <v>214</v>
      </c>
      <c r="E174" s="11" t="str">
        <f>IF(D174="","",IFERROR(INDEX(SSP!$E$2:$E$266, MATCH(D174, SSP!$F$2:$F$266, 0)),""))</f>
        <v>Hypertension ou hypotension artérielle sévère</v>
      </c>
      <c r="F174" s="11" t="str">
        <f>Feuil1!E174</f>
        <v>Hypotension</v>
      </c>
      <c r="G174" s="12" t="s">
        <v>681</v>
      </c>
      <c r="H174" s="13" t="s">
        <v>681</v>
      </c>
      <c r="I174" s="13"/>
      <c r="J174" s="15" t="s">
        <v>682</v>
      </c>
      <c r="K174" s="9" t="s">
        <v>683</v>
      </c>
      <c r="L174" s="9" t="s">
        <v>684</v>
      </c>
      <c r="M174" s="9" t="s">
        <v>685</v>
      </c>
      <c r="N174" t="s">
        <v>681</v>
      </c>
      <c r="O174" t="str">
        <f>IFERROR(_xlfn.XLOOKUP($D174, SSP!$F:$F, SSP!$E:$E, "Inconnu"), "")</f>
        <v>Hypertension ou hypotension artérielle sévère</v>
      </c>
      <c r="P174" t="str">
        <f>IF(OR(E174="", O174=""), "", IF(LOWER(E174)=LOWER(O174), "OK", "⚠️ Libellé ≠ n°"))</f>
        <v>OK</v>
      </c>
      <c r="Q174" t="str">
        <f>IF(Feuil1!$E174="", "", IF(LOWER(Feuil1!$E174)=LOWER(E174), "Identique", "Différent"))</f>
        <v>Différent</v>
      </c>
      <c r="R174" t="str">
        <f>IF(OR(P174="⚠️ Libellé ≠ n°", O174="Inconnu"), "⚠️", IF(Q174="Différent", "ℹ️", ""))</f>
        <v>ℹ️</v>
      </c>
      <c r="S174" t="str" cm="1">
        <f t="array" ref="S174">_xlfn.LET(_xlpm.genCat,IFERROR(LOWER(TRIM(G174)),""),_xlpm.principal,IFERROR(LOWER(TRIM(H174)),""),_xlpm.orig,IFERROR(LOWER(TRIM(N174)),""),IF(OR(_xlpm.genCat="",_xlpm.principal=""),"",IF(LEFT(LOWER(G174),5)="autre","OK (Autre)",IF(OR(ISNUMBER(SEARCH(_xlpm.genCat,_xlpm.principal)),ISNUMBER(SEARCH(_xlpm.principal,_xlpm.genCat)),AND(_xlpm.orig&lt;&gt;"",OR(ISNUMBER(SEARCH(_xlpm.genCat,_xlpm.orig)),ISNUMBER(SEARCH(_xlpm.orig,_xlpm.genCat))))),"OK","⚠️ À vérifier"))))</f>
        <v>OK</v>
      </c>
      <c r="T174" t="str">
        <f>IF(S174="","",IF(S174="OK (Autre)","Diagnostic générique = 'Autre – …'",IF(S174="OK","Concordance générique/principal","Écart entre générique et principal")))</f>
        <v>Concordance générique/principal</v>
      </c>
      <c r="U174" t="str" cm="1">
        <f t="array" ref="U174">_xlfn.LET(_xlpm.yr, A174, _xlpm.diag, IF(N174&lt;&gt;"", N174, H174), _xlpm.base, TRIM(SUBSTITUTE(SUBSTITUTE(SUBSTITUTE(SUBSTITUTE(_xlpm.diag,"•"," "),CHAR(160)," "),CHAR(10)," "),"  "," ")), LOWER(_xlpm.yr&amp;"|"&amp;_xlpm.base))</f>
        <v>2017|choc septique</v>
      </c>
      <c r="V174" t="str">
        <f>IFERROR(_xlfn.XLOOKUP($AB174,'Cas 2013-2017'!$K:$K,'Cas 2013-2017'!$D:$D,""),"")</f>
        <v>Pneumonie chez ancien tox</v>
      </c>
      <c r="W174" t="str">
        <f>IFERROR(_xlfn.XLOOKUP($AB174,'Cas 2013-2017'!$K:$K,'Cas 2013-2017'!$E:$E,""),"")</f>
        <v>Anamnèse rapide • Si jms reprendre anamnèse quand patient stabilisé</v>
      </c>
      <c r="X174" t="str">
        <f>IFERROR(_xlfn.XLOOKUP($AB174,'Cas 2013-2017'!$K:$K,'Cas 2013-2017'!$F:$F,""),"")</f>
        <v>ABCDE • ou • Cardio-pulm</v>
      </c>
      <c r="Y174">
        <f>IFERROR(_xlfn.XLOOKUP($AB174,'Cas 2013-2017'!$K:$K,'Cas 2013-2017'!$G:$G,""),"")</f>
        <v>0</v>
      </c>
      <c r="Z174" t="str">
        <f>IFERROR(_xlfn.XLOOKUP($AB174,'Cas 2013-2017'!$K:$K,'Cas 2013-2017'!$I:$I,""),"")</f>
        <v>2 voies • Remplissage • O2 • NA ou A • AB iv Tazobac</v>
      </c>
      <c r="AA174" t="str">
        <f>IFERROR(_xlfn.XLOOKUP($AB174,'Cas 2013-2017'!$K:$K,'Cas 2013-2017'!$H:$H,""),"")</f>
        <v>2 paires d’hémocs • Culture expecto • Urine: antigène pneumocoque • Gazo, sat • Labo • Rx • HIV? Virémie, taux CD4</v>
      </c>
      <c r="AB174" t="str">
        <f>LOWER($A174 &amp; "|" &amp; $AF174)</f>
        <v>2017|choc septique</v>
      </c>
      <c r="AC174" t="str">
        <f>TRIM(SUBSTITUTE(SUBSTITUTE(SUBSTITUTE(SUBSTITUTE(" " &amp; LOWER(TRIM(IF($N174&lt;&gt;"", $N174, $H174))) &amp; " ", " aomi ", " arteriopathie des membres inferieurs "), " hta ", " hypertension arterielle "), " saos ", " syndrome d'apnees obstructives du sommeil "), " rgo ", " reflux gastro-oesophagien ") )</f>
        <v>choc septique</v>
      </c>
      <c r="AD174" t="str">
        <f>TRIM(SUBSTITUTE(SUBSTITUTE(SUBSTITUTE(SUBSTITUTE(" " &amp; LOWER(TRIM($AC174)) &amp; " ", " oacr ", " occlusion de l'artere centrale de la retine "), " hsd ", " hematome sous-dural "), " fa ", " fibrillation auriculaire "), " ep ", " embolie pulmonaire ") )</f>
        <v>choc septique</v>
      </c>
      <c r="AE174" t="str" cm="1">
        <f t="array" ref="AE174">_xlfn.LET(_xlpm.base, " " &amp; LOWER(TRIM($AD174))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choc septique</v>
      </c>
      <c r="AF174" t="str" cm="1">
        <f t="array" ref="AF174">_xlfn.LET(_xlpm.base, " " &amp; LOWER(TRIM($AE174))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choc septique</v>
      </c>
    </row>
    <row r="175" spans="1:32" ht="33.75">
      <c r="A175" s="8">
        <v>2017</v>
      </c>
      <c r="B175" s="10" t="s">
        <v>133</v>
      </c>
      <c r="C175" s="8" t="s">
        <v>33</v>
      </c>
      <c r="D175" s="20">
        <v>6</v>
      </c>
      <c r="E175" s="11" t="str">
        <f>IF(D175="","",IFERROR(INDEX(SSP!$E$2:$E$266, MATCH(D175, SSP!$F$2:$F$266, 0)),""))</f>
        <v>Fièvre, frissons, hyperthermie</v>
      </c>
      <c r="F175" s="11" t="str">
        <f>Feuil1!E175</f>
        <v>Fièvre</v>
      </c>
      <c r="G175" s="12" t="s">
        <v>215</v>
      </c>
      <c r="H175" s="13" t="s">
        <v>686</v>
      </c>
      <c r="I175" s="13"/>
      <c r="J175" s="16" t="s">
        <v>165</v>
      </c>
      <c r="K175" s="9" t="s">
        <v>687</v>
      </c>
      <c r="L175" s="9" t="s">
        <v>33</v>
      </c>
      <c r="M175" s="9" t="s">
        <v>33</v>
      </c>
      <c r="N175" t="s">
        <v>686</v>
      </c>
      <c r="O175" t="str">
        <f>IFERROR(_xlfn.XLOOKUP($D175, SSP!$F:$F, SSP!$E:$E, "Inconnu"), "")</f>
        <v>Fièvre, frissons, hyperthermie</v>
      </c>
      <c r="P175" t="str">
        <f>IF(OR(E175="", O175=""), "", IF(LOWER(E175)=LOWER(O175), "OK", "⚠️ Libellé ≠ n°"))</f>
        <v>OK</v>
      </c>
      <c r="Q175" t="str">
        <f>IF(Feuil1!$E175="", "", IF(LOWER(Feuil1!$E175)=LOWER(E175), "Identique", "Différent"))</f>
        <v>Différent</v>
      </c>
      <c r="R175" t="str">
        <f>IF(OR(P175="⚠️ Libellé ≠ n°", O175="Inconnu"), "⚠️", IF(Q175="Différent", "ℹ️", ""))</f>
        <v>ℹ️</v>
      </c>
      <c r="S175" t="str" cm="1">
        <f t="array" ref="S175">_xlfn.LET(_xlpm.genCat,IFERROR(LOWER(TRIM(G175)),""),_xlpm.principal,IFERROR(LOWER(TRIM(H175)),""),_xlpm.orig,IFERROR(LOWER(TRIM(N175)),""),IF(OR(_xlpm.genCat="",_xlpm.principal=""),"",IF(LEFT(LOWER(G175),5)="autre","OK (Autre)",IF(OR(ISNUMBER(SEARCH(_xlpm.genCat,_xlpm.principal)),ISNUMBER(SEARCH(_xlpm.principal,_xlpm.genCat)),AND(_xlpm.orig&lt;&gt;"",OR(ISNUMBER(SEARCH(_xlpm.genCat,_xlpm.orig)),ISNUMBER(SEARCH(_xlpm.orig,_xlpm.genCat))))),"OK","⚠️ À vérifier"))))</f>
        <v>OK</v>
      </c>
      <c r="T175" t="str">
        <f>IF(S175="","",IF(S175="OK (Autre)","Diagnostic générique = 'Autre – …'",IF(S175="OK","Concordance générique/principal","Écart entre générique et principal")))</f>
        <v>Concordance générique/principal</v>
      </c>
      <c r="U175" t="str" cm="1">
        <f t="array" ref="U175">_xlfn.LET(_xlpm.yr, A175, _xlpm.diag, IF(N175&lt;&gt;"", N175, H175), _xlpm.base, TRIM(SUBSTITUTE(SUBSTITUTE(SUBSTITUTE(SUBSTITUTE(_xlpm.diag,"•"," "),CHAR(160)," "),CHAR(10)," "),"  "," ")), LOWER(_xlpm.yr&amp;"|"&amp;_xlpm.base))</f>
        <v>2017|tuberculose (tbc)</v>
      </c>
      <c r="V175" t="str">
        <f>IFERROR(_xlfn.XLOOKUP($AB175,'Cas 2013-2017'!$K:$K,'Cas 2013-2017'!$D:$D,""),"")</f>
        <v/>
      </c>
      <c r="W175" t="str">
        <f>IFERROR(_xlfn.XLOOKUP($AB175,'Cas 2013-2017'!$K:$K,'Cas 2013-2017'!$E:$E,""),"")</f>
        <v/>
      </c>
      <c r="X175" t="str">
        <f>IFERROR(_xlfn.XLOOKUP($AB175,'Cas 2013-2017'!$K:$K,'Cas 2013-2017'!$F:$F,""),"")</f>
        <v/>
      </c>
      <c r="Y175" t="str">
        <f>IFERROR(_xlfn.XLOOKUP($AB175,'Cas 2013-2017'!$K:$K,'Cas 2013-2017'!$G:$G,""),"")</f>
        <v/>
      </c>
      <c r="Z175" t="str">
        <f>IFERROR(_xlfn.XLOOKUP($AB175,'Cas 2013-2017'!$K:$K,'Cas 2013-2017'!$I:$I,""),"")</f>
        <v/>
      </c>
      <c r="AA175" t="str">
        <f>IFERROR(_xlfn.XLOOKUP($AB175,'Cas 2013-2017'!$K:$K,'Cas 2013-2017'!$H:$H,""),"")</f>
        <v/>
      </c>
      <c r="AB175" t="str">
        <f>LOWER($A175 &amp; "|" &amp; $AF175)</f>
        <v>2017|tuberculose (tbc)</v>
      </c>
      <c r="AC175" t="str">
        <f>TRIM(SUBSTITUTE(SUBSTITUTE(SUBSTITUTE(SUBSTITUTE(" " &amp; LOWER(TRIM(IF($N175&lt;&gt;"", $N175, $H175))) &amp; " ", " aomi ", " arteriopathie des membres inferieurs "), " hta ", " hypertension arterielle "), " saos ", " syndrome d'apnees obstructives du sommeil "), " rgo ", " reflux gastro-oesophagien ") )</f>
        <v>tuberculose (tbc)</v>
      </c>
      <c r="AD175" t="str">
        <f>TRIM(SUBSTITUTE(SUBSTITUTE(SUBSTITUTE(SUBSTITUTE(" " &amp; LOWER(TRIM($AC175)) &amp; " ", " oacr ", " occlusion de l'artere centrale de la retine "), " hsd ", " hematome sous-dural "), " fa ", " fibrillation auriculaire "), " ep ", " embolie pulmonaire ") )</f>
        <v>tuberculose (tbc)</v>
      </c>
      <c r="AE175" t="str" cm="1">
        <f t="array" ref="AE175">_xlfn.LET(_xlpm.base, " " &amp; LOWER(TRIM($AD175))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tuberculose (tbc)</v>
      </c>
      <c r="AF175" t="str" cm="1">
        <f t="array" ref="AF175">_xlfn.LET(_xlpm.base, " " &amp; LOWER(TRIM($AE175))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tuberculose (tbc)</v>
      </c>
    </row>
    <row r="176" spans="1:32" ht="33.75">
      <c r="A176" s="8">
        <v>2017</v>
      </c>
      <c r="B176" s="10" t="s">
        <v>221</v>
      </c>
      <c r="C176" s="8" t="s">
        <v>33</v>
      </c>
      <c r="D176" s="20">
        <v>10</v>
      </c>
      <c r="E176" s="11" t="str">
        <f>IF(D176="","",IFERROR(INDEX(SSP!$E$2:$E$266, MATCH(D176, SSP!$F$2:$F$266, 0)),""))</f>
        <v>Douleur (toutes localisations et types confondus)</v>
      </c>
      <c r="F176" s="11" t="str">
        <f>Feuil1!E176</f>
        <v>Douleur genou</v>
      </c>
      <c r="G176" s="12" t="s">
        <v>580</v>
      </c>
      <c r="H176" s="13" t="s">
        <v>688</v>
      </c>
      <c r="I176" s="13"/>
      <c r="J176" s="16" t="s">
        <v>165</v>
      </c>
      <c r="K176" s="9" t="s">
        <v>33</v>
      </c>
      <c r="L176" s="9" t="s">
        <v>33</v>
      </c>
      <c r="M176" s="9" t="s">
        <v>33</v>
      </c>
      <c r="N176" t="s">
        <v>689</v>
      </c>
      <c r="O176" t="str">
        <f>IFERROR(_xlfn.XLOOKUP($D176, SSP!$F:$F, SSP!$E:$E, "Inconnu"), "")</f>
        <v>Douleur (toutes localisations et types confondus)</v>
      </c>
      <c r="P176" t="str">
        <f>IF(OR(E176="", O176=""), "", IF(LOWER(E176)=LOWER(O176), "OK", "⚠️ Libellé ≠ n°"))</f>
        <v>OK</v>
      </c>
      <c r="Q176" t="str">
        <f>IF(Feuil1!$E176="", "", IF(LOWER(Feuil1!$E176)=LOWER(E176), "Identique", "Différent"))</f>
        <v>Différent</v>
      </c>
      <c r="R176" t="str">
        <f>IF(OR(P176="⚠️ Libellé ≠ n°", O176="Inconnu"), "⚠️", IF(Q176="Différent", "ℹ️", ""))</f>
        <v>ℹ️</v>
      </c>
      <c r="S176" t="str" cm="1">
        <f t="array" ref="S176">_xlfn.LET(_xlpm.genCat,IFERROR(LOWER(TRIM(G176)),""),_xlpm.principal,IFERROR(LOWER(TRIM(H176)),""),_xlpm.orig,IFERROR(LOWER(TRIM(N176)),""),IF(OR(_xlpm.genCat="",_xlpm.principal=""),"",IF(LEFT(LOWER(G176),5)="autre","OK (Autre)",IF(OR(ISNUMBER(SEARCH(_xlpm.genCat,_xlpm.principal)),ISNUMBER(SEARCH(_xlpm.principal,_xlpm.genCat)),AND(_xlpm.orig&lt;&gt;"",OR(ISNUMBER(SEARCH(_xlpm.genCat,_xlpm.orig)),ISNUMBER(SEARCH(_xlpm.orig,_xlpm.genCat))))),"OK","⚠️ À vérifier"))))</f>
        <v>⚠️ À vérifier</v>
      </c>
      <c r="T176" t="str">
        <f>IF(S176="","",IF(S176="OK (Autre)","Diagnostic générique = 'Autre – …'",IF(S176="OK","Concordance générique/principal","Écart entre générique et principal")))</f>
        <v>Écart entre générique et principal</v>
      </c>
      <c r="U176" t="str" cm="1">
        <f t="array" ref="U176">_xlfn.LET(_xlpm.yr, A176, _xlpm.diag, IF(N176&lt;&gt;"", N176, H176), _xlpm.base, TRIM(SUBSTITUTE(SUBSTITUTE(SUBSTITUTE(SUBSTITUTE(_xlpm.diag,"•"," "),CHAR(160)," "),CHAR(10)," "),"  "," ")), LOWER(_xlpm.yr&amp;"|"&amp;_xlpm.base))</f>
        <v>2017|déchirure du ménisque ou du ligament du genou.</v>
      </c>
      <c r="V176" t="str">
        <f>IFERROR(_xlfn.XLOOKUP($AB176,'Cas 2013-2017'!$K:$K,'Cas 2013-2017'!$D:$D,""),"")</f>
        <v/>
      </c>
      <c r="W176" t="str">
        <f>IFERROR(_xlfn.XLOOKUP($AB176,'Cas 2013-2017'!$K:$K,'Cas 2013-2017'!$E:$E,""),"")</f>
        <v/>
      </c>
      <c r="X176" t="str">
        <f>IFERROR(_xlfn.XLOOKUP($AB176,'Cas 2013-2017'!$K:$K,'Cas 2013-2017'!$F:$F,""),"")</f>
        <v/>
      </c>
      <c r="Y176" t="str">
        <f>IFERROR(_xlfn.XLOOKUP($AB176,'Cas 2013-2017'!$K:$K,'Cas 2013-2017'!$G:$G,""),"")</f>
        <v/>
      </c>
      <c r="Z176" t="str">
        <f>IFERROR(_xlfn.XLOOKUP($AB176,'Cas 2013-2017'!$K:$K,'Cas 2013-2017'!$I:$I,""),"")</f>
        <v/>
      </c>
      <c r="AA176" t="str">
        <f>IFERROR(_xlfn.XLOOKUP($AB176,'Cas 2013-2017'!$K:$K,'Cas 2013-2017'!$H:$H,""),"")</f>
        <v/>
      </c>
      <c r="AB176" t="str">
        <f>LOWER($A176 &amp; "|" &amp; $AF176)</f>
        <v>2017|déchirure du ménisque ou du ligament du genou.</v>
      </c>
      <c r="AC176" t="str">
        <f>TRIM(SUBSTITUTE(SUBSTITUTE(SUBSTITUTE(SUBSTITUTE(" " &amp; LOWER(TRIM(IF($N176&lt;&gt;"", $N176, $H176))) &amp; " ", " aomi ", " arteriopathie des membres inferieurs "), " hta ", " hypertension arterielle "), " saos ", " syndrome d'apnees obstructives du sommeil "), " rgo ", " reflux gastro-oesophagien ") )</f>
        <v>déchirure du ménisque ou du ligament du genou.</v>
      </c>
      <c r="AD176" t="str">
        <f>TRIM(SUBSTITUTE(SUBSTITUTE(SUBSTITUTE(SUBSTITUTE(" " &amp; LOWER(TRIM($AC176)) &amp; " ", " oacr ", " occlusion de l'artere centrale de la retine "), " hsd ", " hematome sous-dural "), " fa ", " fibrillation auriculaire "), " ep ", " embolie pulmonaire ") )</f>
        <v>déchirure du ménisque ou du ligament du genou.</v>
      </c>
      <c r="AE176" t="str" cm="1">
        <f t="array" ref="AE176">_xlfn.LET(_xlpm.base, " " &amp; LOWER(TRIM($AD176))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déchirure du ménisque ou du ligament du genou.</v>
      </c>
      <c r="AF176" t="str" cm="1">
        <f t="array" ref="AF176">_xlfn.LET(_xlpm.base, " " &amp; LOWER(TRIM($AE176))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déchirure du ménisque ou du ligament du genou.</v>
      </c>
    </row>
    <row r="177" spans="1:32" ht="33.75">
      <c r="A177" s="8">
        <v>2017</v>
      </c>
      <c r="B177" s="10" t="s">
        <v>221</v>
      </c>
      <c r="C177" s="8" t="s">
        <v>33</v>
      </c>
      <c r="D177" s="20">
        <v>10</v>
      </c>
      <c r="E177" s="11" t="str">
        <f>IF(D177="","",IFERROR(INDEX(SSP!$E$2:$E$266, MATCH(D177, SSP!$F$2:$F$266, 0)),""))</f>
        <v>Douleur (toutes localisations et types confondus)</v>
      </c>
      <c r="F177" s="11" t="str">
        <f>Feuil1!E177</f>
        <v>Douleur épaule</v>
      </c>
      <c r="G177" s="12" t="s">
        <v>226</v>
      </c>
      <c r="H177" s="13" t="s">
        <v>690</v>
      </c>
      <c r="I177" s="13"/>
      <c r="J177" s="16" t="s">
        <v>165</v>
      </c>
      <c r="K177" s="9" t="s">
        <v>33</v>
      </c>
      <c r="L177" s="9" t="s">
        <v>33</v>
      </c>
      <c r="M177" s="9" t="s">
        <v>33</v>
      </c>
      <c r="N177" t="s">
        <v>690</v>
      </c>
      <c r="O177" t="str">
        <f>IFERROR(_xlfn.XLOOKUP($D177, SSP!$F:$F, SSP!$E:$E, "Inconnu"), "")</f>
        <v>Douleur (toutes localisations et types confondus)</v>
      </c>
      <c r="P177" t="str">
        <f>IF(OR(E177="", O177=""), "", IF(LOWER(E177)=LOWER(O177), "OK", "⚠️ Libellé ≠ n°"))</f>
        <v>OK</v>
      </c>
      <c r="Q177" t="str">
        <f>IF(Feuil1!$E177="", "", IF(LOWER(Feuil1!$E177)=LOWER(E177), "Identique", "Différent"))</f>
        <v>Différent</v>
      </c>
      <c r="R177" t="str">
        <f>IF(OR(P177="⚠️ Libellé ≠ n°", O177="Inconnu"), "⚠️", IF(Q177="Différent", "ℹ️", ""))</f>
        <v>ℹ️</v>
      </c>
      <c r="S177" t="str" cm="1">
        <f t="array" ref="S177">_xlfn.LET(_xlpm.genCat,IFERROR(LOWER(TRIM(G177)),""),_xlpm.principal,IFERROR(LOWER(TRIM(H177)),""),_xlpm.orig,IFERROR(LOWER(TRIM(N177)),""),IF(OR(_xlpm.genCat="",_xlpm.principal=""),"",IF(LEFT(LOWER(G177),5)="autre","OK (Autre)",IF(OR(ISNUMBER(SEARCH(_xlpm.genCat,_xlpm.principal)),ISNUMBER(SEARCH(_xlpm.principal,_xlpm.genCat)),AND(_xlpm.orig&lt;&gt;"",OR(ISNUMBER(SEARCH(_xlpm.genCat,_xlpm.orig)),ISNUMBER(SEARCH(_xlpm.orig,_xlpm.genCat))))),"OK","⚠️ À vérifier"))))</f>
        <v>OK (Autre)</v>
      </c>
      <c r="T177" t="str">
        <f>IF(S177="","",IF(S177="OK (Autre)","Diagnostic générique = 'Autre – …'",IF(S177="OK","Concordance générique/principal","Écart entre générique et principal")))</f>
        <v>Diagnostic générique = 'Autre – …'</v>
      </c>
      <c r="U177" t="str" cm="1">
        <f t="array" ref="U177">_xlfn.LET(_xlpm.yr, A177, _xlpm.diag, IF(N177&lt;&gt;"", N177, H177), _xlpm.base, TRIM(SUBSTITUTE(SUBSTITUTE(SUBSTITUTE(SUBSTITUTE(_xlpm.diag,"•"," "),CHAR(160)," "),CHAR(10)," "),"  "," ")), LOWER(_xlpm.yr&amp;"|"&amp;_xlpm.base))</f>
        <v>2017|lésion de la coiffe des rotateurs sans rupture</v>
      </c>
      <c r="V177" t="str">
        <f>IFERROR(_xlfn.XLOOKUP($AB177,'Cas 2013-2017'!$K:$K,'Cas 2013-2017'!$D:$D,""),"")</f>
        <v/>
      </c>
      <c r="W177" t="str">
        <f>IFERROR(_xlfn.XLOOKUP($AB177,'Cas 2013-2017'!$K:$K,'Cas 2013-2017'!$E:$E,""),"")</f>
        <v/>
      </c>
      <c r="X177" t="str">
        <f>IFERROR(_xlfn.XLOOKUP($AB177,'Cas 2013-2017'!$K:$K,'Cas 2013-2017'!$F:$F,""),"")</f>
        <v/>
      </c>
      <c r="Y177" t="str">
        <f>IFERROR(_xlfn.XLOOKUP($AB177,'Cas 2013-2017'!$K:$K,'Cas 2013-2017'!$G:$G,""),"")</f>
        <v/>
      </c>
      <c r="Z177" t="str">
        <f>IFERROR(_xlfn.XLOOKUP($AB177,'Cas 2013-2017'!$K:$K,'Cas 2013-2017'!$I:$I,""),"")</f>
        <v/>
      </c>
      <c r="AA177" t="str">
        <f>IFERROR(_xlfn.XLOOKUP($AB177,'Cas 2013-2017'!$K:$K,'Cas 2013-2017'!$H:$H,""),"")</f>
        <v/>
      </c>
      <c r="AB177" t="str">
        <f>LOWER($A177 &amp; "|" &amp; $AF177)</f>
        <v>2017|lésion de la coiffe des rotateurs sans rupture</v>
      </c>
      <c r="AC177" t="str">
        <f>TRIM(SUBSTITUTE(SUBSTITUTE(SUBSTITUTE(SUBSTITUTE(" " &amp; LOWER(TRIM(IF($N177&lt;&gt;"", $N177, $H177))) &amp; " ", " aomi ", " arteriopathie des membres inferieurs "), " hta ", " hypertension arterielle "), " saos ", " syndrome d'apnees obstructives du sommeil "), " rgo ", " reflux gastro-oesophagien ") )</f>
        <v>lésion de la coiffe des rotateurs sans rupture</v>
      </c>
      <c r="AD177" t="str">
        <f>TRIM(SUBSTITUTE(SUBSTITUTE(SUBSTITUTE(SUBSTITUTE(" " &amp; LOWER(TRIM($AC177)) &amp; " ", " oacr ", " occlusion de l'artere centrale de la retine "), " hsd ", " hematome sous-dural "), " fa ", " fibrillation auriculaire "), " ep ", " embolie pulmonaire ") )</f>
        <v>lésion de la coiffe des rotateurs sans rupture</v>
      </c>
      <c r="AE177" t="str" cm="1">
        <f t="array" ref="AE177">_xlfn.LET(_xlpm.base, " " &amp; LOWER(TRIM($AD177))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lésion de la coiffe des rotateurs sans rupture</v>
      </c>
      <c r="AF177" t="str" cm="1">
        <f t="array" ref="AF177">_xlfn.LET(_xlpm.base, " " &amp; LOWER(TRIM($AE177))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lésion de la coiffe des rotateurs sans rupture</v>
      </c>
    </row>
    <row r="178" spans="1:32" ht="33.75">
      <c r="A178" s="8">
        <v>2017</v>
      </c>
      <c r="B178" s="10" t="s">
        <v>82</v>
      </c>
      <c r="C178" s="8" t="s">
        <v>33</v>
      </c>
      <c r="D178" s="20">
        <v>90</v>
      </c>
      <c r="E178" s="11" t="str">
        <f>IF(D178="","",IFERROR(INDEX(SSP!$E$2:$E$266, MATCH(D178, SSP!$F$2:$F$266, 0)),""))</f>
        <v>Plaie infectée, retard de cicatrisation, ulcère cutané</v>
      </c>
      <c r="F178" s="11" t="str">
        <f>Feuil1!E178</f>
        <v>Plaie / Ulcère cutané</v>
      </c>
      <c r="G178" s="12" t="s">
        <v>83</v>
      </c>
      <c r="H178" s="13" t="s">
        <v>691</v>
      </c>
      <c r="I178" s="13"/>
      <c r="J178" s="16" t="s">
        <v>165</v>
      </c>
      <c r="K178" s="9" t="s">
        <v>33</v>
      </c>
      <c r="L178" s="9" t="s">
        <v>33</v>
      </c>
      <c r="M178" s="9" t="s">
        <v>33</v>
      </c>
      <c r="N178" t="s">
        <v>692</v>
      </c>
      <c r="O178" t="str">
        <f>IFERROR(_xlfn.XLOOKUP($D178, SSP!$F:$F, SSP!$E:$E, "Inconnu"), "")</f>
        <v>Plaie infectée, retard de cicatrisation, ulcère cutané</v>
      </c>
      <c r="P178" t="str">
        <f>IF(OR(E178="", O178=""), "", IF(LOWER(E178)=LOWER(O178), "OK", "⚠️ Libellé ≠ n°"))</f>
        <v>OK</v>
      </c>
      <c r="Q178" t="str">
        <f>IF(Feuil1!$E178="", "", IF(LOWER(Feuil1!$E178)=LOWER(E178), "Identique", "Différent"))</f>
        <v>Différent</v>
      </c>
      <c r="R178" t="str">
        <f>IF(OR(P178="⚠️ Libellé ≠ n°", O178="Inconnu"), "⚠️", IF(Q178="Différent", "ℹ️", ""))</f>
        <v>ℹ️</v>
      </c>
      <c r="S178" t="str" cm="1">
        <f t="array" ref="S178">_xlfn.LET(_xlpm.genCat,IFERROR(LOWER(TRIM(G178)),""),_xlpm.principal,IFERROR(LOWER(TRIM(H178)),""),_xlpm.orig,IFERROR(LOWER(TRIM(N178)),""),IF(OR(_xlpm.genCat="",_xlpm.principal=""),"",IF(LEFT(LOWER(G178),5)="autre","OK (Autre)",IF(OR(ISNUMBER(SEARCH(_xlpm.genCat,_xlpm.principal)),ISNUMBER(SEARCH(_xlpm.principal,_xlpm.genCat)),AND(_xlpm.orig&lt;&gt;"",OR(ISNUMBER(SEARCH(_xlpm.genCat,_xlpm.orig)),ISNUMBER(SEARCH(_xlpm.orig,_xlpm.genCat))))),"OK","⚠️ À vérifier"))))</f>
        <v>OK (Autre)</v>
      </c>
      <c r="T178" t="str">
        <f>IF(S178="","",IF(S178="OK (Autre)","Diagnostic générique = 'Autre – …'",IF(S178="OK","Concordance générique/principal","Écart entre générique et principal")))</f>
        <v>Diagnostic générique = 'Autre – …'</v>
      </c>
      <c r="U178" t="str" cm="1">
        <f t="array" ref="U178">_xlfn.LET(_xlpm.yr, A178, _xlpm.diag, IF(N178&lt;&gt;"", N178, H178), _xlpm.base, TRIM(SUBSTITUTE(SUBSTITUTE(SUBSTITUTE(SUBSTITUTE(_xlpm.diag,"•"," "),CHAR(160)," "),CHAR(10)," "),"  "," ")), LOWER(_xlpm.yr&amp;"|"&amp;_xlpm.base))</f>
        <v>2017|morsure de chien avec atteinte du nerf ulnaire.</v>
      </c>
      <c r="V178" t="str">
        <f>IFERROR(_xlfn.XLOOKUP($AB178,'Cas 2013-2017'!$K:$K,'Cas 2013-2017'!$D:$D,""),"")</f>
        <v/>
      </c>
      <c r="W178" t="str">
        <f>IFERROR(_xlfn.XLOOKUP($AB178,'Cas 2013-2017'!$K:$K,'Cas 2013-2017'!$E:$E,""),"")</f>
        <v/>
      </c>
      <c r="X178" t="str">
        <f>IFERROR(_xlfn.XLOOKUP($AB178,'Cas 2013-2017'!$K:$K,'Cas 2013-2017'!$F:$F,""),"")</f>
        <v/>
      </c>
      <c r="Y178" t="str">
        <f>IFERROR(_xlfn.XLOOKUP($AB178,'Cas 2013-2017'!$K:$K,'Cas 2013-2017'!$G:$G,""),"")</f>
        <v/>
      </c>
      <c r="Z178" t="str">
        <f>IFERROR(_xlfn.XLOOKUP($AB178,'Cas 2013-2017'!$K:$K,'Cas 2013-2017'!$I:$I,""),"")</f>
        <v/>
      </c>
      <c r="AA178" t="str">
        <f>IFERROR(_xlfn.XLOOKUP($AB178,'Cas 2013-2017'!$K:$K,'Cas 2013-2017'!$H:$H,""),"")</f>
        <v/>
      </c>
      <c r="AB178" t="str">
        <f>LOWER($A178 &amp; "|" &amp; $AF178)</f>
        <v>2017|morsure de chien avec atteinte du nerf ulnaire.</v>
      </c>
      <c r="AC178" t="str">
        <f>TRIM(SUBSTITUTE(SUBSTITUTE(SUBSTITUTE(SUBSTITUTE(" " &amp; LOWER(TRIM(IF($N178&lt;&gt;"", $N178, $H178))) &amp; " ", " aomi ", " arteriopathie des membres inferieurs "), " hta ", " hypertension arterielle "), " saos ", " syndrome d'apnees obstructives du sommeil "), " rgo ", " reflux gastro-oesophagien ") )</f>
        <v>morsure de chien avec atteinte du nerf ulnaire.</v>
      </c>
      <c r="AD178" t="str">
        <f>TRIM(SUBSTITUTE(SUBSTITUTE(SUBSTITUTE(SUBSTITUTE(" " &amp; LOWER(TRIM($AC178)) &amp; " ", " oacr ", " occlusion de l'artere centrale de la retine "), " hsd ", " hematome sous-dural "), " fa ", " fibrillation auriculaire "), " ep ", " embolie pulmonaire ") )</f>
        <v>morsure de chien avec atteinte du nerf ulnaire.</v>
      </c>
      <c r="AE178" t="str" cm="1">
        <f t="array" ref="AE178">_xlfn.LET(_xlpm.base, " " &amp; LOWER(TRIM($AD178))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morsure de chien avec atteinte du nerf ulnaire.</v>
      </c>
      <c r="AF178" t="str" cm="1">
        <f t="array" ref="AF178">_xlfn.LET(_xlpm.base, " " &amp; LOWER(TRIM($AE178))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morsure de chien avec atteinte du nerf ulnaire.</v>
      </c>
    </row>
    <row r="179" spans="1:32" ht="50.25">
      <c r="A179" s="8">
        <v>2017</v>
      </c>
      <c r="B179" s="10" t="s">
        <v>100</v>
      </c>
      <c r="C179" s="8" t="s">
        <v>33</v>
      </c>
      <c r="D179" s="20">
        <v>103</v>
      </c>
      <c r="E179" s="11" t="str">
        <f>IF(D179="","",IFERROR(INDEX(SSP!$E$2:$E$266, MATCH(D179, SSP!$F$2:$F$266, 0)),""))</f>
        <v>Paresie, paralysie</v>
      </c>
      <c r="F179" s="11" t="str">
        <f>Feuil1!E179</f>
        <v>Parésie</v>
      </c>
      <c r="G179" s="12" t="s">
        <v>101</v>
      </c>
      <c r="H179" s="13" t="s">
        <v>102</v>
      </c>
      <c r="I179" s="13" t="s">
        <v>693</v>
      </c>
      <c r="J179" s="15" t="s">
        <v>694</v>
      </c>
      <c r="K179" s="9" t="s">
        <v>695</v>
      </c>
      <c r="L179" s="9" t="s">
        <v>696</v>
      </c>
      <c r="M179" s="9" t="s">
        <v>697</v>
      </c>
      <c r="N179" t="s">
        <v>105</v>
      </c>
      <c r="O179" t="str">
        <f>IFERROR(_xlfn.XLOOKUP($D179, SSP!$F:$F, SSP!$E:$E, "Inconnu"), "")</f>
        <v>Paresie, paralysie</v>
      </c>
      <c r="P179" t="str">
        <f>IF(OR(E179="", O179=""), "", IF(LOWER(E179)=LOWER(O179), "OK", "⚠️ Libellé ≠ n°"))</f>
        <v>OK</v>
      </c>
      <c r="Q179" t="str">
        <f>IF(Feuil1!$E179="", "", IF(LOWER(Feuil1!$E179)=LOWER(E179), "Identique", "Différent"))</f>
        <v>Différent</v>
      </c>
      <c r="R179" t="str">
        <f>IF(OR(P179="⚠️ Libellé ≠ n°", O179="Inconnu"), "⚠️", IF(Q179="Différent", "ℹ️", ""))</f>
        <v>ℹ️</v>
      </c>
      <c r="S179" t="str" cm="1">
        <f t="array" ref="S179">_xlfn.LET(_xlpm.genCat,IFERROR(LOWER(TRIM(G179)),""),_xlpm.principal,IFERROR(LOWER(TRIM(H179)),""),_xlpm.orig,IFERROR(LOWER(TRIM(N179)),""),IF(OR(_xlpm.genCat="",_xlpm.principal=""),"",IF(LEFT(LOWER(G179),5)="autre","OK (Autre)",IF(OR(ISNUMBER(SEARCH(_xlpm.genCat,_xlpm.principal)),ISNUMBER(SEARCH(_xlpm.principal,_xlpm.genCat)),AND(_xlpm.orig&lt;&gt;"",OR(ISNUMBER(SEARCH(_xlpm.genCat,_xlpm.orig)),ISNUMBER(SEARCH(_xlpm.orig,_xlpm.genCat))))),"OK","⚠️ À vérifier"))))</f>
        <v>⚠️ À vérifier</v>
      </c>
      <c r="T179" t="str">
        <f>IF(S179="","",IF(S179="OK (Autre)","Diagnostic générique = 'Autre – …'",IF(S179="OK","Concordance générique/principal","Écart entre générique et principal")))</f>
        <v>Écart entre générique et principal</v>
      </c>
      <c r="U179" t="str" cm="1">
        <f t="array" ref="U179">_xlfn.LET(_xlpm.yr, A179, _xlpm.diag, IF(N179&lt;&gt;"", N179, H179), _xlpm.base, TRIM(SUBSTITUTE(SUBSTITUTE(SUBSTITUTE(SUBSTITUTE(_xlpm.diag,"•"," "),CHAR(160)," "),CHAR(10)," "),"  "," ")), LOWER(_xlpm.yr&amp;"|"&amp;_xlpm.base))</f>
        <v>2017|ait</v>
      </c>
      <c r="V179" t="str">
        <f>IFERROR(_xlfn.XLOOKUP($AB179,'Cas 2013-2017'!$K:$K,'Cas 2013-2017'!$D:$D,""),"")</f>
        <v>perte de force transitoire de la jambe unilat. Patient connu pour HTA et souffle carotidien au status</v>
      </c>
      <c r="W179" t="str">
        <f>IFERROR(_xlfn.XLOOKUP($AB179,'Cas 2013-2017'!$K:$K,'Cas 2013-2017'!$E:$E,""),"")</f>
        <v>Quand? durée, première fois? SA: tr vue (voile noir), aphasie, tr sensitifs, vertiges, céphalées, dysphagie, • Fièvre, frisson?</v>
      </c>
      <c r="X179" t="str">
        <f>IFERROR(_xlfn.XLOOKUP($AB179,'Cas 2013-2017'!$K:$K,'Cas 2013-2017'!$F:$F,""),"")</f>
        <v>Cardio: ausculter carotides!! • Neuro complet</v>
      </c>
      <c r="Y179" t="str">
        <f>IFERROR(_xlfn.XLOOKUP($AB179,'Cas 2013-2017'!$K:$K,'Cas 2013-2017'!$G:$G,""),"")</f>
        <v>AVC • Migraine avec aura • Epilepsie • Néoplasie •</v>
      </c>
      <c r="Z179" t="str">
        <f>IFERROR(_xlfn.XLOOKUP($AB179,'Cas 2013-2017'!$K:$K,'Cas 2013-2017'!$I:$I,""),"")</f>
        <v>Aspirine • Hosp selon critères (&gt; 60 ans, durée de l’épisode, HTA, diabète, épisode neuro récent…)</v>
      </c>
      <c r="AA179" t="str">
        <f>IFERROR(_xlfn.XLOOKUP($AB179,'Cas 2013-2017'!$K:$K,'Cas 2013-2017'!$H:$H,""),"")</f>
        <v>ECG • Angio-CT • FSS, glycémie, crase, lipides, Na, K, créat • Echo coeur et carotides</v>
      </c>
      <c r="AB179" t="str">
        <f>LOWER($A179 &amp; "|" &amp; $AF179)</f>
        <v>2017|ait</v>
      </c>
      <c r="AC179" t="str">
        <f>TRIM(SUBSTITUTE(SUBSTITUTE(SUBSTITUTE(SUBSTITUTE(" " &amp; LOWER(TRIM(IF($N179&lt;&gt;"", $N179, $H179))) &amp; " ", " aomi ", " arteriopathie des membres inferieurs "), " hta ", " hypertension arterielle "), " saos ", " syndrome d'apnees obstructives du sommeil "), " rgo ", " reflux gastro-oesophagien ") )</f>
        <v>ait</v>
      </c>
      <c r="AD179" t="str">
        <f>TRIM(SUBSTITUTE(SUBSTITUTE(SUBSTITUTE(SUBSTITUTE(" " &amp; LOWER(TRIM($AC179)) &amp; " ", " oacr ", " occlusion de l'artere centrale de la retine "), " hsd ", " hematome sous-dural "), " fa ", " fibrillation auriculaire "), " ep ", " embolie pulmonaire ") )</f>
        <v>ait</v>
      </c>
      <c r="AE179" t="str" cm="1">
        <f t="array" ref="AE179">_xlfn.LET(_xlpm.base, " " &amp; LOWER(TRIM($AD179))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ait</v>
      </c>
      <c r="AF179" t="str" cm="1">
        <f t="array" ref="AF179">_xlfn.LET(_xlpm.base, " " &amp; LOWER(TRIM($AE179))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ait</v>
      </c>
    </row>
    <row r="180" spans="1:32" ht="33.75">
      <c r="A180" s="8">
        <v>2017</v>
      </c>
      <c r="B180" s="10" t="s">
        <v>221</v>
      </c>
      <c r="C180" s="8" t="s">
        <v>33</v>
      </c>
      <c r="D180" s="20">
        <v>10</v>
      </c>
      <c r="E180" s="11" t="str">
        <f>IF(D180="","",IFERROR(INDEX(SSP!$E$2:$E$266, MATCH(D180, SSP!$F$2:$F$266, 0)),""))</f>
        <v>Douleur (toutes localisations et types confondus)</v>
      </c>
      <c r="F180" s="11" t="str">
        <f>Feuil1!E180</f>
        <v>Douleur dorsale</v>
      </c>
      <c r="G180" s="12" t="s">
        <v>470</v>
      </c>
      <c r="H180" s="13" t="s">
        <v>698</v>
      </c>
      <c r="I180" s="13"/>
      <c r="J180" s="15" t="s">
        <v>699</v>
      </c>
      <c r="K180" s="9" t="s">
        <v>33</v>
      </c>
      <c r="L180" s="9" t="s">
        <v>33</v>
      </c>
      <c r="M180" s="9" t="s">
        <v>33</v>
      </c>
      <c r="N180" t="s">
        <v>698</v>
      </c>
      <c r="O180" t="str">
        <f>IFERROR(_xlfn.XLOOKUP($D180, SSP!$F:$F, SSP!$E:$E, "Inconnu"), "")</f>
        <v>Douleur (toutes localisations et types confondus)</v>
      </c>
      <c r="P180" t="str">
        <f>IF(OR(E180="", O180=""), "", IF(LOWER(E180)=LOWER(O180), "OK", "⚠️ Libellé ≠ n°"))</f>
        <v>OK</v>
      </c>
      <c r="Q180" t="str">
        <f>IF(Feuil1!$E180="", "", IF(LOWER(Feuil1!$E180)=LOWER(E180), "Identique", "Différent"))</f>
        <v>Différent</v>
      </c>
      <c r="R180" t="str">
        <f>IF(OR(P180="⚠️ Libellé ≠ n°", O180="Inconnu"), "⚠️", IF(Q180="Différent", "ℹ️", ""))</f>
        <v>ℹ️</v>
      </c>
      <c r="S180" t="str" cm="1">
        <f t="array" ref="S180">_xlfn.LET(_xlpm.genCat,IFERROR(LOWER(TRIM(G180)),""),_xlpm.principal,IFERROR(LOWER(TRIM(H180)),""),_xlpm.orig,IFERROR(LOWER(TRIM(N180)),""),IF(OR(_xlpm.genCat="",_xlpm.principal=""),"",IF(LEFT(LOWER(G180),5)="autre","OK (Autre)",IF(OR(ISNUMBER(SEARCH(_xlpm.genCat,_xlpm.principal)),ISNUMBER(SEARCH(_xlpm.principal,_xlpm.genCat)),AND(_xlpm.orig&lt;&gt;"",OR(ISNUMBER(SEARCH(_xlpm.genCat,_xlpm.orig)),ISNUMBER(SEARCH(_xlpm.orig,_xlpm.genCat))))),"OK","⚠️ À vérifier"))))</f>
        <v>⚠️ À vérifier</v>
      </c>
      <c r="T180" t="str">
        <f>IF(S180="","",IF(S180="OK (Autre)","Diagnostic générique = 'Autre – …'",IF(S180="OK","Concordance générique/principal","Écart entre générique et principal")))</f>
        <v>Écart entre générique et principal</v>
      </c>
      <c r="U180" t="str" cm="1">
        <f t="array" ref="U180">_xlfn.LET(_xlpm.yr, A180, _xlpm.diag, IF(N180&lt;&gt;"", N180, H180), _xlpm.base, TRIM(SUBSTITUTE(SUBSTITUTE(SUBSTITUTE(SUBSTITUTE(_xlpm.diag,"•"," "),CHAR(160)," "),CHAR(10)," "),"  "," ")), LOWER(_xlpm.yr&amp;"|"&amp;_xlpm.base))</f>
        <v>2017|canal lombaire étroit</v>
      </c>
      <c r="V180" t="str">
        <f>IFERROR(_xlfn.XLOOKUP($AB180,'Cas 2013-2017'!$K:$K,'Cas 2013-2017'!$D:$D,""),"")</f>
        <v>cf cas 3 USMLE</v>
      </c>
      <c r="W180">
        <f>IFERROR(_xlfn.XLOOKUP($AB180,'Cas 2013-2017'!$K:$K,'Cas 2013-2017'!$E:$E,""),"")</f>
        <v>0</v>
      </c>
      <c r="X180">
        <f>IFERROR(_xlfn.XLOOKUP($AB180,'Cas 2013-2017'!$K:$K,'Cas 2013-2017'!$F:$F,""),"")</f>
        <v>0</v>
      </c>
      <c r="Y180">
        <f>IFERROR(_xlfn.XLOOKUP($AB180,'Cas 2013-2017'!$K:$K,'Cas 2013-2017'!$G:$G,""),"")</f>
        <v>0</v>
      </c>
      <c r="Z180">
        <f>IFERROR(_xlfn.XLOOKUP($AB180,'Cas 2013-2017'!$K:$K,'Cas 2013-2017'!$I:$I,""),"")</f>
        <v>0</v>
      </c>
      <c r="AA180">
        <f>IFERROR(_xlfn.XLOOKUP($AB180,'Cas 2013-2017'!$K:$K,'Cas 2013-2017'!$H:$H,""),"")</f>
        <v>0</v>
      </c>
      <c r="AB180" t="str">
        <f>LOWER($A180 &amp; "|" &amp; $AF180)</f>
        <v>2017|canal lombaire étroit</v>
      </c>
      <c r="AC180" t="str">
        <f>TRIM(SUBSTITUTE(SUBSTITUTE(SUBSTITUTE(SUBSTITUTE(" " &amp; LOWER(TRIM(IF($N180&lt;&gt;"", $N180, $H180))) &amp; " ", " aomi ", " arteriopathie des membres inferieurs "), " hta ", " hypertension arterielle "), " saos ", " syndrome d'apnees obstructives du sommeil "), " rgo ", " reflux gastro-oesophagien ") )</f>
        <v>canal lombaire étroit</v>
      </c>
      <c r="AD180" t="str">
        <f>TRIM(SUBSTITUTE(SUBSTITUTE(SUBSTITUTE(SUBSTITUTE(" " &amp; LOWER(TRIM($AC180)) &amp; " ", " oacr ", " occlusion de l'artere centrale de la retine "), " hsd ", " hematome sous-dural "), " fa ", " fibrillation auriculaire "), " ep ", " embolie pulmonaire ") )</f>
        <v>canal lombaire étroit</v>
      </c>
      <c r="AE180" t="str" cm="1">
        <f t="array" ref="AE180">_xlfn.LET(_xlpm.base, " " &amp; LOWER(TRIM($AD180))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canal lombaire étroit</v>
      </c>
      <c r="AF180" t="str" cm="1">
        <f t="array" ref="AF180">_xlfn.LET(_xlpm.base, " " &amp; LOWER(TRIM($AE180))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canal lombaire étroit</v>
      </c>
    </row>
    <row r="181" spans="1:32" ht="33.75">
      <c r="A181" s="8">
        <v>2017</v>
      </c>
      <c r="B181" s="10" t="s">
        <v>100</v>
      </c>
      <c r="C181" s="8" t="s">
        <v>33</v>
      </c>
      <c r="D181" s="20">
        <v>102</v>
      </c>
      <c r="E181" s="11" t="str">
        <f>IF(D181="","",IFERROR(INDEX(SSP!$E$2:$E$266, MATCH(D181, SSP!$F$2:$F$266, 0)),""))</f>
        <v>Troubles de la mémoire, altération cognitive</v>
      </c>
      <c r="F181" s="11" t="str">
        <f>Feuil1!E181</f>
        <v>Trouble de la mémoire</v>
      </c>
      <c r="G181" s="12" t="s">
        <v>295</v>
      </c>
      <c r="H181" s="13" t="s">
        <v>700</v>
      </c>
      <c r="I181" s="13"/>
      <c r="J181" s="15" t="s">
        <v>701</v>
      </c>
      <c r="K181" s="9" t="s">
        <v>33</v>
      </c>
      <c r="L181" s="9" t="s">
        <v>33</v>
      </c>
      <c r="M181" s="9" t="s">
        <v>33</v>
      </c>
      <c r="N181" t="s">
        <v>700</v>
      </c>
      <c r="O181" t="str">
        <f>IFERROR(_xlfn.XLOOKUP($D181, SSP!$F:$F, SSP!$E:$E, "Inconnu"), "")</f>
        <v>Troubles de la mémoire, altération cognitive</v>
      </c>
      <c r="P181" t="str">
        <f>IF(OR(E181="", O181=""), "", IF(LOWER(E181)=LOWER(O181), "OK", "⚠️ Libellé ≠ n°"))</f>
        <v>OK</v>
      </c>
      <c r="Q181" t="str">
        <f>IF(Feuil1!$E181="", "", IF(LOWER(Feuil1!$E181)=LOWER(E181), "Identique", "Différent"))</f>
        <v>Différent</v>
      </c>
      <c r="R181" t="str">
        <f>IF(OR(P181="⚠️ Libellé ≠ n°", O181="Inconnu"), "⚠️", IF(Q181="Différent", "ℹ️", ""))</f>
        <v>ℹ️</v>
      </c>
      <c r="S181" t="str" cm="1">
        <f t="array" ref="S181">_xlfn.LET(_xlpm.genCat,IFERROR(LOWER(TRIM(G181)),""),_xlpm.principal,IFERROR(LOWER(TRIM(H181)),""),_xlpm.orig,IFERROR(LOWER(TRIM(N181)),""),IF(OR(_xlpm.genCat="",_xlpm.principal=""),"",IF(LEFT(LOWER(G181),5)="autre","OK (Autre)",IF(OR(ISNUMBER(SEARCH(_xlpm.genCat,_xlpm.principal)),ISNUMBER(SEARCH(_xlpm.principal,_xlpm.genCat)),AND(_xlpm.orig&lt;&gt;"",OR(ISNUMBER(SEARCH(_xlpm.genCat,_xlpm.orig)),ISNUMBER(SEARCH(_xlpm.orig,_xlpm.genCat))))),"OK","⚠️ À vérifier"))))</f>
        <v>⚠️ À vérifier</v>
      </c>
      <c r="T181" t="str">
        <f>IF(S181="","",IF(S181="OK (Autre)","Diagnostic générique = 'Autre – …'",IF(S181="OK","Concordance générique/principal","Écart entre générique et principal")))</f>
        <v>Écart entre générique et principal</v>
      </c>
      <c r="U181" t="str" cm="1">
        <f t="array" ref="U181">_xlfn.LET(_xlpm.yr, A181, _xlpm.diag, IF(N181&lt;&gt;"", N181, H181), _xlpm.base, TRIM(SUBSTITUTE(SUBSTITUTE(SUBSTITUTE(SUBSTITUTE(_xlpm.diag,"•"," "),CHAR(160)," "),CHAR(10)," "),"  "," ")), LOWER(_xlpm.yr&amp;"|"&amp;_xlpm.base))</f>
        <v>2017|démence</v>
      </c>
      <c r="V181" t="str">
        <f>IFERROR(_xlfn.XLOOKUP($AB181,'Cas 2013-2017'!$K:$K,'Cas 2013-2017'!$D:$D,""),"")</f>
        <v/>
      </c>
      <c r="W181" t="str">
        <f>IFERROR(_xlfn.XLOOKUP($AB181,'Cas 2013-2017'!$K:$K,'Cas 2013-2017'!$E:$E,""),"")</f>
        <v/>
      </c>
      <c r="X181" t="str">
        <f>IFERROR(_xlfn.XLOOKUP($AB181,'Cas 2013-2017'!$K:$K,'Cas 2013-2017'!$F:$F,""),"")</f>
        <v/>
      </c>
      <c r="Y181" t="str">
        <f>IFERROR(_xlfn.XLOOKUP($AB181,'Cas 2013-2017'!$K:$K,'Cas 2013-2017'!$G:$G,""),"")</f>
        <v/>
      </c>
      <c r="Z181" t="str">
        <f>IFERROR(_xlfn.XLOOKUP($AB181,'Cas 2013-2017'!$K:$K,'Cas 2013-2017'!$I:$I,""),"")</f>
        <v/>
      </c>
      <c r="AA181" t="str">
        <f>IFERROR(_xlfn.XLOOKUP($AB181,'Cas 2013-2017'!$K:$K,'Cas 2013-2017'!$H:$H,""),"")</f>
        <v/>
      </c>
      <c r="AB181" t="str">
        <f>LOWER($A181 &amp; "|" &amp; $AF181)</f>
        <v>2017|démence</v>
      </c>
      <c r="AC181" t="str">
        <f>TRIM(SUBSTITUTE(SUBSTITUTE(SUBSTITUTE(SUBSTITUTE(" " &amp; LOWER(TRIM(IF($N181&lt;&gt;"", $N181, $H181))) &amp; " ", " aomi ", " arteriopathie des membres inferieurs "), " hta ", " hypertension arterielle "), " saos ", " syndrome d'apnees obstructives du sommeil "), " rgo ", " reflux gastro-oesophagien ") )</f>
        <v>démence</v>
      </c>
      <c r="AD181" t="str">
        <f>TRIM(SUBSTITUTE(SUBSTITUTE(SUBSTITUTE(SUBSTITUTE(" " &amp; LOWER(TRIM($AC181)) &amp; " ", " oacr ", " occlusion de l'artere centrale de la retine "), " hsd ", " hematome sous-dural "), " fa ", " fibrillation auriculaire "), " ep ", " embolie pulmonaire ") )</f>
        <v>démence</v>
      </c>
      <c r="AE181" t="str" cm="1">
        <f t="array" ref="AE181">_xlfn.LET(_xlpm.base, " " &amp; LOWER(TRIM($AD181))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démence</v>
      </c>
      <c r="AF181" t="str" cm="1">
        <f t="array" ref="AF181">_xlfn.LET(_xlpm.base, " " &amp; LOWER(TRIM($AE181))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démence</v>
      </c>
    </row>
    <row r="182" spans="1:32" ht="33.75">
      <c r="A182" s="8">
        <v>2017</v>
      </c>
      <c r="B182" s="10" t="s">
        <v>100</v>
      </c>
      <c r="C182" s="8" t="s">
        <v>33</v>
      </c>
      <c r="D182" s="20">
        <v>220</v>
      </c>
      <c r="E182" s="11" t="str">
        <f>IF(D182="","",IFERROR(INDEX(SSP!$E$2:$E$266, MATCH(D182, SSP!$F$2:$F$266, 0)),""))</f>
        <v>Traumatisme simple et bénin</v>
      </c>
      <c r="F182" s="11" t="str">
        <f>Feuil1!E182</f>
        <v>Chute / traumatisme</v>
      </c>
      <c r="G182" s="12" t="s">
        <v>473</v>
      </c>
      <c r="H182" s="13" t="s">
        <v>474</v>
      </c>
      <c r="I182" s="13"/>
      <c r="J182" s="15" t="s">
        <v>33</v>
      </c>
      <c r="K182" s="9" t="s">
        <v>702</v>
      </c>
      <c r="L182" s="9" t="s">
        <v>33</v>
      </c>
      <c r="M182" s="9" t="s">
        <v>33</v>
      </c>
      <c r="N182" t="s">
        <v>480</v>
      </c>
      <c r="O182" t="str">
        <f>IFERROR(_xlfn.XLOOKUP($D182, SSP!$F:$F, SSP!$E:$E, "Inconnu"), "")</f>
        <v>Traumatisme simple et bénin</v>
      </c>
      <c r="P182" t="str">
        <f>IF(OR(E182="", O182=""), "", IF(LOWER(E182)=LOWER(O182), "OK", "⚠️ Libellé ≠ n°"))</f>
        <v>OK</v>
      </c>
      <c r="Q182" t="str">
        <f>IF(Feuil1!$E182="", "", IF(LOWER(Feuil1!$E182)=LOWER(E182), "Identique", "Différent"))</f>
        <v>Différent</v>
      </c>
      <c r="R182" t="str">
        <f>IF(OR(P182="⚠️ Libellé ≠ n°", O182="Inconnu"), "⚠️", IF(Q182="Différent", "ℹ️", ""))</f>
        <v>ℹ️</v>
      </c>
      <c r="S182" t="str" cm="1">
        <f t="array" ref="S182">_xlfn.LET(_xlpm.genCat,IFERROR(LOWER(TRIM(G182)),""),_xlpm.principal,IFERROR(LOWER(TRIM(H182)),""),_xlpm.orig,IFERROR(LOWER(TRIM(N182)),""),IF(OR(_xlpm.genCat="",_xlpm.principal=""),"",IF(LEFT(LOWER(G182),5)="autre","OK (Autre)",IF(OR(ISNUMBER(SEARCH(_xlpm.genCat,_xlpm.principal)),ISNUMBER(SEARCH(_xlpm.principal,_xlpm.genCat)),AND(_xlpm.orig&lt;&gt;"",OR(ISNUMBER(SEARCH(_xlpm.genCat,_xlpm.orig)),ISNUMBER(SEARCH(_xlpm.orig,_xlpm.genCat))))),"OK","⚠️ À vérifier"))))</f>
        <v>⚠️ À vérifier</v>
      </c>
      <c r="T182" t="str">
        <f>IF(S182="","",IF(S182="OK (Autre)","Diagnostic générique = 'Autre – …'",IF(S182="OK","Concordance générique/principal","Écart entre générique et principal")))</f>
        <v>Écart entre générique et principal</v>
      </c>
      <c r="U182" t="str" cm="1">
        <f t="array" ref="U182">_xlfn.LET(_xlpm.yr, A182, _xlpm.diag, IF(N182&lt;&gt;"", N182, H182), _xlpm.base, TRIM(SUBSTITUTE(SUBSTITUTE(SUBSTITUTE(SUBSTITUTE(_xlpm.diag,"•"," "),CHAR(160)," "),CHAR(10)," "),"  "," ")), LOWER(_xlpm.yr&amp;"|"&amp;_xlpm.base))</f>
        <v>2017|hsa</v>
      </c>
      <c r="V182" t="str">
        <f>IFERROR(_xlfn.XLOOKUP($AB182,'Cas 2013-2017'!$K:$K,'Cas 2013-2017'!$D:$D,""),"")</f>
        <v/>
      </c>
      <c r="W182" t="str">
        <f>IFERROR(_xlfn.XLOOKUP($AB182,'Cas 2013-2017'!$K:$K,'Cas 2013-2017'!$E:$E,""),"")</f>
        <v/>
      </c>
      <c r="X182" t="str">
        <f>IFERROR(_xlfn.XLOOKUP($AB182,'Cas 2013-2017'!$K:$K,'Cas 2013-2017'!$F:$F,""),"")</f>
        <v/>
      </c>
      <c r="Y182" t="str">
        <f>IFERROR(_xlfn.XLOOKUP($AB182,'Cas 2013-2017'!$K:$K,'Cas 2013-2017'!$G:$G,""),"")</f>
        <v/>
      </c>
      <c r="Z182" t="str">
        <f>IFERROR(_xlfn.XLOOKUP($AB182,'Cas 2013-2017'!$K:$K,'Cas 2013-2017'!$I:$I,""),"")</f>
        <v/>
      </c>
      <c r="AA182" t="str">
        <f>IFERROR(_xlfn.XLOOKUP($AB182,'Cas 2013-2017'!$K:$K,'Cas 2013-2017'!$H:$H,""),"")</f>
        <v/>
      </c>
      <c r="AB182" t="str">
        <f>LOWER($A182 &amp; "|" &amp; $AF182)</f>
        <v>2017|hemorragie sous-arachnoidienne</v>
      </c>
      <c r="AC182" t="str">
        <f>TRIM(SUBSTITUTE(SUBSTITUTE(SUBSTITUTE(SUBSTITUTE(" " &amp; LOWER(TRIM(IF($N182&lt;&gt;"", $N182, $H182))) &amp; " ", " aomi ", " arteriopathie des membres inferieurs "), " hta ", " hypertension arterielle "), " saos ", " syndrome d'apnees obstructives du sommeil "), " rgo ", " reflux gastro-oesophagien ") )</f>
        <v>hsa</v>
      </c>
      <c r="AD182" t="str">
        <f>TRIM(SUBSTITUTE(SUBSTITUTE(SUBSTITUTE(SUBSTITUTE(" " &amp; LOWER(TRIM($AC182)) &amp; " ", " oacr ", " occlusion de l'artere centrale de la retine "), " hsd ", " hematome sous-dural "), " fa ", " fibrillation auriculaire "), " ep ", " embolie pulmonaire ") )</f>
        <v>hsa</v>
      </c>
      <c r="AE182" t="str" cm="1">
        <f t="array" ref="AE182">_xlfn.LET(_xlpm.base, " " &amp; LOWER(TRIM($AD182))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hemorragie sous-arachnoidienne</v>
      </c>
      <c r="AF182" t="str" cm="1">
        <f t="array" ref="AF182">_xlfn.LET(_xlpm.base, " " &amp; LOWER(TRIM($AE182))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hemorragie sous-arachnoidienne</v>
      </c>
    </row>
    <row r="183" spans="1:32" ht="200.25">
      <c r="A183" s="8">
        <v>2017</v>
      </c>
      <c r="B183" s="10" t="s">
        <v>100</v>
      </c>
      <c r="C183" s="8" t="s">
        <v>33</v>
      </c>
      <c r="D183" s="20">
        <v>207</v>
      </c>
      <c r="E183" s="11" t="str">
        <f>IF(D183="","",IFERROR(INDEX(SSP!$E$2:$E$266, MATCH(D183, SSP!$F$2:$F$266, 0)),""))</f>
        <v>Céphalée aiguë intense, syndrome méningé</v>
      </c>
      <c r="F183" s="11" t="str">
        <f>Feuil1!E183</f>
        <v>Céphalée</v>
      </c>
      <c r="G183" s="12" t="s">
        <v>106</v>
      </c>
      <c r="H183" s="13" t="s">
        <v>113</v>
      </c>
      <c r="I183" s="13" t="s">
        <v>703</v>
      </c>
      <c r="J183" s="15" t="s">
        <v>704</v>
      </c>
      <c r="K183" s="9" t="s">
        <v>705</v>
      </c>
      <c r="L183" s="9" t="s">
        <v>706</v>
      </c>
      <c r="M183" s="9" t="s">
        <v>707</v>
      </c>
      <c r="N183" t="s">
        <v>113</v>
      </c>
      <c r="O183" t="str">
        <f>IFERROR(_xlfn.XLOOKUP($D183, SSP!$F:$F, SSP!$E:$E, "Inconnu"), "")</f>
        <v>Céphalée aiguë intense, syndrome méningé</v>
      </c>
      <c r="P183" t="str">
        <f>IF(OR(E183="", O183=""), "", IF(LOWER(E183)=LOWER(O183), "OK", "⚠️ Libellé ≠ n°"))</f>
        <v>OK</v>
      </c>
      <c r="Q183" t="str">
        <f>IF(Feuil1!$E183="", "", IF(LOWER(Feuil1!$E183)=LOWER(E183), "Identique", "Différent"))</f>
        <v>Différent</v>
      </c>
      <c r="R183" t="str">
        <f>IF(OR(P183="⚠️ Libellé ≠ n°", O183="Inconnu"), "⚠️", IF(Q183="Différent", "ℹ️", ""))</f>
        <v>ℹ️</v>
      </c>
      <c r="S183" t="str" cm="1">
        <f t="array" ref="S183">_xlfn.LET(_xlpm.genCat,IFERROR(LOWER(TRIM(G183)),""),_xlpm.principal,IFERROR(LOWER(TRIM(H183)),""),_xlpm.orig,IFERROR(LOWER(TRIM(N183)),""),IF(OR(_xlpm.genCat="",_xlpm.principal=""),"",IF(LEFT(LOWER(G183),5)="autre","OK (Autre)",IF(OR(ISNUMBER(SEARCH(_xlpm.genCat,_xlpm.principal)),ISNUMBER(SEARCH(_xlpm.principal,_xlpm.genCat)),AND(_xlpm.orig&lt;&gt;"",OR(ISNUMBER(SEARCH(_xlpm.genCat,_xlpm.orig)),ISNUMBER(SEARCH(_xlpm.orig,_xlpm.genCat))))),"OK","⚠️ À vérifier"))))</f>
        <v>⚠️ À vérifier</v>
      </c>
      <c r="T183" t="str">
        <f>IF(S183="","",IF(S183="OK (Autre)","Diagnostic générique = 'Autre – …'",IF(S183="OK","Concordance générique/principal","Écart entre générique et principal")))</f>
        <v>Écart entre générique et principal</v>
      </c>
      <c r="U183" t="str" cm="1">
        <f t="array" ref="U183">_xlfn.LET(_xlpm.yr, A183, _xlpm.diag, IF(N183&lt;&gt;"", N183, H183), _xlpm.base, TRIM(SUBSTITUTE(SUBSTITUTE(SUBSTITUTE(SUBSTITUTE(_xlpm.diag,"•"," "),CHAR(160)," "),CHAR(10)," "),"  "," ")), LOWER(_xlpm.yr&amp;"|"&amp;_xlpm.base))</f>
        <v>2017|migraine</v>
      </c>
      <c r="V183" t="str">
        <f>IFERROR(_xlfn.XLOOKUP($AB183,'Cas 2013-2017'!$K:$K,'Cas 2013-2017'!$D:$D,""),"")</f>
        <v>cas 26 amboss</v>
      </c>
      <c r="W183" t="str">
        <f>IFERROR(_xlfn.XLOOKUP($AB183,'Cas 2013-2017'!$K:$K,'Cas 2013-2017'!$E:$E,""),"")</f>
        <v>Caractériser la douleur : quand la douleur apparaît, où elle se trouve (holocrânien, sur les tempes, occipital), unilatéral/bilatéral, facteurs aggravants/soulageants, durée (dd de la céphalée de tension!), progression • Symptômes associés : prodrome avec aura, larmoiement, paresthésies faciales, photo/phonophobie, N/V, … • Drapeaux rouges : pire douleur, déclenché soudainement,fièvre, méningisme, convulsions</v>
      </c>
      <c r="X183" t="str">
        <f>IFERROR(_xlfn.XLOOKUP($AB183,'Cas 2013-2017'!$K:$K,'Cas 2013-2017'!$F:$F,""),"")</f>
        <v>Status neuro pour exclure toute cause urgente : nerfs crâniens, sensi, moteur , penser à palper l’émergence du trijumeau, fond d’oeil ?</v>
      </c>
      <c r="Y183" t="str">
        <f>IFERROR(_xlfn.XLOOKUP($AB183,'Cas 2013-2017'!$K:$K,'Cas 2013-2017'!$G:$G,""),"")</f>
        <v>Dx clinique! • En cas d’anomalie au status neuro, examen en fonction (IRM, CT, EEG)</v>
      </c>
      <c r="Z183" t="str">
        <f>IFERROR(_xlfn.XLOOKUP($AB183,'Cas 2013-2017'!$K:$K,'Cas 2013-2017'!$I:$I,""),"")</f>
        <v>Limiter stimuli (lumière…) • AINS • Triptan • Anti-émétique</v>
      </c>
      <c r="AA183" t="str">
        <f>IFERROR(_xlfn.XLOOKUP($AB183,'Cas 2013-2017'!$K:$K,'Cas 2013-2017'!$H:$H,""),"")</f>
        <v>Migraine : • Céphalée de tension : • Cluster headaches : • Céphalée secondaire : • - infectieux : méningite, encéphalite • - vasculaire : HSA, thrombose veineuse, artérite temporale, AVC, crise hypertensive • - tumoral</v>
      </c>
      <c r="AB183" t="str">
        <f>LOWER($A183 &amp; "|" &amp; $AF183)</f>
        <v>2017|migraine</v>
      </c>
      <c r="AC183" t="str">
        <f>TRIM(SUBSTITUTE(SUBSTITUTE(SUBSTITUTE(SUBSTITUTE(" " &amp; LOWER(TRIM(IF($N183&lt;&gt;"", $N183, $H183))) &amp; " ", " aomi ", " arteriopathie des membres inferieurs "), " hta ", " hypertension arterielle "), " saos ", " syndrome d'apnees obstructives du sommeil "), " rgo ", " reflux gastro-oesophagien ") )</f>
        <v>migraine</v>
      </c>
      <c r="AD183" t="str">
        <f>TRIM(SUBSTITUTE(SUBSTITUTE(SUBSTITUTE(SUBSTITUTE(" " &amp; LOWER(TRIM($AC183)) &amp; " ", " oacr ", " occlusion de l'artere centrale de la retine "), " hsd ", " hematome sous-dural "), " fa ", " fibrillation auriculaire "), " ep ", " embolie pulmonaire ") )</f>
        <v>migraine</v>
      </c>
      <c r="AE183" t="str" cm="1">
        <f t="array" ref="AE183">_xlfn.LET(_xlpm.base, " " &amp; LOWER(TRIM($AD183))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migraine</v>
      </c>
      <c r="AF183" t="str" cm="1">
        <f t="array" ref="AF183">_xlfn.LET(_xlpm.base, " " &amp; LOWER(TRIM($AE183))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migraine</v>
      </c>
    </row>
    <row r="184" spans="1:32" ht="33.75">
      <c r="A184" s="8">
        <v>2017</v>
      </c>
      <c r="B184" s="10" t="s">
        <v>115</v>
      </c>
      <c r="C184" s="8" t="s">
        <v>33</v>
      </c>
      <c r="D184" s="20">
        <v>18</v>
      </c>
      <c r="E184" s="11" t="str">
        <f>IF(D184="","",IFERROR(INDEX(SSP!$E$2:$E$266, MATCH(D184, SSP!$F$2:$F$266, 0)),""))</f>
        <v>Perte de vision aiguë ou progressive (brutale, lente, transitoire, partielle)</v>
      </c>
      <c r="F184" s="11" t="str">
        <f>Feuil1!E184</f>
        <v>Trouble de la vision</v>
      </c>
      <c r="G184" s="12" t="s">
        <v>240</v>
      </c>
      <c r="H184" s="13" t="s">
        <v>241</v>
      </c>
      <c r="I184" s="13" t="s">
        <v>708</v>
      </c>
      <c r="J184" s="15" t="s">
        <v>33</v>
      </c>
      <c r="K184" s="9" t="s">
        <v>709</v>
      </c>
      <c r="L184" s="9" t="s">
        <v>33</v>
      </c>
      <c r="M184" s="9" t="s">
        <v>33</v>
      </c>
      <c r="N184" t="s">
        <v>710</v>
      </c>
      <c r="O184" t="str">
        <f>IFERROR(_xlfn.XLOOKUP($D184, SSP!$F:$F, SSP!$E:$E, "Inconnu"), "")</f>
        <v>Perte de vision aiguë ou progressive (brutale, lente, transitoire, partielle)</v>
      </c>
      <c r="P184" t="str">
        <f>IF(OR(E184="", O184=""), "", IF(LOWER(E184)=LOWER(O184), "OK", "⚠️ Libellé ≠ n°"))</f>
        <v>OK</v>
      </c>
      <c r="Q184" t="str">
        <f>IF(Feuil1!$E184="", "", IF(LOWER(Feuil1!$E184)=LOWER(E184), "Identique", "Différent"))</f>
        <v>Différent</v>
      </c>
      <c r="R184" t="str">
        <f>IF(OR(P184="⚠️ Libellé ≠ n°", O184="Inconnu"), "⚠️", IF(Q184="Différent", "ℹ️", ""))</f>
        <v>ℹ️</v>
      </c>
      <c r="S184" t="str" cm="1">
        <f t="array" ref="S184">_xlfn.LET(_xlpm.genCat,IFERROR(LOWER(TRIM(G184)),""),_xlpm.principal,IFERROR(LOWER(TRIM(H184)),""),_xlpm.orig,IFERROR(LOWER(TRIM(N184)),""),IF(OR(_xlpm.genCat="",_xlpm.principal=""),"",IF(LEFT(LOWER(G184),5)="autre","OK (Autre)",IF(OR(ISNUMBER(SEARCH(_xlpm.genCat,_xlpm.principal)),ISNUMBER(SEARCH(_xlpm.principal,_xlpm.genCat)),AND(_xlpm.orig&lt;&gt;"",OR(ISNUMBER(SEARCH(_xlpm.genCat,_xlpm.orig)),ISNUMBER(SEARCH(_xlpm.orig,_xlpm.genCat))))),"OK","⚠️ À vérifier"))))</f>
        <v>⚠️ À vérifier</v>
      </c>
      <c r="T184" t="str">
        <f>IF(S184="","",IF(S184="OK (Autre)","Diagnostic générique = 'Autre – …'",IF(S184="OK","Concordance générique/principal","Écart entre générique et principal")))</f>
        <v>Écart entre générique et principal</v>
      </c>
      <c r="U184" t="str" cm="1">
        <f t="array" ref="U184">_xlfn.LET(_xlpm.yr, A184, _xlpm.diag, IF(N184&lt;&gt;"", N184, H184), _xlpm.base, TRIM(SUBSTITUTE(SUBSTITUTE(SUBSTITUTE(SUBSTITUTE(_xlpm.diag,"•"," "),CHAR(160)," "),CHAR(10)," "),"  "," ")), LOWER(_xlpm.yr&amp;"|"&amp;_xlpm.base))</f>
        <v>2017|dmla vs récidive de cataracte</v>
      </c>
      <c r="V184" t="str">
        <f>IFERROR(_xlfn.XLOOKUP($AB184,'Cas 2013-2017'!$K:$K,'Cas 2013-2017'!$D:$D,""),"")</f>
        <v/>
      </c>
      <c r="W184" t="str">
        <f>IFERROR(_xlfn.XLOOKUP($AB184,'Cas 2013-2017'!$K:$K,'Cas 2013-2017'!$E:$E,""),"")</f>
        <v/>
      </c>
      <c r="X184" t="str">
        <f>IFERROR(_xlfn.XLOOKUP($AB184,'Cas 2013-2017'!$K:$K,'Cas 2013-2017'!$F:$F,""),"")</f>
        <v/>
      </c>
      <c r="Y184" t="str">
        <f>IFERROR(_xlfn.XLOOKUP($AB184,'Cas 2013-2017'!$K:$K,'Cas 2013-2017'!$G:$G,""),"")</f>
        <v/>
      </c>
      <c r="Z184" t="str">
        <f>IFERROR(_xlfn.XLOOKUP($AB184,'Cas 2013-2017'!$K:$K,'Cas 2013-2017'!$I:$I,""),"")</f>
        <v/>
      </c>
      <c r="AA184" t="str">
        <f>IFERROR(_xlfn.XLOOKUP($AB184,'Cas 2013-2017'!$K:$K,'Cas 2013-2017'!$H:$H,""),"")</f>
        <v/>
      </c>
      <c r="AB184" t="str">
        <f>LOWER($A184 &amp; "|" &amp; $AF184)</f>
        <v>2017|degenerescence maculaire liee a l age vs récidive de cataracte</v>
      </c>
      <c r="AC184" t="str">
        <f>TRIM(SUBSTITUTE(SUBSTITUTE(SUBSTITUTE(SUBSTITUTE(" " &amp; LOWER(TRIM(IF($N184&lt;&gt;"", $N184, $H184))) &amp; " ", " aomi ", " arteriopathie des membres inferieurs "), " hta ", " hypertension arterielle "), " saos ", " syndrome d'apnees obstructives du sommeil "), " rgo ", " reflux gastro-oesophagien ") )</f>
        <v>dmla vs récidive de cataracte</v>
      </c>
      <c r="AD184" t="str">
        <f>TRIM(SUBSTITUTE(SUBSTITUTE(SUBSTITUTE(SUBSTITUTE(" " &amp; LOWER(TRIM($AC184)) &amp; " ", " oacr ", " occlusion de l'artere centrale de la retine "), " hsd ", " hematome sous-dural "), " fa ", " fibrillation auriculaire "), " ep ", " embolie pulmonaire ") )</f>
        <v>dmla vs récidive de cataracte</v>
      </c>
      <c r="AE184" t="str" cm="1">
        <f t="array" ref="AE184">_xlfn.LET(_xlpm.base, " " &amp; LOWER(TRIM($AD184))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degenerescence maculaire liee a l age vs récidive de cataracte</v>
      </c>
      <c r="AF184" t="str" cm="1">
        <f t="array" ref="AF184">_xlfn.LET(_xlpm.base, " " &amp; LOWER(TRIM($AE184))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degenerescence maculaire liee a l age vs récidive de cataracte</v>
      </c>
    </row>
    <row r="185" spans="1:32" ht="168">
      <c r="A185" s="8">
        <v>2017</v>
      </c>
      <c r="B185" s="10" t="s">
        <v>60</v>
      </c>
      <c r="C185" s="8" t="s">
        <v>33</v>
      </c>
      <c r="D185" s="20">
        <v>18</v>
      </c>
      <c r="E185" s="11" t="str">
        <f>IF(D185="","",IFERROR(INDEX(SSP!$E$2:$E$266, MATCH(D185, SSP!$F$2:$F$266, 0)),""))</f>
        <v>Perte de vision aiguë ou progressive (brutale, lente, transitoire, partielle)</v>
      </c>
      <c r="F185" s="11" t="str">
        <f>Feuil1!E185</f>
        <v>Trouble de la vision</v>
      </c>
      <c r="G185" s="12" t="s">
        <v>711</v>
      </c>
      <c r="H185" s="13" t="s">
        <v>712</v>
      </c>
      <c r="I185" s="13" t="s">
        <v>713</v>
      </c>
      <c r="J185" s="15" t="s">
        <v>714</v>
      </c>
      <c r="K185" s="9" t="s">
        <v>715</v>
      </c>
      <c r="L185" s="9" t="s">
        <v>716</v>
      </c>
      <c r="M185" s="9" t="s">
        <v>717</v>
      </c>
      <c r="N185" t="s">
        <v>718</v>
      </c>
      <c r="O185" t="str">
        <f>IFERROR(_xlfn.XLOOKUP($D185, SSP!$F:$F, SSP!$E:$E, "Inconnu"), "")</f>
        <v>Perte de vision aiguë ou progressive (brutale, lente, transitoire, partielle)</v>
      </c>
      <c r="P185" t="str">
        <f>IF(OR(E185="", O185=""), "", IF(LOWER(E185)=LOWER(O185), "OK", "⚠️ Libellé ≠ n°"))</f>
        <v>OK</v>
      </c>
      <c r="Q185" t="str">
        <f>IF(Feuil1!$E185="", "", IF(LOWER(Feuil1!$E185)=LOWER(E185), "Identique", "Différent"))</f>
        <v>Différent</v>
      </c>
      <c r="R185" t="str">
        <f>IF(OR(P185="⚠️ Libellé ≠ n°", O185="Inconnu"), "⚠️", IF(Q185="Différent", "ℹ️", ""))</f>
        <v>ℹ️</v>
      </c>
      <c r="S185" t="str" cm="1">
        <f t="array" ref="S185">_xlfn.LET(_xlpm.genCat,IFERROR(LOWER(TRIM(G185)),""),_xlpm.principal,IFERROR(LOWER(TRIM(H185)),""),_xlpm.orig,IFERROR(LOWER(TRIM(N185)),""),IF(OR(_xlpm.genCat="",_xlpm.principal=""),"",IF(LEFT(LOWER(G185),5)="autre","OK (Autre)",IF(OR(ISNUMBER(SEARCH(_xlpm.genCat,_xlpm.principal)),ISNUMBER(SEARCH(_xlpm.principal,_xlpm.genCat)),AND(_xlpm.orig&lt;&gt;"",OR(ISNUMBER(SEARCH(_xlpm.genCat,_xlpm.orig)),ISNUMBER(SEARCH(_xlpm.orig,_xlpm.genCat))))),"OK","⚠️ À vérifier"))))</f>
        <v>⚠️ À vérifier</v>
      </c>
      <c r="T185" t="str">
        <f>IF(S185="","",IF(S185="OK (Autre)","Diagnostic générique = 'Autre – …'",IF(S185="OK","Concordance générique/principal","Écart entre générique et principal")))</f>
        <v>Écart entre générique et principal</v>
      </c>
      <c r="U185" t="str" cm="1">
        <f t="array" ref="U185">_xlfn.LET(_xlpm.yr, A185, _xlpm.diag, IF(N185&lt;&gt;"", N185, H185), _xlpm.base, TRIM(SUBSTITUTE(SUBSTITUTE(SUBSTITUTE(SUBSTITUTE(_xlpm.diag,"•"," "),CHAR(160)," "),CHAR(10)," "),"  "," ")), LOWER(_xlpm.yr&amp;"|"&amp;_xlpm.base))</f>
        <v>2017|prolactinome</v>
      </c>
      <c r="V185" t="str">
        <f>IFERROR(_xlfn.XLOOKUP($AB185,'Cas 2013-2017'!$K:$K,'Cas 2013-2017'!$D:$D,""),"")</f>
        <v>réduction du champs visuel depuis 6 mois sur prolactinome (commencer initialement par dopaminergique puis voir si chir nécessaire)</v>
      </c>
      <c r="W185" t="str">
        <f>IFERROR(_xlfn.XLOOKUP($AB185,'Cas 2013-2017'!$K:$K,'Cas 2013-2017'!$E:$E,""),"")</f>
        <v>Décrire quels champs visuels, vision trouble, double, flash, photophobie, mouches volantes, céphalées, gynécomastie, galactorrhée, aménorrhée, infertilité, atrophie vaginale/sécheresse, dysfonction érectile, baisse libido, N/V, convulsions • Fièvre, frisson, asthénie, perte poids, appétit, sudations nocturnes</v>
      </c>
      <c r="X185" t="str">
        <f>IFERROR(_xlfn.XLOOKUP($AB185,'Cas 2013-2017'!$K:$K,'Cas 2013-2017'!$F:$F,""),"")</f>
        <v>Examen ophtalmo • Examen neuro</v>
      </c>
      <c r="Y185" t="str">
        <f>IFERROR(_xlfn.XLOOKUP($AB185,'Cas 2013-2017'!$K:$K,'Cas 2013-2017'!$G:$G,""),"")</f>
        <v>Méningiome • Autre tumeur</v>
      </c>
      <c r="Z185" t="str">
        <f>IFERROR(_xlfn.XLOOKUP($AB185,'Cas 2013-2017'!$K:$K,'Cas 2013-2017'!$I:$I,""),"")</f>
        <v>Bromocriptine • Chir.</v>
      </c>
      <c r="AA185" t="str">
        <f>IFERROR(_xlfn.XLOOKUP($AB185,'Cas 2013-2017'!$K:$K,'Cas 2013-2017'!$H:$H,""),"")</f>
        <v>IRM (CT) • Prolactine</v>
      </c>
      <c r="AB185" t="str">
        <f>LOWER($A185 &amp; "|" &amp; $AF185)</f>
        <v>2017|prolactinome</v>
      </c>
      <c r="AC185" t="str">
        <f>TRIM(SUBSTITUTE(SUBSTITUTE(SUBSTITUTE(SUBSTITUTE(" " &amp; LOWER(TRIM(IF($N185&lt;&gt;"", $N185, $H185))) &amp; " ", " aomi ", " arteriopathie des membres inferieurs "), " hta ", " hypertension arterielle "), " saos ", " syndrome d'apnees obstructives du sommeil "), " rgo ", " reflux gastro-oesophagien ") )</f>
        <v>prolactinome</v>
      </c>
      <c r="AD185" t="str">
        <f>TRIM(SUBSTITUTE(SUBSTITUTE(SUBSTITUTE(SUBSTITUTE(" " &amp; LOWER(TRIM($AC185)) &amp; " ", " oacr ", " occlusion de l'artere centrale de la retine "), " hsd ", " hematome sous-dural "), " fa ", " fibrillation auriculaire "), " ep ", " embolie pulmonaire ") )</f>
        <v>prolactinome</v>
      </c>
      <c r="AE185" t="str" cm="1">
        <f t="array" ref="AE185">_xlfn.LET(_xlpm.base, " " &amp; LOWER(TRIM($AD185))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prolactinome</v>
      </c>
      <c r="AF185" t="str" cm="1">
        <f t="array" ref="AF185">_xlfn.LET(_xlpm.base, " " &amp; LOWER(TRIM($AE185))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prolactinome</v>
      </c>
    </row>
    <row r="186" spans="1:32" ht="16.5">
      <c r="A186" s="8">
        <v>2017</v>
      </c>
      <c r="B186" s="10" t="s">
        <v>100</v>
      </c>
      <c r="C186" s="8" t="s">
        <v>33</v>
      </c>
      <c r="D186" s="20">
        <v>100</v>
      </c>
      <c r="E186" s="11" t="str">
        <f>IF(D186="","",IFERROR(INDEX(SSP!$E$2:$E$266, MATCH(D186, SSP!$F$2:$F$266, 0)),""))</f>
        <v>Vertiges, étourdissements</v>
      </c>
      <c r="F186" s="11" t="str">
        <f>Feuil1!E186</f>
        <v>Vertige</v>
      </c>
      <c r="G186" s="12" t="s">
        <v>493</v>
      </c>
      <c r="H186" s="13" t="s">
        <v>494</v>
      </c>
      <c r="I186" s="13" t="s">
        <v>719</v>
      </c>
      <c r="J186" s="15" t="s">
        <v>495</v>
      </c>
      <c r="K186" s="9" t="s">
        <v>33</v>
      </c>
      <c r="L186" s="9" t="s">
        <v>33</v>
      </c>
      <c r="M186" s="9" t="s">
        <v>33</v>
      </c>
      <c r="N186" t="s">
        <v>720</v>
      </c>
      <c r="O186" t="str">
        <f>IFERROR(_xlfn.XLOOKUP($D186, SSP!$F:$F, SSP!$E:$E, "Inconnu"), "")</f>
        <v>Vertiges, étourdissements</v>
      </c>
      <c r="P186" t="str">
        <f>IF(OR(E186="", O186=""), "", IF(LOWER(E186)=LOWER(O186), "OK", "⚠️ Libellé ≠ n°"))</f>
        <v>OK</v>
      </c>
      <c r="Q186" t="str">
        <f>IF(Feuil1!$E186="", "", IF(LOWER(Feuil1!$E186)=LOWER(E186), "Identique", "Différent"))</f>
        <v>Différent</v>
      </c>
      <c r="R186" t="str">
        <f>IF(OR(P186="⚠️ Libellé ≠ n°", O186="Inconnu"), "⚠️", IF(Q186="Différent", "ℹ️", ""))</f>
        <v>ℹ️</v>
      </c>
      <c r="S186" t="str" cm="1">
        <f t="array" ref="S186">_xlfn.LET(_xlpm.genCat,IFERROR(LOWER(TRIM(G186)),""),_xlpm.principal,IFERROR(LOWER(TRIM(H186)),""),_xlpm.orig,IFERROR(LOWER(TRIM(N186)),""),IF(OR(_xlpm.genCat="",_xlpm.principal=""),"",IF(LEFT(LOWER(G186),5)="autre","OK (Autre)",IF(OR(ISNUMBER(SEARCH(_xlpm.genCat,_xlpm.principal)),ISNUMBER(SEARCH(_xlpm.principal,_xlpm.genCat)),AND(_xlpm.orig&lt;&gt;"",OR(ISNUMBER(SEARCH(_xlpm.genCat,_xlpm.orig)),ISNUMBER(SEARCH(_xlpm.orig,_xlpm.genCat))))),"OK","⚠️ À vérifier"))))</f>
        <v>⚠️ À vérifier</v>
      </c>
      <c r="T186" t="str">
        <f>IF(S186="","",IF(S186="OK (Autre)","Diagnostic générique = 'Autre – …'",IF(S186="OK","Concordance générique/principal","Écart entre générique et principal")))</f>
        <v>Écart entre générique et principal</v>
      </c>
      <c r="U186" t="str" cm="1">
        <f t="array" ref="U186">_xlfn.LET(_xlpm.yr, A186, _xlpm.diag, IF(N186&lt;&gt;"", N186, H186), _xlpm.base, TRIM(SUBSTITUTE(SUBSTITUTE(SUBSTITUTE(SUBSTITUTE(_xlpm.diag,"•"," "),CHAR(160)," "),CHAR(10)," "),"  "," ")), LOWER(_xlpm.yr&amp;"|"&amp;_xlpm.base))</f>
        <v>2017|neuronite vestibulaire/meniere 2017</v>
      </c>
      <c r="V186" t="str">
        <f>IFERROR(_xlfn.XLOOKUP($AB186,'Cas 2013-2017'!$K:$K,'Cas 2013-2017'!$D:$D,""),"")</f>
        <v/>
      </c>
      <c r="W186" t="str">
        <f>IFERROR(_xlfn.XLOOKUP($AB186,'Cas 2013-2017'!$K:$K,'Cas 2013-2017'!$E:$E,""),"")</f>
        <v/>
      </c>
      <c r="X186" t="str">
        <f>IFERROR(_xlfn.XLOOKUP($AB186,'Cas 2013-2017'!$K:$K,'Cas 2013-2017'!$F:$F,""),"")</f>
        <v/>
      </c>
      <c r="Y186" t="str">
        <f>IFERROR(_xlfn.XLOOKUP($AB186,'Cas 2013-2017'!$K:$K,'Cas 2013-2017'!$G:$G,""),"")</f>
        <v/>
      </c>
      <c r="Z186" t="str">
        <f>IFERROR(_xlfn.XLOOKUP($AB186,'Cas 2013-2017'!$K:$K,'Cas 2013-2017'!$I:$I,""),"")</f>
        <v/>
      </c>
      <c r="AA186" t="str">
        <f>IFERROR(_xlfn.XLOOKUP($AB186,'Cas 2013-2017'!$K:$K,'Cas 2013-2017'!$H:$H,""),"")</f>
        <v/>
      </c>
      <c r="AB186" t="str">
        <f>LOWER($A186 &amp; "|" &amp; $AF186)</f>
        <v>2017|neuronite vestibulaire/meniere 2017</v>
      </c>
      <c r="AC186" t="str">
        <f>TRIM(SUBSTITUTE(SUBSTITUTE(SUBSTITUTE(SUBSTITUTE(" " &amp; LOWER(TRIM(IF($N186&lt;&gt;"", $N186, $H186))) &amp; " ", " aomi ", " arteriopathie des membres inferieurs "), " hta ", " hypertension arterielle "), " saos ", " syndrome d'apnees obstructives du sommeil "), " rgo ", " reflux gastro-oesophagien ") )</f>
        <v>neuronite vestibulaire/meniere 2017</v>
      </c>
      <c r="AD186" t="str">
        <f>TRIM(SUBSTITUTE(SUBSTITUTE(SUBSTITUTE(SUBSTITUTE(" " &amp; LOWER(TRIM($AC186)) &amp; " ", " oacr ", " occlusion de l'artere centrale de la retine "), " hsd ", " hematome sous-dural "), " fa ", " fibrillation auriculaire "), " ep ", " embolie pulmonaire ") )</f>
        <v>neuronite vestibulaire/meniere 2017</v>
      </c>
      <c r="AE186" t="str" cm="1">
        <f t="array" ref="AE186">_xlfn.LET(_xlpm.base, " " &amp; LOWER(TRIM($AD186))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neuronite vestibulaire/meniere 2017</v>
      </c>
      <c r="AF186" t="str" cm="1">
        <f t="array" ref="AF186">_xlfn.LET(_xlpm.base, " " &amp; LOWER(TRIM($AE186))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neuronite vestibulaire/meniere 2017</v>
      </c>
    </row>
    <row r="187" spans="1:32" ht="33.75">
      <c r="A187" s="8">
        <v>2017</v>
      </c>
      <c r="B187" s="10" t="s">
        <v>82</v>
      </c>
      <c r="C187" s="8" t="s">
        <v>33</v>
      </c>
      <c r="D187" s="20">
        <v>76</v>
      </c>
      <c r="E187" s="11" t="str">
        <f>IF(D187="","",IFERROR(INDEX(SSP!$E$2:$E$266, MATCH(D187, SSP!$F$2:$F$266, 0)),""))</f>
        <v>Incontinence urinaire, énurésie</v>
      </c>
      <c r="F187" s="11" t="str">
        <f>Feuil1!E187</f>
        <v>Énurésie</v>
      </c>
      <c r="G187" s="12" t="s">
        <v>83</v>
      </c>
      <c r="H187" s="13" t="s">
        <v>721</v>
      </c>
      <c r="I187" s="13"/>
      <c r="J187" s="15" t="s">
        <v>722</v>
      </c>
      <c r="K187" s="9" t="s">
        <v>723</v>
      </c>
      <c r="L187" s="9" t="s">
        <v>33</v>
      </c>
      <c r="M187" s="9" t="s">
        <v>33</v>
      </c>
      <c r="N187" t="s">
        <v>721</v>
      </c>
      <c r="O187" t="str">
        <f>IFERROR(_xlfn.XLOOKUP($D187, SSP!$F:$F, SSP!$E:$E, "Inconnu"), "")</f>
        <v>Incontinence urinaire, énurésie</v>
      </c>
      <c r="P187" t="str">
        <f>IF(OR(E187="", O187=""), "", IF(LOWER(E187)=LOWER(O187), "OK", "⚠️ Libellé ≠ n°"))</f>
        <v>OK</v>
      </c>
      <c r="Q187" t="str">
        <f>IF(Feuil1!$E187="", "", IF(LOWER(Feuil1!$E187)=LOWER(E187), "Identique", "Différent"))</f>
        <v>Différent</v>
      </c>
      <c r="R187" t="str">
        <f>IF(OR(P187="⚠️ Libellé ≠ n°", O187="Inconnu"), "⚠️", IF(Q187="Différent", "ℹ️", ""))</f>
        <v>ℹ️</v>
      </c>
      <c r="S187" t="str" cm="1">
        <f t="array" ref="S187">_xlfn.LET(_xlpm.genCat,IFERROR(LOWER(TRIM(G187)),""),_xlpm.principal,IFERROR(LOWER(TRIM(H187)),""),_xlpm.orig,IFERROR(LOWER(TRIM(N187)),""),IF(OR(_xlpm.genCat="",_xlpm.principal=""),"",IF(LEFT(LOWER(G187),5)="autre","OK (Autre)",IF(OR(ISNUMBER(SEARCH(_xlpm.genCat,_xlpm.principal)),ISNUMBER(SEARCH(_xlpm.principal,_xlpm.genCat)),AND(_xlpm.orig&lt;&gt;"",OR(ISNUMBER(SEARCH(_xlpm.genCat,_xlpm.orig)),ISNUMBER(SEARCH(_xlpm.orig,_xlpm.genCat))))),"OK","⚠️ À vérifier"))))</f>
        <v>OK (Autre)</v>
      </c>
      <c r="T187" t="str">
        <f>IF(S187="","",IF(S187="OK (Autre)","Diagnostic générique = 'Autre – …'",IF(S187="OK","Concordance générique/principal","Écart entre générique et principal")))</f>
        <v>Diagnostic générique = 'Autre – …'</v>
      </c>
      <c r="U187" t="str" cm="1">
        <f t="array" ref="U187">_xlfn.LET(_xlpm.yr, A187, _xlpm.diag, IF(N187&lt;&gt;"", N187, H187), _xlpm.base, TRIM(SUBSTITUTE(SUBSTITUTE(SUBSTITUTE(SUBSTITUTE(_xlpm.diag,"•"," "),CHAR(160)," "),CHAR(10)," "),"  "," ")), LOWER(_xlpm.yr&amp;"|"&amp;_xlpm.base))</f>
        <v>2017|enurésie primaire</v>
      </c>
      <c r="V187" t="str">
        <f>IFERROR(_xlfn.XLOOKUP($AB187,'Cas 2013-2017'!$K:$K,'Cas 2013-2017'!$D:$D,""),"")</f>
        <v/>
      </c>
      <c r="W187" t="str">
        <f>IFERROR(_xlfn.XLOOKUP($AB187,'Cas 2013-2017'!$K:$K,'Cas 2013-2017'!$E:$E,""),"")</f>
        <v/>
      </c>
      <c r="X187" t="str">
        <f>IFERROR(_xlfn.XLOOKUP($AB187,'Cas 2013-2017'!$K:$K,'Cas 2013-2017'!$F:$F,""),"")</f>
        <v/>
      </c>
      <c r="Y187" t="str">
        <f>IFERROR(_xlfn.XLOOKUP($AB187,'Cas 2013-2017'!$K:$K,'Cas 2013-2017'!$G:$G,""),"")</f>
        <v/>
      </c>
      <c r="Z187" t="str">
        <f>IFERROR(_xlfn.XLOOKUP($AB187,'Cas 2013-2017'!$K:$K,'Cas 2013-2017'!$I:$I,""),"")</f>
        <v/>
      </c>
      <c r="AA187" t="str">
        <f>IFERROR(_xlfn.XLOOKUP($AB187,'Cas 2013-2017'!$K:$K,'Cas 2013-2017'!$H:$H,""),"")</f>
        <v/>
      </c>
      <c r="AB187" t="str">
        <f>LOWER($A187 &amp; "|" &amp; $AF187)</f>
        <v>2017|enurésie primaire</v>
      </c>
      <c r="AC187" t="str">
        <f>TRIM(SUBSTITUTE(SUBSTITUTE(SUBSTITUTE(SUBSTITUTE(" " &amp; LOWER(TRIM(IF($N187&lt;&gt;"", $N187, $H187))) &amp; " ", " aomi ", " arteriopathie des membres inferieurs "), " hta ", " hypertension arterielle "), " saos ", " syndrome d'apnees obstructives du sommeil "), " rgo ", " reflux gastro-oesophagien ") )</f>
        <v>enurésie primaire</v>
      </c>
      <c r="AD187" t="str">
        <f>TRIM(SUBSTITUTE(SUBSTITUTE(SUBSTITUTE(SUBSTITUTE(" " &amp; LOWER(TRIM($AC187)) &amp; " ", " oacr ", " occlusion de l'artere centrale de la retine "), " hsd ", " hematome sous-dural "), " fa ", " fibrillation auriculaire "), " ep ", " embolie pulmonaire ") )</f>
        <v>enurésie primaire</v>
      </c>
      <c r="AE187" t="str" cm="1">
        <f t="array" ref="AE187">_xlfn.LET(_xlpm.base, " " &amp; LOWER(TRIM($AD187))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enurésie primaire</v>
      </c>
      <c r="AF187" t="str" cm="1">
        <f t="array" ref="AF187">_xlfn.LET(_xlpm.base, " " &amp; LOWER(TRIM($AE187))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enurésie primaire</v>
      </c>
    </row>
    <row r="188" spans="1:32" ht="33.75">
      <c r="A188" s="8">
        <v>2017</v>
      </c>
      <c r="B188" s="10" t="s">
        <v>87</v>
      </c>
      <c r="C188" s="8" t="s">
        <v>33</v>
      </c>
      <c r="D188" s="20">
        <v>91</v>
      </c>
      <c r="E188" s="11" t="str">
        <f>IF(D188="","",IFERROR(INDEX(SSP!$E$2:$E$266, MATCH(D188, SSP!$F$2:$F$266, 0)),""))</f>
        <v>Ictère</v>
      </c>
      <c r="F188" s="11" t="str">
        <f>Feuil1!E188</f>
        <v>Ictère</v>
      </c>
      <c r="G188" s="12" t="s">
        <v>372</v>
      </c>
      <c r="H188" s="13" t="s">
        <v>373</v>
      </c>
      <c r="I188" s="13"/>
      <c r="J188" s="16" t="s">
        <v>165</v>
      </c>
      <c r="K188" s="9" t="s">
        <v>724</v>
      </c>
      <c r="L188" s="9" t="s">
        <v>33</v>
      </c>
      <c r="M188" s="9" t="s">
        <v>33</v>
      </c>
      <c r="N188" t="s">
        <v>373</v>
      </c>
      <c r="O188" t="str">
        <f>IFERROR(_xlfn.XLOOKUP($D188, SSP!$F:$F, SSP!$E:$E, "Inconnu"), "")</f>
        <v>Ictère</v>
      </c>
      <c r="P188" t="str">
        <f>IF(OR(E188="", O188=""), "", IF(LOWER(E188)=LOWER(O188), "OK", "⚠️ Libellé ≠ n°"))</f>
        <v>OK</v>
      </c>
      <c r="Q188" t="str">
        <f>IF(Feuil1!$E188="", "", IF(LOWER(Feuil1!$E188)=LOWER(E188), "Identique", "Différent"))</f>
        <v>Identique</v>
      </c>
      <c r="R188" t="str">
        <f>IF(OR(P188="⚠️ Libellé ≠ n°", O188="Inconnu"), "⚠️", IF(Q188="Différent", "ℹ️", ""))</f>
        <v/>
      </c>
      <c r="S188" t="str" cm="1">
        <f t="array" ref="S188">_xlfn.LET(_xlpm.genCat,IFERROR(LOWER(TRIM(G188)),""),_xlpm.principal,IFERROR(LOWER(TRIM(H188)),""),_xlpm.orig,IFERROR(LOWER(TRIM(N188)),""),IF(OR(_xlpm.genCat="",_xlpm.principal=""),"",IF(LEFT(LOWER(G188),5)="autre","OK (Autre)",IF(OR(ISNUMBER(SEARCH(_xlpm.genCat,_xlpm.principal)),ISNUMBER(SEARCH(_xlpm.principal,_xlpm.genCat)),AND(_xlpm.orig&lt;&gt;"",OR(ISNUMBER(SEARCH(_xlpm.genCat,_xlpm.orig)),ISNUMBER(SEARCH(_xlpm.orig,_xlpm.genCat))))),"OK","⚠️ À vérifier"))))</f>
        <v>⚠️ À vérifier</v>
      </c>
      <c r="T188" t="str">
        <f>IF(S188="","",IF(S188="OK (Autre)","Diagnostic générique = 'Autre – …'",IF(S188="OK","Concordance générique/principal","Écart entre générique et principal")))</f>
        <v>Écart entre générique et principal</v>
      </c>
      <c r="U188" t="str" cm="1">
        <f t="array" ref="U188">_xlfn.LET(_xlpm.yr, A188, _xlpm.diag, IF(N188&lt;&gt;"", N188, H188), _xlpm.base, TRIM(SUBSTITUTE(SUBSTITUTE(SUBSTITUTE(SUBSTITUTE(_xlpm.diag,"•"," "),CHAR(160)," "),CHAR(10)," "),"  "," ")), LOWER(_xlpm.yr&amp;"|"&amp;_xlpm.base))</f>
        <v>2017|ictère du nouveau-né</v>
      </c>
      <c r="V188" t="str">
        <f>IFERROR(_xlfn.XLOOKUP($AB188,'Cas 2013-2017'!$K:$K,'Cas 2013-2017'!$D:$D,""),"")</f>
        <v/>
      </c>
      <c r="W188" t="str">
        <f>IFERROR(_xlfn.XLOOKUP($AB188,'Cas 2013-2017'!$K:$K,'Cas 2013-2017'!$E:$E,""),"")</f>
        <v/>
      </c>
      <c r="X188" t="str">
        <f>IFERROR(_xlfn.XLOOKUP($AB188,'Cas 2013-2017'!$K:$K,'Cas 2013-2017'!$F:$F,""),"")</f>
        <v/>
      </c>
      <c r="Y188" t="str">
        <f>IFERROR(_xlfn.XLOOKUP($AB188,'Cas 2013-2017'!$K:$K,'Cas 2013-2017'!$G:$G,""),"")</f>
        <v/>
      </c>
      <c r="Z188" t="str">
        <f>IFERROR(_xlfn.XLOOKUP($AB188,'Cas 2013-2017'!$K:$K,'Cas 2013-2017'!$I:$I,""),"")</f>
        <v/>
      </c>
      <c r="AA188" t="str">
        <f>IFERROR(_xlfn.XLOOKUP($AB188,'Cas 2013-2017'!$K:$K,'Cas 2013-2017'!$H:$H,""),"")</f>
        <v/>
      </c>
      <c r="AB188" t="str">
        <f>LOWER($A188 &amp; "|" &amp; $AF188)</f>
        <v>2017|ictère du nouveau-né</v>
      </c>
      <c r="AC188" t="str">
        <f>TRIM(SUBSTITUTE(SUBSTITUTE(SUBSTITUTE(SUBSTITUTE(" " &amp; LOWER(TRIM(IF($N188&lt;&gt;"", $N188, $H188))) &amp; " ", " aomi ", " arteriopathie des membres inferieurs "), " hta ", " hypertension arterielle "), " saos ", " syndrome d'apnees obstructives du sommeil "), " rgo ", " reflux gastro-oesophagien ") )</f>
        <v>ictère du nouveau-né</v>
      </c>
      <c r="AD188" t="str">
        <f>TRIM(SUBSTITUTE(SUBSTITUTE(SUBSTITUTE(SUBSTITUTE(" " &amp; LOWER(TRIM($AC188)) &amp; " ", " oacr ", " occlusion de l'artere centrale de la retine "), " hsd ", " hematome sous-dural "), " fa ", " fibrillation auriculaire "), " ep ", " embolie pulmonaire ") )</f>
        <v>ictère du nouveau-né</v>
      </c>
      <c r="AE188" t="str" cm="1">
        <f t="array" ref="AE188">_xlfn.LET(_xlpm.base, " " &amp; LOWER(TRIM($AD188))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ictère du nouveau-né</v>
      </c>
      <c r="AF188" t="str" cm="1">
        <f t="array" ref="AF188">_xlfn.LET(_xlpm.base, " " &amp; LOWER(TRIM($AE188))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ictère du nouveau-né</v>
      </c>
    </row>
    <row r="189" spans="1:32" ht="33.75">
      <c r="A189" s="8">
        <v>2017</v>
      </c>
      <c r="B189" s="10" t="s">
        <v>82</v>
      </c>
      <c r="C189" s="8" t="s">
        <v>33</v>
      </c>
      <c r="D189" s="20">
        <v>187</v>
      </c>
      <c r="E189" s="11" t="str">
        <f>IF(D189="","",IFERROR(INDEX(SSP!$E$2:$E$266, MATCH(D189, SSP!$F$2:$F$266, 0)),""))</f>
        <v>Vaccination de l’enfant</v>
      </c>
      <c r="F189" s="11" t="str">
        <f>Feuil1!E189</f>
        <v>Vaccination / voyage</v>
      </c>
      <c r="G189" s="12" t="s">
        <v>83</v>
      </c>
      <c r="H189" s="13" t="s">
        <v>725</v>
      </c>
      <c r="I189" s="13"/>
      <c r="J189" s="15" t="s">
        <v>726</v>
      </c>
      <c r="K189" s="9" t="s">
        <v>727</v>
      </c>
      <c r="L189" s="9" t="s">
        <v>33</v>
      </c>
      <c r="M189" s="9" t="s">
        <v>33</v>
      </c>
      <c r="N189" t="s">
        <v>725</v>
      </c>
      <c r="O189" t="str">
        <f>IFERROR(_xlfn.XLOOKUP($D189, SSP!$F:$F, SSP!$E:$E, "Inconnu"), "")</f>
        <v>Vaccination de l’enfant</v>
      </c>
      <c r="P189" t="str">
        <f>IF(OR(E189="", O189=""), "", IF(LOWER(E189)=LOWER(O189), "OK", "⚠️ Libellé ≠ n°"))</f>
        <v>OK</v>
      </c>
      <c r="Q189" t="str">
        <f>IF(Feuil1!$E189="", "", IF(LOWER(Feuil1!$E189)=LOWER(E189), "Identique", "Différent"))</f>
        <v>Différent</v>
      </c>
      <c r="R189" t="str">
        <f>IF(OR(P189="⚠️ Libellé ≠ n°", O189="Inconnu"), "⚠️", IF(Q189="Différent", "ℹ️", ""))</f>
        <v>ℹ️</v>
      </c>
      <c r="S189" t="str" cm="1">
        <f t="array" ref="S189">_xlfn.LET(_xlpm.genCat,IFERROR(LOWER(TRIM(G189)),""),_xlpm.principal,IFERROR(LOWER(TRIM(H189)),""),_xlpm.orig,IFERROR(LOWER(TRIM(N189)),""),IF(OR(_xlpm.genCat="",_xlpm.principal=""),"",IF(LEFT(LOWER(G189),5)="autre","OK (Autre)",IF(OR(ISNUMBER(SEARCH(_xlpm.genCat,_xlpm.principal)),ISNUMBER(SEARCH(_xlpm.principal,_xlpm.genCat)),AND(_xlpm.orig&lt;&gt;"",OR(ISNUMBER(SEARCH(_xlpm.genCat,_xlpm.orig)),ISNUMBER(SEARCH(_xlpm.orig,_xlpm.genCat))))),"OK","⚠️ À vérifier"))))</f>
        <v>OK (Autre)</v>
      </c>
      <c r="T189" t="str">
        <f>IF(S189="","",IF(S189="OK (Autre)","Diagnostic générique = 'Autre – …'",IF(S189="OK","Concordance générique/principal","Écart entre générique et principal")))</f>
        <v>Diagnostic générique = 'Autre – …'</v>
      </c>
      <c r="U189" t="str" cm="1">
        <f t="array" ref="U189">_xlfn.LET(_xlpm.yr, A189, _xlpm.diag, IF(N189&lt;&gt;"", N189, H189), _xlpm.base, TRIM(SUBSTITUTE(SUBSTITUTE(SUBSTITUTE(SUBSTITUTE(_xlpm.diag,"•"," "),CHAR(160)," "),CHAR(10)," "),"  "," ")), LOWER(_xlpm.yr&amp;"|"&amp;_xlpm.base))</f>
        <v>2017|vaccinations</v>
      </c>
      <c r="V189" t="str">
        <f>IFERROR(_xlfn.XLOOKUP($AB189,'Cas 2013-2017'!$K:$K,'Cas 2013-2017'!$D:$D,""),"")</f>
        <v/>
      </c>
      <c r="W189" t="str">
        <f>IFERROR(_xlfn.XLOOKUP($AB189,'Cas 2013-2017'!$K:$K,'Cas 2013-2017'!$E:$E,""),"")</f>
        <v/>
      </c>
      <c r="X189" t="str">
        <f>IFERROR(_xlfn.XLOOKUP($AB189,'Cas 2013-2017'!$K:$K,'Cas 2013-2017'!$F:$F,""),"")</f>
        <v/>
      </c>
      <c r="Y189" t="str">
        <f>IFERROR(_xlfn.XLOOKUP($AB189,'Cas 2013-2017'!$K:$K,'Cas 2013-2017'!$G:$G,""),"")</f>
        <v/>
      </c>
      <c r="Z189" t="str">
        <f>IFERROR(_xlfn.XLOOKUP($AB189,'Cas 2013-2017'!$K:$K,'Cas 2013-2017'!$I:$I,""),"")</f>
        <v/>
      </c>
      <c r="AA189" t="str">
        <f>IFERROR(_xlfn.XLOOKUP($AB189,'Cas 2013-2017'!$K:$K,'Cas 2013-2017'!$H:$H,""),"")</f>
        <v/>
      </c>
      <c r="AB189" t="str">
        <f>LOWER($A189 &amp; "|" &amp; $AF189)</f>
        <v>2017|vaccinations</v>
      </c>
      <c r="AC189" t="str">
        <f>TRIM(SUBSTITUTE(SUBSTITUTE(SUBSTITUTE(SUBSTITUTE(" " &amp; LOWER(TRIM(IF($N189&lt;&gt;"", $N189, $H189))) &amp; " ", " aomi ", " arteriopathie des membres inferieurs "), " hta ", " hypertension arterielle "), " saos ", " syndrome d'apnees obstructives du sommeil "), " rgo ", " reflux gastro-oesophagien ") )</f>
        <v>vaccinations</v>
      </c>
      <c r="AD189" t="str">
        <f>TRIM(SUBSTITUTE(SUBSTITUTE(SUBSTITUTE(SUBSTITUTE(" " &amp; LOWER(TRIM($AC189)) &amp; " ", " oacr ", " occlusion de l'artere centrale de la retine "), " hsd ", " hematome sous-dural "), " fa ", " fibrillation auriculaire "), " ep ", " embolie pulmonaire ") )</f>
        <v>vaccinations</v>
      </c>
      <c r="AE189" t="str" cm="1">
        <f t="array" ref="AE189">_xlfn.LET(_xlpm.base, " " &amp; LOWER(TRIM($AD189))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vaccinations</v>
      </c>
      <c r="AF189" t="str" cm="1">
        <f t="array" ref="AF189">_xlfn.LET(_xlpm.base, " " &amp; LOWER(TRIM($AE189))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vaccinations</v>
      </c>
    </row>
    <row r="190" spans="1:32" ht="50.25">
      <c r="A190" s="8">
        <v>2017</v>
      </c>
      <c r="B190" s="10" t="s">
        <v>133</v>
      </c>
      <c r="C190" s="8" t="s">
        <v>33</v>
      </c>
      <c r="D190" s="20">
        <v>224</v>
      </c>
      <c r="E190" s="11" t="str">
        <f>IF(D190="","",IFERROR(INDEX(SSP!$E$2:$E$266, MATCH(D190, SSP!$F$2:$F$266, 0)),""))</f>
        <v>Demande de bilan de santé, d’examens radiologiques ou biologiques</v>
      </c>
      <c r="F190" s="11" t="str">
        <f>Feuil1!E190</f>
        <v>Bilan</v>
      </c>
      <c r="G190" s="12" t="s">
        <v>271</v>
      </c>
      <c r="H190" s="13" t="s">
        <v>272</v>
      </c>
      <c r="I190" s="13"/>
      <c r="J190" s="15" t="s">
        <v>273</v>
      </c>
      <c r="K190" s="9" t="s">
        <v>728</v>
      </c>
      <c r="L190" s="9" t="s">
        <v>33</v>
      </c>
      <c r="M190" s="9" t="s">
        <v>33</v>
      </c>
      <c r="N190" t="s">
        <v>272</v>
      </c>
      <c r="O190" t="str">
        <f>IFERROR(_xlfn.XLOOKUP($D190, SSP!$F:$F, SSP!$E:$E, "Inconnu"), "")</f>
        <v>Demande de bilan de santé, d’examens radiologiques ou biologiques</v>
      </c>
      <c r="P190" t="str">
        <f>IF(OR(E190="", O190=""), "", IF(LOWER(E190)=LOWER(O190), "OK", "⚠️ Libellé ≠ n°"))</f>
        <v>OK</v>
      </c>
      <c r="Q190" t="str">
        <f>IF(Feuil1!$E190="", "", IF(LOWER(Feuil1!$E190)=LOWER(E190), "Identique", "Différent"))</f>
        <v>Différent</v>
      </c>
      <c r="R190" t="str">
        <f>IF(OR(P190="⚠️ Libellé ≠ n°", O190="Inconnu"), "⚠️", IF(Q190="Différent", "ℹ️", ""))</f>
        <v>ℹ️</v>
      </c>
      <c r="S190" t="str" cm="1">
        <f t="array" ref="S190">_xlfn.LET(_xlpm.genCat,IFERROR(LOWER(TRIM(G190)),""),_xlpm.principal,IFERROR(LOWER(TRIM(H190)),""),_xlpm.orig,IFERROR(LOWER(TRIM(N190)),""),IF(OR(_xlpm.genCat="",_xlpm.principal=""),"",IF(LEFT(LOWER(G190),5)="autre","OK (Autre)",IF(OR(ISNUMBER(SEARCH(_xlpm.genCat,_xlpm.principal)),ISNUMBER(SEARCH(_xlpm.principal,_xlpm.genCat)),AND(_xlpm.orig&lt;&gt;"",OR(ISNUMBER(SEARCH(_xlpm.genCat,_xlpm.orig)),ISNUMBER(SEARCH(_xlpm.orig,_xlpm.genCat))))),"OK","⚠️ À vérifier"))))</f>
        <v>OK</v>
      </c>
      <c r="T190" t="str">
        <f>IF(S190="","",IF(S190="OK (Autre)","Diagnostic générique = 'Autre – …'",IF(S190="OK","Concordance générique/principal","Écart entre générique et principal")))</f>
        <v>Concordance générique/principal</v>
      </c>
      <c r="U190" t="str" cm="1">
        <f t="array" ref="U190">_xlfn.LET(_xlpm.yr, A190, _xlpm.diag, IF(N190&lt;&gt;"", N190, H190), _xlpm.base, TRIM(SUBSTITUTE(SUBSTITUTE(SUBSTITUTE(SUBSTITUTE(_xlpm.diag,"•"," "),CHAR(160)," "),CHAR(10)," "),"  "," ")), LOWER(_xlpm.yr&amp;"|"&amp;_xlpm.base))</f>
        <v>2017|bpco entretien rad</v>
      </c>
      <c r="V190" t="str">
        <f>IFERROR(_xlfn.XLOOKUP($AB190,'Cas 2013-2017'!$K:$K,'Cas 2013-2017'!$D:$D,""),"")</f>
        <v/>
      </c>
      <c r="W190" t="str">
        <f>IFERROR(_xlfn.XLOOKUP($AB190,'Cas 2013-2017'!$K:$K,'Cas 2013-2017'!$E:$E,""),"")</f>
        <v/>
      </c>
      <c r="X190" t="str">
        <f>IFERROR(_xlfn.XLOOKUP($AB190,'Cas 2013-2017'!$K:$K,'Cas 2013-2017'!$F:$F,""),"")</f>
        <v/>
      </c>
      <c r="Y190" t="str">
        <f>IFERROR(_xlfn.XLOOKUP($AB190,'Cas 2013-2017'!$K:$K,'Cas 2013-2017'!$G:$G,""),"")</f>
        <v/>
      </c>
      <c r="Z190" t="str">
        <f>IFERROR(_xlfn.XLOOKUP($AB190,'Cas 2013-2017'!$K:$K,'Cas 2013-2017'!$I:$I,""),"")</f>
        <v/>
      </c>
      <c r="AA190" t="str">
        <f>IFERROR(_xlfn.XLOOKUP($AB190,'Cas 2013-2017'!$K:$K,'Cas 2013-2017'!$H:$H,""),"")</f>
        <v/>
      </c>
      <c r="AB190" t="str">
        <f>LOWER($A190 &amp; "|" &amp; $AF190)</f>
        <v>2017|bronchopneumopathie chronique obstructive entretien rad</v>
      </c>
      <c r="AC190" t="str">
        <f>TRIM(SUBSTITUTE(SUBSTITUTE(SUBSTITUTE(SUBSTITUTE(" " &amp; LOWER(TRIM(IF($N190&lt;&gt;"", $N190, $H190))) &amp; " ", " aomi ", " arteriopathie des membres inferieurs "), " hta ", " hypertension arterielle "), " saos ", " syndrome d'apnees obstructives du sommeil "), " rgo ", " reflux gastro-oesophagien ") )</f>
        <v>bpco entretien rad</v>
      </c>
      <c r="AD190" t="str">
        <f>TRIM(SUBSTITUTE(SUBSTITUTE(SUBSTITUTE(SUBSTITUTE(" " &amp; LOWER(TRIM($AC190)) &amp; " ", " oacr ", " occlusion de l'artere centrale de la retine "), " hsd ", " hematome sous-dural "), " fa ", " fibrillation auriculaire "), " ep ", " embolie pulmonaire ") )</f>
        <v>bpco entretien rad</v>
      </c>
      <c r="AE190" t="str" cm="1">
        <f t="array" ref="AE190">_xlfn.LET(_xlpm.base, " " &amp; LOWER(TRIM($AD190))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bronchopneumopathie chronique obstructive entretien rad</v>
      </c>
      <c r="AF190" t="str" cm="1">
        <f t="array" ref="AF190">_xlfn.LET(_xlpm.base, " " &amp; LOWER(TRIM($AE190))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bronchopneumopathie chronique obstructive entretien rad</v>
      </c>
    </row>
    <row r="191" spans="1:32" ht="117">
      <c r="A191" s="8">
        <v>2017</v>
      </c>
      <c r="B191" s="10" t="s">
        <v>91</v>
      </c>
      <c r="C191" s="8" t="s">
        <v>352</v>
      </c>
      <c r="D191" s="20">
        <v>46</v>
      </c>
      <c r="E191" s="11" t="str">
        <f>IF(D191="","",IFERROR(INDEX(SSP!$E$2:$E$266, MATCH(D191, SSP!$F$2:$F$266, 0)),""))</f>
        <v>Dyspnée</v>
      </c>
      <c r="F191" s="11" t="str">
        <f>Feuil1!E191</f>
        <v>Dyspnée</v>
      </c>
      <c r="G191" s="12" t="s">
        <v>160</v>
      </c>
      <c r="H191" s="13" t="s">
        <v>729</v>
      </c>
      <c r="I191" s="13" t="s">
        <v>730</v>
      </c>
      <c r="J191" s="16" t="s">
        <v>165</v>
      </c>
      <c r="K191" s="9" t="s">
        <v>731</v>
      </c>
      <c r="L191" s="9" t="s">
        <v>732</v>
      </c>
      <c r="M191" s="9" t="s">
        <v>733</v>
      </c>
      <c r="N191" t="s">
        <v>729</v>
      </c>
      <c r="O191" t="str">
        <f>IFERROR(_xlfn.XLOOKUP($D191, SSP!$F:$F, SSP!$E:$E, "Inconnu"), "")</f>
        <v>Dyspnée</v>
      </c>
      <c r="P191" t="str">
        <f>IF(OR(E191="", O191=""), "", IF(LOWER(E191)=LOWER(O191), "OK", "⚠️ Libellé ≠ n°"))</f>
        <v>OK</v>
      </c>
      <c r="Q191" t="str">
        <f>IF(Feuil1!$E191="", "", IF(LOWER(Feuil1!$E191)=LOWER(E191), "Identique", "Différent"))</f>
        <v>Identique</v>
      </c>
      <c r="R191" t="str">
        <f>IF(OR(P191="⚠️ Libellé ≠ n°", O191="Inconnu"), "⚠️", IF(Q191="Différent", "ℹ️", ""))</f>
        <v/>
      </c>
      <c r="S191" t="str" cm="1">
        <f t="array" ref="S191">_xlfn.LET(_xlpm.genCat,IFERROR(LOWER(TRIM(G191)),""),_xlpm.principal,IFERROR(LOWER(TRIM(H191)),""),_xlpm.orig,IFERROR(LOWER(TRIM(N191)),""),IF(OR(_xlpm.genCat="",_xlpm.principal=""),"",IF(LEFT(LOWER(G191),5)="autre","OK (Autre)",IF(OR(ISNUMBER(SEARCH(_xlpm.genCat,_xlpm.principal)),ISNUMBER(SEARCH(_xlpm.principal,_xlpm.genCat)),AND(_xlpm.orig&lt;&gt;"",OR(ISNUMBER(SEARCH(_xlpm.genCat,_xlpm.orig)),ISNUMBER(SEARCH(_xlpm.orig,_xlpm.genCat))))),"OK","⚠️ À vérifier"))))</f>
        <v>OK (Autre)</v>
      </c>
      <c r="T191" t="str">
        <f>IF(S191="","",IF(S191="OK (Autre)","Diagnostic générique = 'Autre – …'",IF(S191="OK","Concordance générique/principal","Écart entre générique et principal")))</f>
        <v>Diagnostic générique = 'Autre – …'</v>
      </c>
      <c r="U191" t="str" cm="1">
        <f t="array" ref="U191">_xlfn.LET(_xlpm.yr, A191, _xlpm.diag, IF(N191&lt;&gt;"", N191, H191), _xlpm.base, TRIM(SUBSTITUTE(SUBSTITUTE(SUBSTITUTE(SUBSTITUTE(_xlpm.diag,"•"," "),CHAR(160)," "),CHAR(10)," "),"  "," ")), LOWER(_xlpm.yr&amp;"|"&amp;_xlpm.base))</f>
        <v>2017|choc anaphylactique</v>
      </c>
      <c r="V191">
        <f>IFERROR(_xlfn.XLOOKUP($AB191,'Cas 2013-2017'!$K:$K,'Cas 2013-2017'!$D:$D,""),"")</f>
        <v>0</v>
      </c>
      <c r="W191" t="str">
        <f>IFERROR(_xlfn.XLOOKUP($AB191,'Cas 2013-2017'!$K:$K,'Cas 2013-2017'!$E:$E,""),"")</f>
        <v>Hétéro-anamnèse avec l’infirmier si présent</v>
      </c>
      <c r="X191" t="str">
        <f>IFERROR(_xlfn.XLOOKUP($AB191,'Cas 2013-2017'!$K:$K,'Cas 2013-2017'!$F:$F,""),"")</f>
        <v>ABCDE</v>
      </c>
      <c r="Y191" t="str">
        <f>IFERROR(_xlfn.XLOOKUP($AB191,'Cas 2013-2017'!$K:$K,'Cas 2013-2017'!$G:$G,""),"")</f>
        <v>Crise d’asthme • Décompensation BPCO • Choc septique</v>
      </c>
      <c r="Z191" t="str">
        <f>IFERROR(_xlfn.XLOOKUP($AB191,'Cas 2013-2017'!$K:$K,'Cas 2013-2017'!$I:$I,""),"")</f>
        <v>Stade 1 + “: corticoïdes + antiH1 et adrénaline im en réserve si péjoration • Stade 2 + 3 :adrénaline, corticoïdes et antH1 • O2, remplissage • Surveillance 4-6h voire plus si grave • RAD avec anti-H1, prednisolone 3j et Epipen • RDV chez l'allergologue •</v>
      </c>
      <c r="AA191" t="str">
        <f>IFERROR(_xlfn.XLOOKUP($AB191,'Cas 2013-2017'!$K:$K,'Cas 2013-2017'!$H:$H,""),"")</f>
        <v>•</v>
      </c>
      <c r="AB191" t="str">
        <f>LOWER($A191 &amp; "|" &amp; $AF191)</f>
        <v>2017|choc anaphylactique</v>
      </c>
      <c r="AC191" t="str">
        <f>TRIM(SUBSTITUTE(SUBSTITUTE(SUBSTITUTE(SUBSTITUTE(" " &amp; LOWER(TRIM(IF($N191&lt;&gt;"", $N191, $H191))) &amp; " ", " aomi ", " arteriopathie des membres inferieurs "), " hta ", " hypertension arterielle "), " saos ", " syndrome d'apnees obstructives du sommeil "), " rgo ", " reflux gastro-oesophagien ") )</f>
        <v>choc anaphylactique</v>
      </c>
      <c r="AD191" t="str">
        <f>TRIM(SUBSTITUTE(SUBSTITUTE(SUBSTITUTE(SUBSTITUTE(" " &amp; LOWER(TRIM($AC191)) &amp; " ", " oacr ", " occlusion de l'artere centrale de la retine "), " hsd ", " hematome sous-dural "), " fa ", " fibrillation auriculaire "), " ep ", " embolie pulmonaire ") )</f>
        <v>choc anaphylactique</v>
      </c>
      <c r="AE191" t="str" cm="1">
        <f t="array" ref="AE191">_xlfn.LET(_xlpm.base, " " &amp; LOWER(TRIM($AD191))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choc anaphylactique</v>
      </c>
      <c r="AF191" t="str" cm="1">
        <f t="array" ref="AF191">_xlfn.LET(_xlpm.base, " " &amp; LOWER(TRIM($AE191))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choc anaphylactique</v>
      </c>
    </row>
    <row r="192" spans="1:32" ht="16.5">
      <c r="A192" s="8">
        <v>2017</v>
      </c>
      <c r="B192" s="10" t="s">
        <v>133</v>
      </c>
      <c r="C192" s="8" t="s">
        <v>33</v>
      </c>
      <c r="D192" s="20">
        <v>46</v>
      </c>
      <c r="E192" s="11" t="str">
        <f>IF(D192="","",IFERROR(INDEX(SSP!$E$2:$E$266, MATCH(D192, SSP!$F$2:$F$266, 0)),""))</f>
        <v>Dyspnée</v>
      </c>
      <c r="F192" s="11" t="str">
        <f>Feuil1!E192</f>
        <v>Douleur thoracique</v>
      </c>
      <c r="G192" s="12" t="s">
        <v>134</v>
      </c>
      <c r="H192" s="13" t="s">
        <v>134</v>
      </c>
      <c r="I192" s="13" t="s">
        <v>276</v>
      </c>
      <c r="J192" s="16" t="s">
        <v>165</v>
      </c>
      <c r="K192" s="9" t="s">
        <v>33</v>
      </c>
      <c r="L192" s="9" t="s">
        <v>33</v>
      </c>
      <c r="M192" s="9" t="s">
        <v>33</v>
      </c>
      <c r="N192" t="s">
        <v>734</v>
      </c>
      <c r="O192" t="str">
        <f>IFERROR(_xlfn.XLOOKUP($D192, SSP!$F:$F, SSP!$E:$E, "Inconnu"), "")</f>
        <v>Dyspnée</v>
      </c>
      <c r="P192" t="str">
        <f>IF(OR(E192="", O192=""), "", IF(LOWER(E192)=LOWER(O192), "OK", "⚠️ Libellé ≠ n°"))</f>
        <v>OK</v>
      </c>
      <c r="Q192" t="str">
        <f>IF(Feuil1!$E192="", "", IF(LOWER(Feuil1!$E192)=LOWER(E192), "Identique", "Différent"))</f>
        <v>Différent</v>
      </c>
      <c r="R192" t="str">
        <f>IF(OR(P192="⚠️ Libellé ≠ n°", O192="Inconnu"), "⚠️", IF(Q192="Différent", "ℹ️", ""))</f>
        <v>ℹ️</v>
      </c>
      <c r="S192" t="str" cm="1">
        <f t="array" ref="S192">_xlfn.LET(_xlpm.genCat,IFERROR(LOWER(TRIM(G192)),""),_xlpm.principal,IFERROR(LOWER(TRIM(H192)),""),_xlpm.orig,IFERROR(LOWER(TRIM(N192)),""),IF(OR(_xlpm.genCat="",_xlpm.principal=""),"",IF(LEFT(LOWER(G192),5)="autre","OK (Autre)",IF(OR(ISNUMBER(SEARCH(_xlpm.genCat,_xlpm.principal)),ISNUMBER(SEARCH(_xlpm.principal,_xlpm.genCat)),AND(_xlpm.orig&lt;&gt;"",OR(ISNUMBER(SEARCH(_xlpm.genCat,_xlpm.orig)),ISNUMBER(SEARCH(_xlpm.orig,_xlpm.genCat))))),"OK","⚠️ À vérifier"))))</f>
        <v>OK</v>
      </c>
      <c r="T192" t="str">
        <f>IF(S192="","",IF(S192="OK (Autre)","Diagnostic générique = 'Autre – …'",IF(S192="OK","Concordance générique/principal","Écart entre générique et principal")))</f>
        <v>Concordance générique/principal</v>
      </c>
      <c r="U192" t="str" cm="1">
        <f t="array" ref="U192">_xlfn.LET(_xlpm.yr, A192, _xlpm.diag, IF(N192&lt;&gt;"", N192, H192), _xlpm.base, TRIM(SUBSTITUTE(SUBSTITUTE(SUBSTITUTE(SUBSTITUTE(_xlpm.diag,"•"," "),CHAR(160)," "),CHAR(10)," "),"  "," ")), LOWER(_xlpm.yr&amp;"|"&amp;_xlpm.base))</f>
        <v>2017|pneumothorax vs embolie pulmonaire (ep)</v>
      </c>
      <c r="V192" t="str">
        <f>IFERROR(_xlfn.XLOOKUP($AB192,'Cas 2013-2017'!$K:$K,'Cas 2013-2017'!$D:$D,""),"")</f>
        <v/>
      </c>
      <c r="W192" t="str">
        <f>IFERROR(_xlfn.XLOOKUP($AB192,'Cas 2013-2017'!$K:$K,'Cas 2013-2017'!$E:$E,""),"")</f>
        <v/>
      </c>
      <c r="X192" t="str">
        <f>IFERROR(_xlfn.XLOOKUP($AB192,'Cas 2013-2017'!$K:$K,'Cas 2013-2017'!$F:$F,""),"")</f>
        <v/>
      </c>
      <c r="Y192" t="str">
        <f>IFERROR(_xlfn.XLOOKUP($AB192,'Cas 2013-2017'!$K:$K,'Cas 2013-2017'!$G:$G,""),"")</f>
        <v/>
      </c>
      <c r="Z192" t="str">
        <f>IFERROR(_xlfn.XLOOKUP($AB192,'Cas 2013-2017'!$K:$K,'Cas 2013-2017'!$I:$I,""),"")</f>
        <v/>
      </c>
      <c r="AA192" t="str">
        <f>IFERROR(_xlfn.XLOOKUP($AB192,'Cas 2013-2017'!$K:$K,'Cas 2013-2017'!$H:$H,""),"")</f>
        <v/>
      </c>
      <c r="AB192" t="str">
        <f>LOWER($A192 &amp; "|" &amp; $AF192)</f>
        <v>2017|pneumothorax vs embolie pulmonaire (ep)</v>
      </c>
      <c r="AC192" t="str">
        <f>TRIM(SUBSTITUTE(SUBSTITUTE(SUBSTITUTE(SUBSTITUTE(" " &amp; LOWER(TRIM(IF($N192&lt;&gt;"", $N192, $H192))) &amp; " ", " aomi ", " arteriopathie des membres inferieurs "), " hta ", " hypertension arterielle "), " saos ", " syndrome d'apnees obstructives du sommeil "), " rgo ", " reflux gastro-oesophagien ") )</f>
        <v>pneumothorax vs embolie pulmonaire (ep)</v>
      </c>
      <c r="AD192" t="str">
        <f>TRIM(SUBSTITUTE(SUBSTITUTE(SUBSTITUTE(SUBSTITUTE(" " &amp; LOWER(TRIM($AC192)) &amp; " ", " oacr ", " occlusion de l'artere centrale de la retine "), " hsd ", " hematome sous-dural "), " fa ", " fibrillation auriculaire "), " ep ", " embolie pulmonaire ") )</f>
        <v>pneumothorax vs embolie pulmonaire (ep)</v>
      </c>
      <c r="AE192" t="str" cm="1">
        <f t="array" ref="AE192">_xlfn.LET(_xlpm.base, " " &amp; LOWER(TRIM($AD192))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pneumothorax vs embolie pulmonaire (ep)</v>
      </c>
      <c r="AF192" t="str" cm="1">
        <f t="array" ref="AF192">_xlfn.LET(_xlpm.base, " " &amp; LOWER(TRIM($AE192))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pneumothorax vs embolie pulmonaire (ep)</v>
      </c>
    </row>
    <row r="193" spans="1:32" ht="16.5">
      <c r="A193" s="8">
        <v>2017</v>
      </c>
      <c r="B193" s="10" t="s">
        <v>141</v>
      </c>
      <c r="C193" s="8" t="s">
        <v>33</v>
      </c>
      <c r="D193" s="20">
        <v>120</v>
      </c>
      <c r="E193" s="11" t="str">
        <f>IF(D193="","",IFERROR(INDEX(SSP!$E$2:$E$266, MATCH(D193, SSP!$F$2:$F$266, 0)),""))</f>
        <v>Modification du comportement</v>
      </c>
      <c r="F193" s="11" t="str">
        <f>Feuil1!E193</f>
        <v>Hallucincation auditive</v>
      </c>
      <c r="G193" s="12" t="s">
        <v>145</v>
      </c>
      <c r="H193" s="13" t="s">
        <v>735</v>
      </c>
      <c r="I193" s="13"/>
      <c r="J193" s="15" t="s">
        <v>736</v>
      </c>
      <c r="K193" s="9" t="s">
        <v>33</v>
      </c>
      <c r="L193" s="9" t="s">
        <v>33</v>
      </c>
      <c r="M193" s="9" t="s">
        <v>33</v>
      </c>
      <c r="N193" t="s">
        <v>735</v>
      </c>
      <c r="O193" t="str">
        <f>IFERROR(_xlfn.XLOOKUP($D193, SSP!$F:$F, SSP!$E:$E, "Inconnu"), "")</f>
        <v>Modification du comportement</v>
      </c>
      <c r="P193" t="str">
        <f>IF(OR(E193="", O193=""), "", IF(LOWER(E193)=LOWER(O193), "OK", "⚠️ Libellé ≠ n°"))</f>
        <v>OK</v>
      </c>
      <c r="Q193" t="str">
        <f>IF(Feuil1!$E193="", "", IF(LOWER(Feuil1!$E193)=LOWER(E193), "Identique", "Différent"))</f>
        <v>Différent</v>
      </c>
      <c r="R193" t="str">
        <f>IF(OR(P193="⚠️ Libellé ≠ n°", O193="Inconnu"), "⚠️", IF(Q193="Différent", "ℹ️", ""))</f>
        <v>ℹ️</v>
      </c>
      <c r="S193" t="str" cm="1">
        <f t="array" ref="S193">_xlfn.LET(_xlpm.genCat,IFERROR(LOWER(TRIM(G193)),""),_xlpm.principal,IFERROR(LOWER(TRIM(H193)),""),_xlpm.orig,IFERROR(LOWER(TRIM(N193)),""),IF(OR(_xlpm.genCat="",_xlpm.principal=""),"",IF(LEFT(LOWER(G193),5)="autre","OK (Autre)",IF(OR(ISNUMBER(SEARCH(_xlpm.genCat,_xlpm.principal)),ISNUMBER(SEARCH(_xlpm.principal,_xlpm.genCat)),AND(_xlpm.orig&lt;&gt;"",OR(ISNUMBER(SEARCH(_xlpm.genCat,_xlpm.orig)),ISNUMBER(SEARCH(_xlpm.orig,_xlpm.genCat))))),"OK","⚠️ À vérifier"))))</f>
        <v>OK (Autre)</v>
      </c>
      <c r="T193" t="str">
        <f>IF(S193="","",IF(S193="OK (Autre)","Diagnostic générique = 'Autre – …'",IF(S193="OK","Concordance générique/principal","Écart entre générique et principal")))</f>
        <v>Diagnostic générique = 'Autre – …'</v>
      </c>
      <c r="U193" t="str" cm="1">
        <f t="array" ref="U193">_xlfn.LET(_xlpm.yr, A193, _xlpm.diag, IF(N193&lt;&gt;"", N193, H193), _xlpm.base, TRIM(SUBSTITUTE(SUBSTITUTE(SUBSTITUTE(SUBSTITUTE(_xlpm.diag,"•"," "),CHAR(160)," "),CHAR(10)," "),"  "," ")), LOWER(_xlpm.yr&amp;"|"&amp;_xlpm.base))</f>
        <v>2017|episodes psychotique</v>
      </c>
      <c r="V193" t="str">
        <f>IFERROR(_xlfn.XLOOKUP($AB193,'Cas 2013-2017'!$K:$K,'Cas 2013-2017'!$D:$D,""),"")</f>
        <v/>
      </c>
      <c r="W193" t="str">
        <f>IFERROR(_xlfn.XLOOKUP($AB193,'Cas 2013-2017'!$K:$K,'Cas 2013-2017'!$E:$E,""),"")</f>
        <v/>
      </c>
      <c r="X193" t="str">
        <f>IFERROR(_xlfn.XLOOKUP($AB193,'Cas 2013-2017'!$K:$K,'Cas 2013-2017'!$F:$F,""),"")</f>
        <v/>
      </c>
      <c r="Y193" t="str">
        <f>IFERROR(_xlfn.XLOOKUP($AB193,'Cas 2013-2017'!$K:$K,'Cas 2013-2017'!$G:$G,""),"")</f>
        <v/>
      </c>
      <c r="Z193" t="str">
        <f>IFERROR(_xlfn.XLOOKUP($AB193,'Cas 2013-2017'!$K:$K,'Cas 2013-2017'!$I:$I,""),"")</f>
        <v/>
      </c>
      <c r="AA193" t="str">
        <f>IFERROR(_xlfn.XLOOKUP($AB193,'Cas 2013-2017'!$K:$K,'Cas 2013-2017'!$H:$H,""),"")</f>
        <v/>
      </c>
      <c r="AB193" t="str">
        <f>LOWER($A193 &amp; "|" &amp; $AF193)</f>
        <v>2017|episodes psychotique</v>
      </c>
      <c r="AC193" t="str">
        <f>TRIM(SUBSTITUTE(SUBSTITUTE(SUBSTITUTE(SUBSTITUTE(" " &amp; LOWER(TRIM(IF($N193&lt;&gt;"", $N193, $H193))) &amp; " ", " aomi ", " arteriopathie des membres inferieurs "), " hta ", " hypertension arterielle "), " saos ", " syndrome d'apnees obstructives du sommeil "), " rgo ", " reflux gastro-oesophagien ") )</f>
        <v>episodes psychotique</v>
      </c>
      <c r="AD193" t="str">
        <f>TRIM(SUBSTITUTE(SUBSTITUTE(SUBSTITUTE(SUBSTITUTE(" " &amp; LOWER(TRIM($AC193)) &amp; " ", " oacr ", " occlusion de l'artere centrale de la retine "), " hsd ", " hematome sous-dural "), " fa ", " fibrillation auriculaire "), " ep ", " embolie pulmonaire ") )</f>
        <v>episodes psychotique</v>
      </c>
      <c r="AE193" t="str" cm="1">
        <f t="array" ref="AE193">_xlfn.LET(_xlpm.base, " " &amp; LOWER(TRIM($AD193))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episodes psychotique</v>
      </c>
      <c r="AF193" t="str" cm="1">
        <f t="array" ref="AF193">_xlfn.LET(_xlpm.base, " " &amp; LOWER(TRIM($AE193))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episodes psychotique</v>
      </c>
    </row>
    <row r="194" spans="1:32" ht="16.5">
      <c r="A194" s="8">
        <v>2017</v>
      </c>
      <c r="B194" s="10" t="s">
        <v>141</v>
      </c>
      <c r="C194" s="8" t="s">
        <v>33</v>
      </c>
      <c r="D194" s="20">
        <v>50</v>
      </c>
      <c r="E194" s="11" t="str">
        <f>IF(D194="","",IFERROR(INDEX(SSP!$E$2:$E$266, MATCH(D194, SSP!$F$2:$F$266, 0)),""))</f>
        <v>Palpitations</v>
      </c>
      <c r="F194" s="11" t="str">
        <f>Feuil1!E194</f>
        <v>Palpitations</v>
      </c>
      <c r="G194" s="12" t="s">
        <v>387</v>
      </c>
      <c r="H194" s="13" t="s">
        <v>387</v>
      </c>
      <c r="I194" s="13"/>
      <c r="J194" s="15" t="s">
        <v>737</v>
      </c>
      <c r="K194" s="9" t="s">
        <v>33</v>
      </c>
      <c r="L194" s="9" t="s">
        <v>33</v>
      </c>
      <c r="M194" s="9" t="s">
        <v>33</v>
      </c>
      <c r="N194" t="s">
        <v>387</v>
      </c>
      <c r="O194" t="str">
        <f>IFERROR(_xlfn.XLOOKUP($D194, SSP!$F:$F, SSP!$E:$E, "Inconnu"), "")</f>
        <v>Palpitations</v>
      </c>
      <c r="P194" t="str">
        <f>IF(OR(E194="", O194=""), "", IF(LOWER(E194)=LOWER(O194), "OK", "⚠️ Libellé ≠ n°"))</f>
        <v>OK</v>
      </c>
      <c r="Q194" t="str">
        <f>IF(Feuil1!$E194="", "", IF(LOWER(Feuil1!$E194)=LOWER(E194), "Identique", "Différent"))</f>
        <v>Identique</v>
      </c>
      <c r="R194" t="str">
        <f>IF(OR(P194="⚠️ Libellé ≠ n°", O194="Inconnu"), "⚠️", IF(Q194="Différent", "ℹ️", ""))</f>
        <v/>
      </c>
      <c r="S194" t="str" cm="1">
        <f t="array" ref="S194">_xlfn.LET(_xlpm.genCat,IFERROR(LOWER(TRIM(G194)),""),_xlpm.principal,IFERROR(LOWER(TRIM(H194)),""),_xlpm.orig,IFERROR(LOWER(TRIM(N194)),""),IF(OR(_xlpm.genCat="",_xlpm.principal=""),"",IF(LEFT(LOWER(G194),5)="autre","OK (Autre)",IF(OR(ISNUMBER(SEARCH(_xlpm.genCat,_xlpm.principal)),ISNUMBER(SEARCH(_xlpm.principal,_xlpm.genCat)),AND(_xlpm.orig&lt;&gt;"",OR(ISNUMBER(SEARCH(_xlpm.genCat,_xlpm.orig)),ISNUMBER(SEARCH(_xlpm.orig,_xlpm.genCat))))),"OK","⚠️ À vérifier"))))</f>
        <v>OK</v>
      </c>
      <c r="T194" t="str">
        <f>IF(S194="","",IF(S194="OK (Autre)","Diagnostic générique = 'Autre – …'",IF(S194="OK","Concordance générique/principal","Écart entre générique et principal")))</f>
        <v>Concordance générique/principal</v>
      </c>
      <c r="U194" t="str" cm="1">
        <f t="array" ref="U194">_xlfn.LET(_xlpm.yr, A194, _xlpm.diag, IF(N194&lt;&gt;"", N194, H194), _xlpm.base, TRIM(SUBSTITUTE(SUBSTITUTE(SUBSTITUTE(SUBSTITUTE(_xlpm.diag,"•"," "),CHAR(160)," "),CHAR(10)," "),"  "," ")), LOWER(_xlpm.yr&amp;"|"&amp;_xlpm.base))</f>
        <v>2017|trouble anxieux</v>
      </c>
      <c r="V194" t="str">
        <f>IFERROR(_xlfn.XLOOKUP($AB194,'Cas 2013-2017'!$K:$K,'Cas 2013-2017'!$D:$D,""),"")</f>
        <v/>
      </c>
      <c r="W194" t="str">
        <f>IFERROR(_xlfn.XLOOKUP($AB194,'Cas 2013-2017'!$K:$K,'Cas 2013-2017'!$E:$E,""),"")</f>
        <v/>
      </c>
      <c r="X194" t="str">
        <f>IFERROR(_xlfn.XLOOKUP($AB194,'Cas 2013-2017'!$K:$K,'Cas 2013-2017'!$F:$F,""),"")</f>
        <v/>
      </c>
      <c r="Y194" t="str">
        <f>IFERROR(_xlfn.XLOOKUP($AB194,'Cas 2013-2017'!$K:$K,'Cas 2013-2017'!$G:$G,""),"")</f>
        <v/>
      </c>
      <c r="Z194" t="str">
        <f>IFERROR(_xlfn.XLOOKUP($AB194,'Cas 2013-2017'!$K:$K,'Cas 2013-2017'!$I:$I,""),"")</f>
        <v/>
      </c>
      <c r="AA194" t="str">
        <f>IFERROR(_xlfn.XLOOKUP($AB194,'Cas 2013-2017'!$K:$K,'Cas 2013-2017'!$H:$H,""),"")</f>
        <v/>
      </c>
      <c r="AB194" t="str">
        <f>LOWER($A194 &amp; "|" &amp; $AF194)</f>
        <v>2017|trouble anxieux</v>
      </c>
      <c r="AC194" t="str">
        <f>TRIM(SUBSTITUTE(SUBSTITUTE(SUBSTITUTE(SUBSTITUTE(" " &amp; LOWER(TRIM(IF($N194&lt;&gt;"", $N194, $H194))) &amp; " ", " aomi ", " arteriopathie des membres inferieurs "), " hta ", " hypertension arterielle "), " saos ", " syndrome d'apnees obstructives du sommeil "), " rgo ", " reflux gastro-oesophagien ") )</f>
        <v>trouble anxieux</v>
      </c>
      <c r="AD194" t="str">
        <f>TRIM(SUBSTITUTE(SUBSTITUTE(SUBSTITUTE(SUBSTITUTE(" " &amp; LOWER(TRIM($AC194)) &amp; " ", " oacr ", " occlusion de l'artere centrale de la retine "), " hsd ", " hematome sous-dural "), " fa ", " fibrillation auriculaire "), " ep ", " embolie pulmonaire ") )</f>
        <v>trouble anxieux</v>
      </c>
      <c r="AE194" t="str" cm="1">
        <f t="array" ref="AE194">_xlfn.LET(_xlpm.base, " " &amp; LOWER(TRIM($AD194))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anxieux</v>
      </c>
      <c r="AF194" t="str" cm="1">
        <f t="array" ref="AF194">_xlfn.LET(_xlpm.base, " " &amp; LOWER(TRIM($AE194))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anxieux</v>
      </c>
    </row>
    <row r="195" spans="1:32" ht="33.75">
      <c r="A195" s="8">
        <v>2017</v>
      </c>
      <c r="B195" s="10" t="s">
        <v>100</v>
      </c>
      <c r="C195" s="8" t="s">
        <v>33</v>
      </c>
      <c r="D195" s="20">
        <v>11</v>
      </c>
      <c r="E195" s="11" t="str">
        <f>IF(D195="","",IFERROR(INDEX(SSP!$E$2:$E$266, MATCH(D195, SSP!$F$2:$F$266, 0)),""))</f>
        <v>Troubles du sommeil (insomnie, hypersomnie, parasomnies)</v>
      </c>
      <c r="F195" s="11" t="str">
        <f>Feuil1!E195</f>
        <v>Trouble du sommeil</v>
      </c>
      <c r="G195" s="12" t="s">
        <v>392</v>
      </c>
      <c r="H195" s="13" t="s">
        <v>392</v>
      </c>
      <c r="I195" s="13"/>
      <c r="J195" s="15" t="s">
        <v>392</v>
      </c>
      <c r="K195" s="9" t="s">
        <v>33</v>
      </c>
      <c r="L195" s="9" t="s">
        <v>33</v>
      </c>
      <c r="M195" s="9" t="s">
        <v>33</v>
      </c>
      <c r="N195" t="s">
        <v>392</v>
      </c>
      <c r="O195" t="str">
        <f>IFERROR(_xlfn.XLOOKUP($D195, SSP!$F:$F, SSP!$E:$E, "Inconnu"), "")</f>
        <v>Troubles du sommeil (insomnie, hypersomnie, parasomnies)</v>
      </c>
      <c r="P195" t="str">
        <f>IF(OR(E195="", O195=""), "", IF(LOWER(E195)=LOWER(O195), "OK", "⚠️ Libellé ≠ n°"))</f>
        <v>OK</v>
      </c>
      <c r="Q195" t="str">
        <f>IF(Feuil1!$E195="", "", IF(LOWER(Feuil1!$E195)=LOWER(E195), "Identique", "Différent"))</f>
        <v>Différent</v>
      </c>
      <c r="R195" t="str">
        <f>IF(OR(P195="⚠️ Libellé ≠ n°", O195="Inconnu"), "⚠️", IF(Q195="Différent", "ℹ️", ""))</f>
        <v>ℹ️</v>
      </c>
      <c r="S195" t="str" cm="1">
        <f t="array" ref="S195">_xlfn.LET(_xlpm.genCat,IFERROR(LOWER(TRIM(G195)),""),_xlpm.principal,IFERROR(LOWER(TRIM(H195)),""),_xlpm.orig,IFERROR(LOWER(TRIM(N195)),""),IF(OR(_xlpm.genCat="",_xlpm.principal=""),"",IF(LEFT(LOWER(G195),5)="autre","OK (Autre)",IF(OR(ISNUMBER(SEARCH(_xlpm.genCat,_xlpm.principal)),ISNUMBER(SEARCH(_xlpm.principal,_xlpm.genCat)),AND(_xlpm.orig&lt;&gt;"",OR(ISNUMBER(SEARCH(_xlpm.genCat,_xlpm.orig)),ISNUMBER(SEARCH(_xlpm.orig,_xlpm.genCat))))),"OK","⚠️ À vérifier"))))</f>
        <v>OK</v>
      </c>
      <c r="T195" t="str">
        <f>IF(S195="","",IF(S195="OK (Autre)","Diagnostic générique = 'Autre – …'",IF(S195="OK","Concordance générique/principal","Écart entre générique et principal")))</f>
        <v>Concordance générique/principal</v>
      </c>
      <c r="U195" t="str" cm="1">
        <f t="array" ref="U195">_xlfn.LET(_xlpm.yr, A195, _xlpm.diag, IF(N195&lt;&gt;"", N195, H195), _xlpm.base, TRIM(SUBSTITUTE(SUBSTITUTE(SUBSTITUTE(SUBSTITUTE(_xlpm.diag,"•"," "),CHAR(160)," "),CHAR(10)," "),"  "," ")), LOWER(_xlpm.yr&amp;"|"&amp;_xlpm.base))</f>
        <v>2017|trouble du sommeil</v>
      </c>
      <c r="V195">
        <f>IFERROR(_xlfn.XLOOKUP($AB195,'Cas 2013-2017'!$K:$K,'Cas 2013-2017'!$D:$D,""),"")</f>
        <v>0</v>
      </c>
      <c r="W195">
        <f>IFERROR(_xlfn.XLOOKUP($AB195,'Cas 2013-2017'!$K:$K,'Cas 2013-2017'!$E:$E,""),"")</f>
        <v>0</v>
      </c>
      <c r="X195">
        <f>IFERROR(_xlfn.XLOOKUP($AB195,'Cas 2013-2017'!$K:$K,'Cas 2013-2017'!$F:$F,""),"")</f>
        <v>0</v>
      </c>
      <c r="Y195">
        <f>IFERROR(_xlfn.XLOOKUP($AB195,'Cas 2013-2017'!$K:$K,'Cas 2013-2017'!$G:$G,""),"")</f>
        <v>0</v>
      </c>
      <c r="Z195">
        <f>IFERROR(_xlfn.XLOOKUP($AB195,'Cas 2013-2017'!$K:$K,'Cas 2013-2017'!$I:$I,""),"")</f>
        <v>0</v>
      </c>
      <c r="AA195">
        <f>IFERROR(_xlfn.XLOOKUP($AB195,'Cas 2013-2017'!$K:$K,'Cas 2013-2017'!$H:$H,""),"")</f>
        <v>0</v>
      </c>
      <c r="AB195" t="str">
        <f>LOWER($A195 &amp; "|" &amp; $AF195)</f>
        <v>2017|trouble du sommeil</v>
      </c>
      <c r="AC195" t="str">
        <f>TRIM(SUBSTITUTE(SUBSTITUTE(SUBSTITUTE(SUBSTITUTE(" " &amp; LOWER(TRIM(IF($N195&lt;&gt;"", $N195, $H195))) &amp; " ", " aomi ", " arteriopathie des membres inferieurs "), " hta ", " hypertension arterielle "), " saos ", " syndrome d'apnees obstructives du sommeil "), " rgo ", " reflux gastro-oesophagien ") )</f>
        <v>trouble du sommeil</v>
      </c>
      <c r="AD195" t="str">
        <f>TRIM(SUBSTITUTE(SUBSTITUTE(SUBSTITUTE(SUBSTITUTE(" " &amp; LOWER(TRIM($AC195)) &amp; " ", " oacr ", " occlusion de l'artere centrale de la retine "), " hsd ", " hematome sous-dural "), " fa ", " fibrillation auriculaire "), " ep ", " embolie pulmonaire ") )</f>
        <v>trouble du sommeil</v>
      </c>
      <c r="AE195" t="str" cm="1">
        <f t="array" ref="AE195">_xlfn.LET(_xlpm.base, " " &amp; LOWER(TRIM($AD195))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du sommeil</v>
      </c>
      <c r="AF195" t="str" cm="1">
        <f t="array" ref="AF195">_xlfn.LET(_xlpm.base, " " &amp; LOWER(TRIM($AE195))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du sommeil</v>
      </c>
    </row>
    <row r="196" spans="1:32" ht="33.75">
      <c r="A196" s="8">
        <v>2017</v>
      </c>
      <c r="B196" s="10" t="s">
        <v>221</v>
      </c>
      <c r="C196" s="8" t="s">
        <v>33</v>
      </c>
      <c r="D196" s="20"/>
      <c r="E196" s="11" t="str">
        <f>IF(D196="","",IFERROR(INDEX(SSP!$E$2:$E$266, MATCH(D196, SSP!$F$2:$F$266, 0)),""))</f>
        <v/>
      </c>
      <c r="F196" s="11" t="str">
        <f>Feuil1!E196</f>
        <v>Douleurs articulaires</v>
      </c>
      <c r="G196" s="12" t="s">
        <v>226</v>
      </c>
      <c r="H196" s="13" t="s">
        <v>738</v>
      </c>
      <c r="I196" s="13"/>
      <c r="J196" s="16" t="s">
        <v>165</v>
      </c>
      <c r="K196" s="9" t="s">
        <v>739</v>
      </c>
      <c r="L196" s="9" t="s">
        <v>33</v>
      </c>
      <c r="M196" s="9" t="s">
        <v>33</v>
      </c>
      <c r="N196" t="s">
        <v>738</v>
      </c>
      <c r="O196">
        <f>IFERROR(_xlfn.XLOOKUP($D196, SSP!$F:$F, SSP!$E:$E, "Inconnu"), "")</f>
        <v>0</v>
      </c>
      <c r="P196" t="str">
        <f>IF(OR(E196="", O196=""), "", IF(LOWER(E196)=LOWER(O196), "OK", "⚠️ Libellé ≠ n°"))</f>
        <v/>
      </c>
      <c r="Q196" t="str">
        <f>IF(Feuil1!$E196="", "", IF(LOWER(Feuil1!$E196)=LOWER(E196), "Identique", "Différent"))</f>
        <v>Différent</v>
      </c>
      <c r="R196" t="str">
        <f>IF(OR(P196="⚠️ Libellé ≠ n°", O196="Inconnu"), "⚠️", IF(Q196="Différent", "ℹ️", ""))</f>
        <v>ℹ️</v>
      </c>
      <c r="S196" t="str" cm="1">
        <f t="array" ref="S196">_xlfn.LET(_xlpm.genCat,IFERROR(LOWER(TRIM(G196)),""),_xlpm.principal,IFERROR(LOWER(TRIM(H196)),""),_xlpm.orig,IFERROR(LOWER(TRIM(N196)),""),IF(OR(_xlpm.genCat="",_xlpm.principal=""),"",IF(LEFT(LOWER(G196),5)="autre","OK (Autre)",IF(OR(ISNUMBER(SEARCH(_xlpm.genCat,_xlpm.principal)),ISNUMBER(SEARCH(_xlpm.principal,_xlpm.genCat)),AND(_xlpm.orig&lt;&gt;"",OR(ISNUMBER(SEARCH(_xlpm.genCat,_xlpm.orig)),ISNUMBER(SEARCH(_xlpm.orig,_xlpm.genCat))))),"OK","⚠️ À vérifier"))))</f>
        <v>OK (Autre)</v>
      </c>
      <c r="T196" t="str">
        <f>IF(S196="","",IF(S196="OK (Autre)","Diagnostic générique = 'Autre – …'",IF(S196="OK","Concordance générique/principal","Écart entre générique et principal")))</f>
        <v>Diagnostic générique = 'Autre – …'</v>
      </c>
      <c r="U196" t="str" cm="1">
        <f t="array" ref="U196">_xlfn.LET(_xlpm.yr, A196, _xlpm.diag, IF(N196&lt;&gt;"", N196, H196), _xlpm.base, TRIM(SUBSTITUTE(SUBSTITUTE(SUBSTITUTE(SUBSTITUTE(_xlpm.diag,"•"," "),CHAR(160)," "),CHAR(10)," "),"  "," ")), LOWER(_xlpm.yr&amp;"|"&amp;_xlpm.base))</f>
        <v>2017|polymyalgie rhumatismale</v>
      </c>
      <c r="V196" t="str">
        <f>IFERROR(_xlfn.XLOOKUP($AB196,'Cas 2013-2017'!$K:$K,'Cas 2013-2017'!$D:$D,""),"")</f>
        <v/>
      </c>
      <c r="W196" t="str">
        <f>IFERROR(_xlfn.XLOOKUP($AB196,'Cas 2013-2017'!$K:$K,'Cas 2013-2017'!$E:$E,""),"")</f>
        <v/>
      </c>
      <c r="X196" t="str">
        <f>IFERROR(_xlfn.XLOOKUP($AB196,'Cas 2013-2017'!$K:$K,'Cas 2013-2017'!$F:$F,""),"")</f>
        <v/>
      </c>
      <c r="Y196" t="str">
        <f>IFERROR(_xlfn.XLOOKUP($AB196,'Cas 2013-2017'!$K:$K,'Cas 2013-2017'!$G:$G,""),"")</f>
        <v/>
      </c>
      <c r="Z196" t="str">
        <f>IFERROR(_xlfn.XLOOKUP($AB196,'Cas 2013-2017'!$K:$K,'Cas 2013-2017'!$I:$I,""),"")</f>
        <v/>
      </c>
      <c r="AA196" t="str">
        <f>IFERROR(_xlfn.XLOOKUP($AB196,'Cas 2013-2017'!$K:$K,'Cas 2013-2017'!$H:$H,""),"")</f>
        <v/>
      </c>
      <c r="AB196" t="str">
        <f>LOWER($A196 &amp; "|" &amp; $AF196)</f>
        <v>2017|polymyalgie rhumatismale</v>
      </c>
      <c r="AC196" t="str">
        <f>TRIM(SUBSTITUTE(SUBSTITUTE(SUBSTITUTE(SUBSTITUTE(" " &amp; LOWER(TRIM(IF($N196&lt;&gt;"", $N196, $H196))) &amp; " ", " aomi ", " arteriopathie des membres inferieurs "), " hta ", " hypertension arterielle "), " saos ", " syndrome d'apnees obstructives du sommeil "), " rgo ", " reflux gastro-oesophagien ") )</f>
        <v>polymyalgie rhumatismale</v>
      </c>
      <c r="AD196" t="str">
        <f>TRIM(SUBSTITUTE(SUBSTITUTE(SUBSTITUTE(SUBSTITUTE(" " &amp; LOWER(TRIM($AC196)) &amp; " ", " oacr ", " occlusion de l'artere centrale de la retine "), " hsd ", " hematome sous-dural "), " fa ", " fibrillation auriculaire "), " ep ", " embolie pulmonaire ") )</f>
        <v>polymyalgie rhumatismale</v>
      </c>
      <c r="AE196" t="str" cm="1">
        <f t="array" ref="AE196">_xlfn.LET(_xlpm.base, " " &amp; LOWER(TRIM($AD196))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polymyalgie rhumatismale</v>
      </c>
      <c r="AF196" t="str" cm="1">
        <f t="array" ref="AF196">_xlfn.LET(_xlpm.base, " " &amp; LOWER(TRIM($AE196))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polymyalgie rhumatismale</v>
      </c>
    </row>
    <row r="197" spans="1:32" ht="33.75">
      <c r="A197" s="8">
        <v>2017</v>
      </c>
      <c r="B197" s="10" t="s">
        <v>82</v>
      </c>
      <c r="C197" s="8" t="s">
        <v>33</v>
      </c>
      <c r="D197" s="20">
        <v>6</v>
      </c>
      <c r="E197" s="11" t="str">
        <f>IF(D197="","",IFERROR(INDEX(SSP!$E$2:$E$266, MATCH(D197, SSP!$F$2:$F$266, 0)),""))</f>
        <v>Fièvre, frissons, hyperthermie</v>
      </c>
      <c r="F197" s="11" t="str">
        <f>Feuil1!E197</f>
        <v>Fièvre</v>
      </c>
      <c r="G197" s="12" t="s">
        <v>83</v>
      </c>
      <c r="H197" s="13" t="s">
        <v>398</v>
      </c>
      <c r="I197" s="13"/>
      <c r="J197" s="15" t="s">
        <v>740</v>
      </c>
      <c r="K197" s="9" t="s">
        <v>741</v>
      </c>
      <c r="L197" s="9" t="s">
        <v>33</v>
      </c>
      <c r="M197" s="9" t="s">
        <v>33</v>
      </c>
      <c r="N197" t="s">
        <v>398</v>
      </c>
      <c r="O197" t="str">
        <f>IFERROR(_xlfn.XLOOKUP($D197, SSP!$F:$F, SSP!$E:$E, "Inconnu"), "")</f>
        <v>Fièvre, frissons, hyperthermie</v>
      </c>
      <c r="P197" t="str">
        <f>IF(OR(E197="", O197=""), "", IF(LOWER(E197)=LOWER(O197), "OK", "⚠️ Libellé ≠ n°"))</f>
        <v>OK</v>
      </c>
      <c r="Q197" t="str">
        <f>IF(Feuil1!$E197="", "", IF(LOWER(Feuil1!$E197)=LOWER(E197), "Identique", "Différent"))</f>
        <v>Différent</v>
      </c>
      <c r="R197" t="str">
        <f>IF(OR(P197="⚠️ Libellé ≠ n°", O197="Inconnu"), "⚠️", IF(Q197="Différent", "ℹ️", ""))</f>
        <v>ℹ️</v>
      </c>
      <c r="S197" t="str" cm="1">
        <f t="array" ref="S197">_xlfn.LET(_xlpm.genCat,IFERROR(LOWER(TRIM(G197)),""),_xlpm.principal,IFERROR(LOWER(TRIM(H197)),""),_xlpm.orig,IFERROR(LOWER(TRIM(N197)),""),IF(OR(_xlpm.genCat="",_xlpm.principal=""),"",IF(LEFT(LOWER(G197),5)="autre","OK (Autre)",IF(OR(ISNUMBER(SEARCH(_xlpm.genCat,_xlpm.principal)),ISNUMBER(SEARCH(_xlpm.principal,_xlpm.genCat)),AND(_xlpm.orig&lt;&gt;"",OR(ISNUMBER(SEARCH(_xlpm.genCat,_xlpm.orig)),ISNUMBER(SEARCH(_xlpm.orig,_xlpm.genCat))))),"OK","⚠️ À vérifier"))))</f>
        <v>OK (Autre)</v>
      </c>
      <c r="T197" t="str">
        <f>IF(S197="","",IF(S197="OK (Autre)","Diagnostic générique = 'Autre – …'",IF(S197="OK","Concordance générique/principal","Écart entre générique et principal")))</f>
        <v>Diagnostic générique = 'Autre – …'</v>
      </c>
      <c r="U197" t="str" cm="1">
        <f t="array" ref="U197">_xlfn.LET(_xlpm.yr, A197, _xlpm.diag, IF(N197&lt;&gt;"", N197, H197), _xlpm.base, TRIM(SUBSTITUTE(SUBSTITUTE(SUBSTITUTE(SUBSTITUTE(_xlpm.diag,"•"," "),CHAR(160)," "),CHAR(10)," "),"  "," ")), LOWER(_xlpm.yr&amp;"|"&amp;_xlpm.base))</f>
        <v>2017|sarcoïdose</v>
      </c>
      <c r="V197" t="str">
        <f>IFERROR(_xlfn.XLOOKUP($AB197,'Cas 2013-2017'!$K:$K,'Cas 2013-2017'!$D:$D,""),"")</f>
        <v/>
      </c>
      <c r="W197" t="str">
        <f>IFERROR(_xlfn.XLOOKUP($AB197,'Cas 2013-2017'!$K:$K,'Cas 2013-2017'!$E:$E,""),"")</f>
        <v/>
      </c>
      <c r="X197" t="str">
        <f>IFERROR(_xlfn.XLOOKUP($AB197,'Cas 2013-2017'!$K:$K,'Cas 2013-2017'!$F:$F,""),"")</f>
        <v/>
      </c>
      <c r="Y197" t="str">
        <f>IFERROR(_xlfn.XLOOKUP($AB197,'Cas 2013-2017'!$K:$K,'Cas 2013-2017'!$G:$G,""),"")</f>
        <v/>
      </c>
      <c r="Z197" t="str">
        <f>IFERROR(_xlfn.XLOOKUP($AB197,'Cas 2013-2017'!$K:$K,'Cas 2013-2017'!$I:$I,""),"")</f>
        <v/>
      </c>
      <c r="AA197" t="str">
        <f>IFERROR(_xlfn.XLOOKUP($AB197,'Cas 2013-2017'!$K:$K,'Cas 2013-2017'!$H:$H,""),"")</f>
        <v/>
      </c>
      <c r="AB197" t="str">
        <f>LOWER($A197 &amp; "|" &amp; $AF197)</f>
        <v>2017|sarcoïdose</v>
      </c>
      <c r="AC197" t="str">
        <f>TRIM(SUBSTITUTE(SUBSTITUTE(SUBSTITUTE(SUBSTITUTE(" " &amp; LOWER(TRIM(IF($N197&lt;&gt;"", $N197, $H197))) &amp; " ", " aomi ", " arteriopathie des membres inferieurs "), " hta ", " hypertension arterielle "), " saos ", " syndrome d'apnees obstructives du sommeil "), " rgo ", " reflux gastro-oesophagien ") )</f>
        <v>sarcoïdose</v>
      </c>
      <c r="AD197" t="str">
        <f>TRIM(SUBSTITUTE(SUBSTITUTE(SUBSTITUTE(SUBSTITUTE(" " &amp; LOWER(TRIM($AC197)) &amp; " ", " oacr ", " occlusion de l'artere centrale de la retine "), " hsd ", " hematome sous-dural "), " fa ", " fibrillation auriculaire "), " ep ", " embolie pulmonaire ") )</f>
        <v>sarcoïdose</v>
      </c>
      <c r="AE197" t="str" cm="1">
        <f t="array" ref="AE197">_xlfn.LET(_xlpm.base, " " &amp; LOWER(TRIM($AD197))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sarcoïdose</v>
      </c>
      <c r="AF197" t="str" cm="1">
        <f t="array" ref="AF197">_xlfn.LET(_xlpm.base, " " &amp; LOWER(TRIM($AE197))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sarcoïdose</v>
      </c>
    </row>
    <row r="198" spans="1:32" ht="16.5">
      <c r="A198" s="8">
        <v>2017</v>
      </c>
      <c r="B198" s="10" t="s">
        <v>51</v>
      </c>
      <c r="C198" s="8" t="s">
        <v>33</v>
      </c>
      <c r="D198" s="20">
        <v>208</v>
      </c>
      <c r="E198" s="11" t="str">
        <f>IF(D198="","",IFERROR(INDEX(SSP!$E$2:$E$266, MATCH(D198, SSP!$F$2:$F$266, 0)),""))</f>
        <v>Brûlure</v>
      </c>
      <c r="F198" s="11" t="str">
        <f>Feuil1!E198</f>
        <v>Brûlure</v>
      </c>
      <c r="G198" s="12" t="s">
        <v>742</v>
      </c>
      <c r="H198" s="13" t="s">
        <v>743</v>
      </c>
      <c r="I198" s="13"/>
      <c r="J198" s="16" t="s">
        <v>165</v>
      </c>
      <c r="K198" s="9" t="s">
        <v>33</v>
      </c>
      <c r="L198" s="9" t="s">
        <v>33</v>
      </c>
      <c r="M198" s="9" t="s">
        <v>33</v>
      </c>
      <c r="N198" t="s">
        <v>743</v>
      </c>
      <c r="O198" t="str">
        <f>IFERROR(_xlfn.XLOOKUP($D198, SSP!$F:$F, SSP!$E:$E, "Inconnu"), "")</f>
        <v>Brûlure</v>
      </c>
      <c r="P198" t="str">
        <f>IF(OR(E198="", O198=""), "", IF(LOWER(E198)=LOWER(O198), "OK", "⚠️ Libellé ≠ n°"))</f>
        <v>OK</v>
      </c>
      <c r="Q198" t="str">
        <f>IF(Feuil1!$E198="", "", IF(LOWER(Feuil1!$E198)=LOWER(E198), "Identique", "Différent"))</f>
        <v>Identique</v>
      </c>
      <c r="R198" t="str">
        <f>IF(OR(P198="⚠️ Libellé ≠ n°", O198="Inconnu"), "⚠️", IF(Q198="Différent", "ℹ️", ""))</f>
        <v/>
      </c>
      <c r="S198" t="str" cm="1">
        <f t="array" ref="S198">_xlfn.LET(_xlpm.genCat,IFERROR(LOWER(TRIM(G198)),""),_xlpm.principal,IFERROR(LOWER(TRIM(H198)),""),_xlpm.orig,IFERROR(LOWER(TRIM(N198)),""),IF(OR(_xlpm.genCat="",_xlpm.principal=""),"",IF(LEFT(LOWER(G198),5)="autre","OK (Autre)",IF(OR(ISNUMBER(SEARCH(_xlpm.genCat,_xlpm.principal)),ISNUMBER(SEARCH(_xlpm.principal,_xlpm.genCat)),AND(_xlpm.orig&lt;&gt;"",OR(ISNUMBER(SEARCH(_xlpm.genCat,_xlpm.orig)),ISNUMBER(SEARCH(_xlpm.orig,_xlpm.genCat))))),"OK","⚠️ À vérifier"))))</f>
        <v>OK</v>
      </c>
      <c r="T198" t="str">
        <f>IF(S198="","",IF(S198="OK (Autre)","Diagnostic générique = 'Autre – …'",IF(S198="OK","Concordance générique/principal","Écart entre générique et principal")))</f>
        <v>Concordance générique/principal</v>
      </c>
      <c r="U198" t="str" cm="1">
        <f t="array" ref="U198">_xlfn.LET(_xlpm.yr, A198, _xlpm.diag, IF(N198&lt;&gt;"", N198, H198), _xlpm.base, TRIM(SUBSTITUTE(SUBSTITUTE(SUBSTITUTE(SUBSTITUTE(_xlpm.diag,"•"," "),CHAR(160)," "),CHAR(10)," "),"  "," ")), LOWER(_xlpm.yr&amp;"|"&amp;_xlpm.base))</f>
        <v>2017|brûlure (2ème degré)</v>
      </c>
      <c r="V198" t="str">
        <f>IFERROR(_xlfn.XLOOKUP($AB198,'Cas 2013-2017'!$K:$K,'Cas 2013-2017'!$D:$D,""),"")</f>
        <v/>
      </c>
      <c r="W198" t="str">
        <f>IFERROR(_xlfn.XLOOKUP($AB198,'Cas 2013-2017'!$K:$K,'Cas 2013-2017'!$E:$E,""),"")</f>
        <v/>
      </c>
      <c r="X198" t="str">
        <f>IFERROR(_xlfn.XLOOKUP($AB198,'Cas 2013-2017'!$K:$K,'Cas 2013-2017'!$F:$F,""),"")</f>
        <v/>
      </c>
      <c r="Y198" t="str">
        <f>IFERROR(_xlfn.XLOOKUP($AB198,'Cas 2013-2017'!$K:$K,'Cas 2013-2017'!$G:$G,""),"")</f>
        <v/>
      </c>
      <c r="Z198" t="str">
        <f>IFERROR(_xlfn.XLOOKUP($AB198,'Cas 2013-2017'!$K:$K,'Cas 2013-2017'!$I:$I,""),"")</f>
        <v/>
      </c>
      <c r="AA198" t="str">
        <f>IFERROR(_xlfn.XLOOKUP($AB198,'Cas 2013-2017'!$K:$K,'Cas 2013-2017'!$H:$H,""),"")</f>
        <v/>
      </c>
      <c r="AB198" t="str">
        <f>LOWER($A198 &amp; "|" &amp; $AF198)</f>
        <v>2017|brûlure (2ème degré)</v>
      </c>
      <c r="AC198" t="str">
        <f>TRIM(SUBSTITUTE(SUBSTITUTE(SUBSTITUTE(SUBSTITUTE(" " &amp; LOWER(TRIM(IF($N198&lt;&gt;"", $N198, $H198))) &amp; " ", " aomi ", " arteriopathie des membres inferieurs "), " hta ", " hypertension arterielle "), " saos ", " syndrome d'apnees obstructives du sommeil "), " rgo ", " reflux gastro-oesophagien ") )</f>
        <v>brûlure (2ème degré)</v>
      </c>
      <c r="AD198" t="str">
        <f>TRIM(SUBSTITUTE(SUBSTITUTE(SUBSTITUTE(SUBSTITUTE(" " &amp; LOWER(TRIM($AC198)) &amp; " ", " oacr ", " occlusion de l'artere centrale de la retine "), " hsd ", " hematome sous-dural "), " fa ", " fibrillation auriculaire "), " ep ", " embolie pulmonaire ") )</f>
        <v>brûlure (2ème degré)</v>
      </c>
      <c r="AE198" t="str" cm="1">
        <f t="array" ref="AE198">_xlfn.LET(_xlpm.base, " " &amp; LOWER(TRIM($AD198))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brûlure (2ème degré)</v>
      </c>
      <c r="AF198" t="str" cm="1">
        <f t="array" ref="AF198">_xlfn.LET(_xlpm.base, " " &amp; LOWER(TRIM($AE198))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brûlure (2ème degré)</v>
      </c>
    </row>
    <row r="199" spans="1:32" ht="267.75">
      <c r="A199" s="8">
        <v>2017</v>
      </c>
      <c r="B199" s="10" t="s">
        <v>87</v>
      </c>
      <c r="C199" s="8" t="s">
        <v>33</v>
      </c>
      <c r="D199" s="20">
        <v>55</v>
      </c>
      <c r="E199" s="11" t="str">
        <f>IF(D199="","",IFERROR(INDEX(SSP!$E$2:$E$266, MATCH(D199, SSP!$F$2:$F$266, 0)),""))</f>
        <v>Troubles du transit intestinal, incontinence, douleur à la défécation</v>
      </c>
      <c r="F199" s="11" t="str">
        <f>Feuil1!E199</f>
        <v>Incontinence</v>
      </c>
      <c r="G199" s="12" t="s">
        <v>152</v>
      </c>
      <c r="H199" s="13" t="s">
        <v>152</v>
      </c>
      <c r="I199" s="13"/>
      <c r="J199" s="16" t="s">
        <v>165</v>
      </c>
      <c r="K199" s="9" t="s">
        <v>744</v>
      </c>
      <c r="L199" s="9" t="s">
        <v>745</v>
      </c>
      <c r="M199" s="9" t="s">
        <v>746</v>
      </c>
      <c r="N199" t="s">
        <v>152</v>
      </c>
      <c r="O199" t="str">
        <f>IFERROR(_xlfn.XLOOKUP($D199, SSP!$F:$F, SSP!$E:$E, "Inconnu"), "")</f>
        <v>Troubles du transit intestinal, incontinence, douleur à la défécation</v>
      </c>
      <c r="P199" t="str">
        <f>IF(OR(E199="", O199=""), "", IF(LOWER(E199)=LOWER(O199), "OK", "⚠️ Libellé ≠ n°"))</f>
        <v>OK</v>
      </c>
      <c r="Q199" t="str">
        <f>IF(Feuil1!$E199="", "", IF(LOWER(Feuil1!$E199)=LOWER(E199), "Identique", "Différent"))</f>
        <v>Différent</v>
      </c>
      <c r="R199" t="str">
        <f>IF(OR(P199="⚠️ Libellé ≠ n°", O199="Inconnu"), "⚠️", IF(Q199="Différent", "ℹ️", ""))</f>
        <v>ℹ️</v>
      </c>
      <c r="S199" t="str" cm="1">
        <f t="array" ref="S199">_xlfn.LET(_xlpm.genCat,IFERROR(LOWER(TRIM(G199)),""),_xlpm.principal,IFERROR(LOWER(TRIM(H199)),""),_xlpm.orig,IFERROR(LOWER(TRIM(N199)),""),IF(OR(_xlpm.genCat="",_xlpm.principal=""),"",IF(LEFT(LOWER(G199),5)="autre","OK (Autre)",IF(OR(ISNUMBER(SEARCH(_xlpm.genCat,_xlpm.principal)),ISNUMBER(SEARCH(_xlpm.principal,_xlpm.genCat)),AND(_xlpm.orig&lt;&gt;"",OR(ISNUMBER(SEARCH(_xlpm.genCat,_xlpm.orig)),ISNUMBER(SEARCH(_xlpm.orig,_xlpm.genCat))))),"OK","⚠️ À vérifier"))))</f>
        <v>OK</v>
      </c>
      <c r="T199" t="str">
        <f>IF(S199="","",IF(S199="OK (Autre)","Diagnostic générique = 'Autre – …'",IF(S199="OK","Concordance générique/principal","Écart entre générique et principal")))</f>
        <v>Concordance générique/principal</v>
      </c>
      <c r="U199" t="str" cm="1">
        <f t="array" ref="U199">_xlfn.LET(_xlpm.yr, A199, _xlpm.diag, IF(N199&lt;&gt;"", N199, H199), _xlpm.base, TRIM(SUBSTITUTE(SUBSTITUTE(SUBSTITUTE(SUBSTITUTE(_xlpm.diag,"•"," "),CHAR(160)," "),CHAR(10)," "),"  "," ")), LOWER(_xlpm.yr&amp;"|"&amp;_xlpm.base))</f>
        <v>2017|incontinence urinaire</v>
      </c>
      <c r="V199">
        <f>IFERROR(_xlfn.XLOOKUP($AB199,'Cas 2013-2017'!$K:$K,'Cas 2013-2017'!$D:$D,""),"")</f>
        <v>0</v>
      </c>
      <c r="W199" t="str">
        <f>IFERROR(_xlfn.XLOOKUP($AB199,'Cas 2013-2017'!$K:$K,'Cas 2013-2017'!$E:$E,""),"")</f>
        <v>Médic à demander: diurétique, alphabloquant, anticholinergique, antidépresseurs, sédatif, antipsychotique, opiacé, anticalcique, antihistaminique, anti-parkinsonien • Différencier incontinence de stress, urgence ou mixte • Depuis quand? Constant/intermittent, progression? Dans quelles situations? (si toux, éternuements, sport) • Dysurie, pollakiurie, urgence, hématurie, difficultés à initier miction, jet faible... • Chercher hydrocéphalie à P normale: marche, démence • Constipation? • Voir impact sur le quotidien...</v>
      </c>
      <c r="X199" t="str">
        <f>IFERROR(_xlfn.XLOOKUP($AB199,'Cas 2013-2017'!$K:$K,'Cas 2013-2017'!$F:$F,""),"")</f>
        <v>Neuro, abdo</v>
      </c>
      <c r="Y199">
        <f>IFERROR(_xlfn.XLOOKUP($AB199,'Cas 2013-2017'!$K:$K,'Cas 2013-2017'!$G:$G,""),"")</f>
        <v>0</v>
      </c>
      <c r="Z199" t="str">
        <f>IFERROR(_xlfn.XLOOKUP($AB199,'Cas 2013-2017'!$K:$K,'Cas 2013-2017'!$I:$I,""),"")</f>
        <v>Selon cause • Protection • Pessaires • Physio pelvienne • Anticholinergique • ttt infection</v>
      </c>
      <c r="AA199" t="str">
        <f>IFERROR(_xlfn.XLOOKUP($AB199,'Cas 2013-2017'!$K:$K,'Cas 2013-2017'!$H:$H,""),"")</f>
        <v>Stix, créat, glucose, électrolytes • Calendrier mictionnel • US vésical, US prostatique • Cystoscopie, • Examen urodynamique</v>
      </c>
      <c r="AB199" t="str">
        <f>LOWER($A199 &amp; "|" &amp; $AF199)</f>
        <v>2017|incontinence urinaire</v>
      </c>
      <c r="AC199" t="str">
        <f>TRIM(SUBSTITUTE(SUBSTITUTE(SUBSTITUTE(SUBSTITUTE(" " &amp; LOWER(TRIM(IF($N199&lt;&gt;"", $N199, $H199))) &amp; " ", " aomi ", " arteriopathie des membres inferieurs "), " hta ", " hypertension arterielle "), " saos ", " syndrome d'apnees obstructives du sommeil "), " rgo ", " reflux gastro-oesophagien ") )</f>
        <v>incontinence urinaire</v>
      </c>
      <c r="AD199" t="str">
        <f>TRIM(SUBSTITUTE(SUBSTITUTE(SUBSTITUTE(SUBSTITUTE(" " &amp; LOWER(TRIM($AC199)) &amp; " ", " oacr ", " occlusion de l'artere centrale de la retine "), " hsd ", " hematome sous-dural "), " fa ", " fibrillation auriculaire "), " ep ", " embolie pulmonaire ") )</f>
        <v>incontinence urinaire</v>
      </c>
      <c r="AE199" t="str" cm="1">
        <f t="array" ref="AE199">_xlfn.LET(_xlpm.base, " " &amp; LOWER(TRIM($AD199))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incontinence urinaire</v>
      </c>
      <c r="AF199" t="str" cm="1">
        <f t="array" ref="AF199">_xlfn.LET(_xlpm.base, " " &amp; LOWER(TRIM($AE199))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incontinence urinaire</v>
      </c>
    </row>
    <row r="200" spans="1:32" ht="33.75">
      <c r="A200" s="8">
        <v>2017</v>
      </c>
      <c r="B200" s="10" t="s">
        <v>91</v>
      </c>
      <c r="C200" s="8" t="s">
        <v>33</v>
      </c>
      <c r="D200" s="20">
        <v>10</v>
      </c>
      <c r="E200" s="11" t="str">
        <f>IF(D200="","",IFERROR(INDEX(SSP!$E$2:$E$266, MATCH(D200, SSP!$F$2:$F$266, 0)),""))</f>
        <v>Douleur (toutes localisations et types confondus)</v>
      </c>
      <c r="F200" s="11" t="str">
        <f>Feuil1!E200</f>
        <v>Douleur périnéale</v>
      </c>
      <c r="G200" s="12" t="s">
        <v>160</v>
      </c>
      <c r="H200" s="13" t="s">
        <v>161</v>
      </c>
      <c r="I200" s="13" t="s">
        <v>561</v>
      </c>
      <c r="J200" s="15" t="s">
        <v>747</v>
      </c>
      <c r="K200" s="9" t="s">
        <v>748</v>
      </c>
      <c r="L200" s="9" t="s">
        <v>749</v>
      </c>
      <c r="M200" s="9" t="s">
        <v>750</v>
      </c>
      <c r="N200" t="s">
        <v>161</v>
      </c>
      <c r="O200" t="str">
        <f>IFERROR(_xlfn.XLOOKUP($D200, SSP!$F:$F, SSP!$E:$E, "Inconnu"), "")</f>
        <v>Douleur (toutes localisations et types confondus)</v>
      </c>
      <c r="P200" t="str">
        <f>IF(OR(E200="", O200=""), "", IF(LOWER(E200)=LOWER(O200), "OK", "⚠️ Libellé ≠ n°"))</f>
        <v>OK</v>
      </c>
      <c r="Q200" t="str">
        <f>IF(Feuil1!$E200="", "", IF(LOWER(Feuil1!$E200)=LOWER(E200), "Identique", "Différent"))</f>
        <v>Différent</v>
      </c>
      <c r="R200" t="str">
        <f>IF(OR(P200="⚠️ Libellé ≠ n°", O200="Inconnu"), "⚠️", IF(Q200="Différent", "ℹ️", ""))</f>
        <v>ℹ️</v>
      </c>
      <c r="S200" t="str" cm="1">
        <f t="array" ref="S200">_xlfn.LET(_xlpm.genCat,IFERROR(LOWER(TRIM(G200)),""),_xlpm.principal,IFERROR(LOWER(TRIM(H200)),""),_xlpm.orig,IFERROR(LOWER(TRIM(N200)),""),IF(OR(_xlpm.genCat="",_xlpm.principal=""),"",IF(LEFT(LOWER(G200),5)="autre","OK (Autre)",IF(OR(ISNUMBER(SEARCH(_xlpm.genCat,_xlpm.principal)),ISNUMBER(SEARCH(_xlpm.principal,_xlpm.genCat)),AND(_xlpm.orig&lt;&gt;"",OR(ISNUMBER(SEARCH(_xlpm.genCat,_xlpm.orig)),ISNUMBER(SEARCH(_xlpm.orig,_xlpm.genCat))))),"OK","⚠️ À vérifier"))))</f>
        <v>OK (Autre)</v>
      </c>
      <c r="T200" t="str">
        <f>IF(S200="","",IF(S200="OK (Autre)","Diagnostic générique = 'Autre – …'",IF(S200="OK","Concordance générique/principal","Écart entre générique et principal")))</f>
        <v>Diagnostic générique = 'Autre – …'</v>
      </c>
      <c r="U200" t="str" cm="1">
        <f t="array" ref="U200">_xlfn.LET(_xlpm.yr, A200, _xlpm.diag, IF(N200&lt;&gt;"", N200, H200), _xlpm.base, TRIM(SUBSTITUTE(SUBSTITUTE(SUBSTITUTE(SUBSTITUTE(_xlpm.diag,"•"," "),CHAR(160)," "),CHAR(10)," "),"  "," ")), LOWER(_xlpm.yr&amp;"|"&amp;_xlpm.base))</f>
        <v>2017|prostatite</v>
      </c>
      <c r="V200" t="str">
        <f>IFERROR(_xlfn.XLOOKUP($AB200,'Cas 2013-2017'!$K:$K,'Cas 2013-2017'!$D:$D,""),"")</f>
        <v>IU basse chez l’homme d'âge moyen =&gt; ne pas oublier TR</v>
      </c>
      <c r="W200" t="str">
        <f>IFERROR(_xlfn.XLOOKUP($AB200,'Cas 2013-2017'!$K:$K,'Cas 2013-2017'!$E:$E,""),"")</f>
        <v>Dysurie, pollakiurie, urgence, hématurie, dlr loges rénales, fièvre, frissons? dlr périnéale, pire à la défécation • Anamnèse sexuelle • Intervention uro récente? • Douleur à l’éjaculation • Sympt de HBP</v>
      </c>
      <c r="X200" t="str">
        <f>IFERROR(_xlfn.XLOOKUP($AB200,'Cas 2013-2017'!$K:$K,'Cas 2013-2017'!$F:$F,""),"")</f>
        <v>Abdo: TR!! • loges rénales</v>
      </c>
      <c r="Y200" t="str">
        <f>IFERROR(_xlfn.XLOOKUP($AB200,'Cas 2013-2017'!$K:$K,'Cas 2013-2017'!$G:$G,""),"")</f>
        <v>Pyélonéphrite</v>
      </c>
      <c r="Z200" t="str">
        <f>IFERROR(_xlfn.XLOOKUP($AB200,'Cas 2013-2017'!$K:$K,'Cas 2013-2017'!$I:$I,""),"")</f>
        <v>Ciprofloxacine si risque IST faible • Sinon ceftriaxone, doxy</v>
      </c>
      <c r="AA200" t="str">
        <f>IFERROR(_xlfn.XLOOKUP($AB200,'Cas 2013-2017'!$K:$K,'Cas 2013-2017'!$H:$H,""),"")</f>
        <v>Stix, culture • Labo: FSC, VS, CRP, créat, électrolytes • Frottis pour chlamydia, gono si risque</v>
      </c>
      <c r="AB200" t="str">
        <f>LOWER($A200 &amp; "|" &amp; $AF200)</f>
        <v>2017|prostatite</v>
      </c>
      <c r="AC200" t="str">
        <f>TRIM(SUBSTITUTE(SUBSTITUTE(SUBSTITUTE(SUBSTITUTE(" " &amp; LOWER(TRIM(IF($N200&lt;&gt;"", $N200, $H200))) &amp; " ", " aomi ", " arteriopathie des membres inferieurs "), " hta ", " hypertension arterielle "), " saos ", " syndrome d'apnees obstructives du sommeil "), " rgo ", " reflux gastro-oesophagien ") )</f>
        <v>prostatite</v>
      </c>
      <c r="AD200" t="str">
        <f>TRIM(SUBSTITUTE(SUBSTITUTE(SUBSTITUTE(SUBSTITUTE(" " &amp; LOWER(TRIM($AC200)) &amp; " ", " oacr ", " occlusion de l'artere centrale de la retine "), " hsd ", " hematome sous-dural "), " fa ", " fibrillation auriculaire "), " ep ", " embolie pulmonaire ") )</f>
        <v>prostatite</v>
      </c>
      <c r="AE200" t="str" cm="1">
        <f t="array" ref="AE200">_xlfn.LET(_xlpm.base, " " &amp; LOWER(TRIM($AD200))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prostatite</v>
      </c>
      <c r="AF200" t="str" cm="1">
        <f t="array" ref="AF200">_xlfn.LET(_xlpm.base, " " &amp; LOWER(TRIM($AE200))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prostatite</v>
      </c>
    </row>
    <row r="201" spans="1:32" ht="16.5">
      <c r="A201" s="8">
        <v>2019</v>
      </c>
      <c r="B201" s="10" t="s">
        <v>64</v>
      </c>
      <c r="C201" s="8" t="s">
        <v>33</v>
      </c>
      <c r="D201" s="20">
        <v>4</v>
      </c>
      <c r="E201" s="11" t="str">
        <f>IF(D201="","",IFERROR(INDEX(SSP!$E$2:$E$266, MATCH(D201, SSP!$F$2:$F$266, 0)),""))</f>
        <v>Fatigue, asthénie</v>
      </c>
      <c r="F201" s="11" t="str">
        <f>Feuil1!E201</f>
        <v>Fatigue</v>
      </c>
      <c r="G201" s="12" t="s">
        <v>218</v>
      </c>
      <c r="H201" s="13" t="s">
        <v>751</v>
      </c>
      <c r="I201" s="13"/>
      <c r="J201" s="15" t="s">
        <v>752</v>
      </c>
      <c r="K201" s="9" t="s">
        <v>33</v>
      </c>
      <c r="L201" s="9" t="s">
        <v>33</v>
      </c>
      <c r="M201" s="9" t="s">
        <v>33</v>
      </c>
      <c r="N201" t="s">
        <v>751</v>
      </c>
      <c r="O201" t="str">
        <f>IFERROR(_xlfn.XLOOKUP($D201, SSP!$F:$F, SSP!$E:$E, "Inconnu"), "")</f>
        <v>Fatigue, asthénie</v>
      </c>
      <c r="P201" t="str">
        <f>IF(OR(E201="", O201=""), "", IF(LOWER(E201)=LOWER(O201), "OK", "⚠️ Libellé ≠ n°"))</f>
        <v>OK</v>
      </c>
      <c r="Q201" t="str">
        <f>IF(Feuil1!$E201="", "", IF(LOWER(Feuil1!$E201)=LOWER(E201), "Identique", "Différent"))</f>
        <v>Différent</v>
      </c>
      <c r="R201" t="str">
        <f>IF(OR(P201="⚠️ Libellé ≠ n°", O201="Inconnu"), "⚠️", IF(Q201="Différent", "ℹ️", ""))</f>
        <v>ℹ️</v>
      </c>
      <c r="S201" t="str" cm="1">
        <f t="array" ref="S201">_xlfn.LET(_xlpm.genCat,IFERROR(LOWER(TRIM(G201)),""),_xlpm.principal,IFERROR(LOWER(TRIM(H201)),""),_xlpm.orig,IFERROR(LOWER(TRIM(N201)),""),IF(OR(_xlpm.genCat="",_xlpm.principal=""),"",IF(LEFT(LOWER(G201),5)="autre","OK (Autre)",IF(OR(ISNUMBER(SEARCH(_xlpm.genCat,_xlpm.principal)),ISNUMBER(SEARCH(_xlpm.principal,_xlpm.genCat)),AND(_xlpm.orig&lt;&gt;"",OR(ISNUMBER(SEARCH(_xlpm.genCat,_xlpm.orig)),ISNUMBER(SEARCH(_xlpm.orig,_xlpm.genCat))))),"OK","⚠️ À vérifier"))))</f>
        <v>OK</v>
      </c>
      <c r="T201" t="str">
        <f>IF(S201="","",IF(S201="OK (Autre)","Diagnostic générique = 'Autre – …'",IF(S201="OK","Concordance générique/principal","Écart entre générique et principal")))</f>
        <v>Concordance générique/principal</v>
      </c>
      <c r="U201" t="str" cm="1">
        <f t="array" ref="U201">_xlfn.LET(_xlpm.yr, A201, _xlpm.diag, IF(N201&lt;&gt;"", N201, H201), _xlpm.base, TRIM(SUBSTITUTE(SUBSTITUTE(SUBSTITUTE(SUBSTITUTE(_xlpm.diag,"•"," "),CHAR(160)," "),CHAR(10)," "),"  "," ")), LOWER(_xlpm.yr&amp;"|"&amp;_xlpm.base))</f>
        <v>2019|anémie et souffle</v>
      </c>
      <c r="V201" t="str">
        <f>IFERROR(_xlfn.XLOOKUP($AB201,'Cas 2013-2017'!$K:$K,'Cas 2013-2017'!$D:$D,""),"")</f>
        <v/>
      </c>
      <c r="W201" t="str">
        <f>IFERROR(_xlfn.XLOOKUP($AB201,'Cas 2013-2017'!$K:$K,'Cas 2013-2017'!$E:$E,""),"")</f>
        <v/>
      </c>
      <c r="X201" t="str">
        <f>IFERROR(_xlfn.XLOOKUP($AB201,'Cas 2013-2017'!$K:$K,'Cas 2013-2017'!$F:$F,""),"")</f>
        <v/>
      </c>
      <c r="Y201" t="str">
        <f>IFERROR(_xlfn.XLOOKUP($AB201,'Cas 2013-2017'!$K:$K,'Cas 2013-2017'!$G:$G,""),"")</f>
        <v/>
      </c>
      <c r="Z201" t="str">
        <f>IFERROR(_xlfn.XLOOKUP($AB201,'Cas 2013-2017'!$K:$K,'Cas 2013-2017'!$I:$I,""),"")</f>
        <v/>
      </c>
      <c r="AA201" t="str">
        <f>IFERROR(_xlfn.XLOOKUP($AB201,'Cas 2013-2017'!$K:$K,'Cas 2013-2017'!$H:$H,""),"")</f>
        <v/>
      </c>
      <c r="AB201" t="str">
        <f>LOWER($A201 &amp; "|" &amp; $AF201)</f>
        <v>2019|anémie et souffle</v>
      </c>
      <c r="AC201" t="str">
        <f>TRIM(SUBSTITUTE(SUBSTITUTE(SUBSTITUTE(SUBSTITUTE(" " &amp; LOWER(TRIM(IF($N201&lt;&gt;"", $N201, $H201))) &amp; " ", " aomi ", " arteriopathie des membres inferieurs "), " hta ", " hypertension arterielle "), " saos ", " syndrome d'apnees obstructives du sommeil "), " rgo ", " reflux gastro-oesophagien ") )</f>
        <v>anémie et souffle</v>
      </c>
      <c r="AD201" t="str">
        <f>TRIM(SUBSTITUTE(SUBSTITUTE(SUBSTITUTE(SUBSTITUTE(" " &amp; LOWER(TRIM($AC201)) &amp; " ", " oacr ", " occlusion de l'artere centrale de la retine "), " hsd ", " hematome sous-dural "), " fa ", " fibrillation auriculaire "), " ep ", " embolie pulmonaire ") )</f>
        <v>anémie et souffle</v>
      </c>
      <c r="AE201" t="str" cm="1">
        <f t="array" ref="AE201">_xlfn.LET(_xlpm.base, " " &amp; LOWER(TRIM($AD201))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anémie et souffle</v>
      </c>
      <c r="AF201" t="str" cm="1">
        <f t="array" ref="AF201">_xlfn.LET(_xlpm.base, " " &amp; LOWER(TRIM($AE201))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anémie et souffle</v>
      </c>
    </row>
    <row r="202" spans="1:32" ht="33.75">
      <c r="A202" s="8">
        <v>2019</v>
      </c>
      <c r="B202" s="10" t="s">
        <v>32</v>
      </c>
      <c r="C202" s="8" t="s">
        <v>33</v>
      </c>
      <c r="D202" s="20">
        <v>149</v>
      </c>
      <c r="E202" s="11" t="str">
        <f>IF(D202="","",IFERROR(INDEX(SSP!$E$2:$E$266, MATCH(D202, SSP!$F$2:$F$266, 0)),""))</f>
        <v>Perte transitoire de conscience, syncope</v>
      </c>
      <c r="F202" s="11" t="str">
        <f>Feuil1!E202</f>
        <v>Syncope</v>
      </c>
      <c r="G202" s="12" t="s">
        <v>753</v>
      </c>
      <c r="H202" s="13" t="s">
        <v>754</v>
      </c>
      <c r="I202" s="13"/>
      <c r="J202" s="15" t="s">
        <v>755</v>
      </c>
      <c r="K202" s="9" t="s">
        <v>33</v>
      </c>
      <c r="L202" s="9" t="s">
        <v>33</v>
      </c>
      <c r="M202" s="9" t="s">
        <v>33</v>
      </c>
      <c r="N202" t="s">
        <v>756</v>
      </c>
      <c r="O202" t="str">
        <f>IFERROR(_xlfn.XLOOKUP($D202, SSP!$F:$F, SSP!$E:$E, "Inconnu"), "")</f>
        <v>Perte transitoire de conscience, syncope</v>
      </c>
      <c r="P202" t="str">
        <f>IF(OR(E202="", O202=""), "", IF(LOWER(E202)=LOWER(O202), "OK", "⚠️ Libellé ≠ n°"))</f>
        <v>OK</v>
      </c>
      <c r="Q202" t="str">
        <f>IF(Feuil1!$E202="", "", IF(LOWER(Feuil1!$E202)=LOWER(E202), "Identique", "Différent"))</f>
        <v>Différent</v>
      </c>
      <c r="R202" t="str">
        <f>IF(OR(P202="⚠️ Libellé ≠ n°", O202="Inconnu"), "⚠️", IF(Q202="Différent", "ℹ️", ""))</f>
        <v>ℹ️</v>
      </c>
      <c r="S202" t="str" cm="1">
        <f t="array" ref="S202">_xlfn.LET(_xlpm.genCat,IFERROR(LOWER(TRIM(G202)),""),_xlpm.principal,IFERROR(LOWER(TRIM(H202)),""),_xlpm.orig,IFERROR(LOWER(TRIM(N202)),""),IF(OR(_xlpm.genCat="",_xlpm.principal=""),"",IF(LEFT(LOWER(G202),5)="autre","OK (Autre)",IF(OR(ISNUMBER(SEARCH(_xlpm.genCat,_xlpm.principal)),ISNUMBER(SEARCH(_xlpm.principal,_xlpm.genCat)),AND(_xlpm.orig&lt;&gt;"",OR(ISNUMBER(SEARCH(_xlpm.genCat,_xlpm.orig)),ISNUMBER(SEARCH(_xlpm.orig,_xlpm.genCat))))),"OK","⚠️ À vérifier"))))</f>
        <v>⚠️ À vérifier</v>
      </c>
      <c r="T202" t="str">
        <f>IF(S202="","",IF(S202="OK (Autre)","Diagnostic générique = 'Autre – …'",IF(S202="OK","Concordance générique/principal","Écart entre générique et principal")))</f>
        <v>Écart entre générique et principal</v>
      </c>
      <c r="U202" t="str" cm="1">
        <f t="array" ref="U202">_xlfn.LET(_xlpm.yr, A202, _xlpm.diag, IF(N202&lt;&gt;"", N202, H202), _xlpm.base, TRIM(SUBSTITUTE(SUBSTITUTE(SUBSTITUTE(SUBSTITUTE(_xlpm.diag,"•"," "),CHAR(160)," "),CHAR(10)," "),"  "," ")), LOWER(_xlpm.yr&amp;"|"&amp;_xlpm.base))</f>
        <v>2019|bav (3ème degré)</v>
      </c>
      <c r="V202" t="str">
        <f>IFERROR(_xlfn.XLOOKUP($AB202,'Cas 2013-2017'!$K:$K,'Cas 2013-2017'!$D:$D,""),"")</f>
        <v/>
      </c>
      <c r="W202" t="str">
        <f>IFERROR(_xlfn.XLOOKUP($AB202,'Cas 2013-2017'!$K:$K,'Cas 2013-2017'!$E:$E,""),"")</f>
        <v/>
      </c>
      <c r="X202" t="str">
        <f>IFERROR(_xlfn.XLOOKUP($AB202,'Cas 2013-2017'!$K:$K,'Cas 2013-2017'!$F:$F,""),"")</f>
        <v/>
      </c>
      <c r="Y202" t="str">
        <f>IFERROR(_xlfn.XLOOKUP($AB202,'Cas 2013-2017'!$K:$K,'Cas 2013-2017'!$G:$G,""),"")</f>
        <v/>
      </c>
      <c r="Z202" t="str">
        <f>IFERROR(_xlfn.XLOOKUP($AB202,'Cas 2013-2017'!$K:$K,'Cas 2013-2017'!$I:$I,""),"")</f>
        <v/>
      </c>
      <c r="AA202" t="str">
        <f>IFERROR(_xlfn.XLOOKUP($AB202,'Cas 2013-2017'!$K:$K,'Cas 2013-2017'!$H:$H,""),"")</f>
        <v/>
      </c>
      <c r="AB202" t="str">
        <f>LOWER($A202 &amp; "|" &amp; $AF202)</f>
        <v>2019|bav (3ème degré)</v>
      </c>
      <c r="AC202" t="str">
        <f>TRIM(SUBSTITUTE(SUBSTITUTE(SUBSTITUTE(SUBSTITUTE(" " &amp; LOWER(TRIM(IF($N202&lt;&gt;"", $N202, $H202))) &amp; " ", " aomi ", " arteriopathie des membres inferieurs "), " hta ", " hypertension arterielle "), " saos ", " syndrome d'apnees obstructives du sommeil "), " rgo ", " reflux gastro-oesophagien ") )</f>
        <v>bav (3ème degré)</v>
      </c>
      <c r="AD202" t="str">
        <f>TRIM(SUBSTITUTE(SUBSTITUTE(SUBSTITUTE(SUBSTITUTE(" " &amp; LOWER(TRIM($AC202)) &amp; " ", " oacr ", " occlusion de l'artere centrale de la retine "), " hsd ", " hematome sous-dural "), " fa ", " fibrillation auriculaire "), " ep ", " embolie pulmonaire ") )</f>
        <v>bav (3ème degré)</v>
      </c>
      <c r="AE202" t="str" cm="1">
        <f t="array" ref="AE202">_xlfn.LET(_xlpm.base, " " &amp; LOWER(TRIM($AD202))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bav (3ème degré)</v>
      </c>
      <c r="AF202" t="str" cm="1">
        <f t="array" ref="AF202">_xlfn.LET(_xlpm.base, " " &amp; LOWER(TRIM($AE202))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bav (3ème degré)</v>
      </c>
    </row>
    <row r="203" spans="1:32" ht="33.75">
      <c r="A203" s="8">
        <v>2019</v>
      </c>
      <c r="B203" s="10" t="s">
        <v>32</v>
      </c>
      <c r="C203" s="8" t="s">
        <v>33</v>
      </c>
      <c r="D203" s="20">
        <v>149</v>
      </c>
      <c r="E203" s="11" t="str">
        <f>IF(D203="","",IFERROR(INDEX(SSP!$E$2:$E$266, MATCH(D203, SSP!$F$2:$F$266, 0)),""))</f>
        <v>Perte transitoire de conscience, syncope</v>
      </c>
      <c r="F203" s="11" t="str">
        <f>Feuil1!E203</f>
        <v>Syncope</v>
      </c>
      <c r="G203" s="12" t="s">
        <v>757</v>
      </c>
      <c r="H203" s="13" t="s">
        <v>757</v>
      </c>
      <c r="I203" s="13"/>
      <c r="J203" s="15" t="s">
        <v>758</v>
      </c>
      <c r="K203" s="9" t="s">
        <v>33</v>
      </c>
      <c r="L203" s="9" t="s">
        <v>33</v>
      </c>
      <c r="M203" s="9" t="s">
        <v>33</v>
      </c>
      <c r="N203" t="s">
        <v>757</v>
      </c>
      <c r="O203" t="str">
        <f>IFERROR(_xlfn.XLOOKUP($D203, SSP!$F:$F, SSP!$E:$E, "Inconnu"), "")</f>
        <v>Perte transitoire de conscience, syncope</v>
      </c>
      <c r="P203" t="str">
        <f>IF(OR(E203="", O203=""), "", IF(LOWER(E203)=LOWER(O203), "OK", "⚠️ Libellé ≠ n°"))</f>
        <v>OK</v>
      </c>
      <c r="Q203" t="str">
        <f>IF(Feuil1!$E203="", "", IF(LOWER(Feuil1!$E203)=LOWER(E203), "Identique", "Différent"))</f>
        <v>Différent</v>
      </c>
      <c r="R203" t="str">
        <f>IF(OR(P203="⚠️ Libellé ≠ n°", O203="Inconnu"), "⚠️", IF(Q203="Différent", "ℹ️", ""))</f>
        <v>ℹ️</v>
      </c>
      <c r="S203" t="str" cm="1">
        <f t="array" ref="S203">_xlfn.LET(_xlpm.genCat,IFERROR(LOWER(TRIM(G203)),""),_xlpm.principal,IFERROR(LOWER(TRIM(H203)),""),_xlpm.orig,IFERROR(LOWER(TRIM(N203)),""),IF(OR(_xlpm.genCat="",_xlpm.principal=""),"",IF(LEFT(LOWER(G203),5)="autre","OK (Autre)",IF(OR(ISNUMBER(SEARCH(_xlpm.genCat,_xlpm.principal)),ISNUMBER(SEARCH(_xlpm.principal,_xlpm.genCat)),AND(_xlpm.orig&lt;&gt;"",OR(ISNUMBER(SEARCH(_xlpm.genCat,_xlpm.orig)),ISNUMBER(SEARCH(_xlpm.orig,_xlpm.genCat))))),"OK","⚠️ À vérifier"))))</f>
        <v>OK</v>
      </c>
      <c r="T203" t="str">
        <f>IF(S203="","",IF(S203="OK (Autre)","Diagnostic générique = 'Autre – …'",IF(S203="OK","Concordance générique/principal","Écart entre générique et principal")))</f>
        <v>Concordance générique/principal</v>
      </c>
      <c r="U203" t="str" cm="1">
        <f t="array" ref="U203">_xlfn.LET(_xlpm.yr, A203, _xlpm.diag, IF(N203&lt;&gt;"", N203, H203), _xlpm.base, TRIM(SUBSTITUTE(SUBSTITUTE(SUBSTITUTE(SUBSTITUTE(_xlpm.diag,"•"," "),CHAR(160)," "),CHAR(10)," "),"  "," ")), LOWER(_xlpm.yr&amp;"|"&amp;_xlpm.base))</f>
        <v>2019|syncope</v>
      </c>
      <c r="V203" t="str">
        <f>IFERROR(_xlfn.XLOOKUP($AB203,'Cas 2013-2017'!$K:$K,'Cas 2013-2017'!$D:$D,""),"")</f>
        <v/>
      </c>
      <c r="W203" t="str">
        <f>IFERROR(_xlfn.XLOOKUP($AB203,'Cas 2013-2017'!$K:$K,'Cas 2013-2017'!$E:$E,""),"")</f>
        <v/>
      </c>
      <c r="X203" t="str">
        <f>IFERROR(_xlfn.XLOOKUP($AB203,'Cas 2013-2017'!$K:$K,'Cas 2013-2017'!$F:$F,""),"")</f>
        <v/>
      </c>
      <c r="Y203" t="str">
        <f>IFERROR(_xlfn.XLOOKUP($AB203,'Cas 2013-2017'!$K:$K,'Cas 2013-2017'!$G:$G,""),"")</f>
        <v/>
      </c>
      <c r="Z203" t="str">
        <f>IFERROR(_xlfn.XLOOKUP($AB203,'Cas 2013-2017'!$K:$K,'Cas 2013-2017'!$I:$I,""),"")</f>
        <v/>
      </c>
      <c r="AA203" t="str">
        <f>IFERROR(_xlfn.XLOOKUP($AB203,'Cas 2013-2017'!$K:$K,'Cas 2013-2017'!$H:$H,""),"")</f>
        <v/>
      </c>
      <c r="AB203" t="str">
        <f>LOWER($A203 &amp; "|" &amp; $AF203)</f>
        <v>2019|syncope</v>
      </c>
      <c r="AC203" t="str">
        <f>TRIM(SUBSTITUTE(SUBSTITUTE(SUBSTITUTE(SUBSTITUTE(" " &amp; LOWER(TRIM(IF($N203&lt;&gt;"", $N203, $H203))) &amp; " ", " aomi ", " arteriopathie des membres inferieurs "), " hta ", " hypertension arterielle "), " saos ", " syndrome d'apnees obstructives du sommeil "), " rgo ", " reflux gastro-oesophagien ") )</f>
        <v>syncope</v>
      </c>
      <c r="AD203" t="str">
        <f>TRIM(SUBSTITUTE(SUBSTITUTE(SUBSTITUTE(SUBSTITUTE(" " &amp; LOWER(TRIM($AC203)) &amp; " ", " oacr ", " occlusion de l'artere centrale de la retine "), " hsd ", " hematome sous-dural "), " fa ", " fibrillation auriculaire "), " ep ", " embolie pulmonaire ") )</f>
        <v>syncope</v>
      </c>
      <c r="AE203" t="str" cm="1">
        <f t="array" ref="AE203">_xlfn.LET(_xlpm.base, " " &amp; LOWER(TRIM($AD203))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syncope</v>
      </c>
      <c r="AF203" t="str" cm="1">
        <f t="array" ref="AF203">_xlfn.LET(_xlpm.base, " " &amp; LOWER(TRIM($AE203))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syncope</v>
      </c>
    </row>
    <row r="204" spans="1:32" ht="50.25">
      <c r="A204" s="8">
        <v>2019</v>
      </c>
      <c r="B204" s="10" t="s">
        <v>51</v>
      </c>
      <c r="C204" s="8" t="s">
        <v>33</v>
      </c>
      <c r="D204" s="20">
        <v>93</v>
      </c>
      <c r="E204" s="11" t="str">
        <f>IF(D204="","",IFERROR(INDEX(SSP!$E$2:$E$266, MATCH(D204, SSP!$F$2:$F$266, 0)),""))</f>
        <v>Macules, papules, pustules, vésicules, ulcères, abcès, bulles, épaississement cutané, nécrose, tumeur cutanée</v>
      </c>
      <c r="F204" s="11" t="str">
        <f>Feuil1!E204</f>
        <v>Éruption cutanée</v>
      </c>
      <c r="G204" s="12" t="s">
        <v>759</v>
      </c>
      <c r="H204" s="13" t="s">
        <v>760</v>
      </c>
      <c r="I204" s="13"/>
      <c r="J204" s="15" t="s">
        <v>761</v>
      </c>
      <c r="K204" s="9" t="s">
        <v>762</v>
      </c>
      <c r="L204" s="9" t="s">
        <v>33</v>
      </c>
      <c r="M204" s="9" t="s">
        <v>33</v>
      </c>
      <c r="N204" t="s">
        <v>760</v>
      </c>
      <c r="O204" t="str">
        <f>IFERROR(_xlfn.XLOOKUP($D204, SSP!$F:$F, SSP!$E:$E, "Inconnu"), "")</f>
        <v>Macules, papules, pustules, vésicules, ulcères, abcès, bulles, épaississement cutané, nécrose, tumeur cutanée</v>
      </c>
      <c r="P204" t="str">
        <f>IF(OR(E204="", O204=""), "", IF(LOWER(E204)=LOWER(O204), "OK", "⚠️ Libellé ≠ n°"))</f>
        <v>OK</v>
      </c>
      <c r="Q204" t="str">
        <f>IF(Feuil1!$E204="", "", IF(LOWER(Feuil1!$E204)=LOWER(E204), "Identique", "Différent"))</f>
        <v>Différent</v>
      </c>
      <c r="R204" t="str">
        <f>IF(OR(P204="⚠️ Libellé ≠ n°", O204="Inconnu"), "⚠️", IF(Q204="Différent", "ℹ️", ""))</f>
        <v>ℹ️</v>
      </c>
      <c r="S204" t="str" cm="1">
        <f t="array" ref="S204">_xlfn.LET(_xlpm.genCat,IFERROR(LOWER(TRIM(G204)),""),_xlpm.principal,IFERROR(LOWER(TRIM(H204)),""),_xlpm.orig,IFERROR(LOWER(TRIM(N204)),""),IF(OR(_xlpm.genCat="",_xlpm.principal=""),"",IF(LEFT(LOWER(G204),5)="autre","OK (Autre)",IF(OR(ISNUMBER(SEARCH(_xlpm.genCat,_xlpm.principal)),ISNUMBER(SEARCH(_xlpm.principal,_xlpm.genCat)),AND(_xlpm.orig&lt;&gt;"",OR(ISNUMBER(SEARCH(_xlpm.genCat,_xlpm.orig)),ISNUMBER(SEARCH(_xlpm.orig,_xlpm.genCat))))),"OK","⚠️ À vérifier"))))</f>
        <v>⚠️ À vérifier</v>
      </c>
      <c r="T204" t="str">
        <f>IF(S204="","",IF(S204="OK (Autre)","Diagnostic générique = 'Autre – …'",IF(S204="OK","Concordance générique/principal","Écart entre générique et principal")))</f>
        <v>Écart entre générique et principal</v>
      </c>
      <c r="U204" t="str" cm="1">
        <f t="array" ref="U204">_xlfn.LET(_xlpm.yr, A204, _xlpm.diag, IF(N204&lt;&gt;"", N204, H204), _xlpm.base, TRIM(SUBSTITUTE(SUBSTITUTE(SUBSTITUTE(SUBSTITUTE(_xlpm.diag,"•"," "),CHAR(160)," "),CHAR(10)," "),"  "," ")), LOWER(_xlpm.yr&amp;"|"&amp;_xlpm.base))</f>
        <v>2019|lésions bulleuses</v>
      </c>
      <c r="V204" t="str">
        <f>IFERROR(_xlfn.XLOOKUP($AB204,'Cas 2013-2017'!$K:$K,'Cas 2013-2017'!$D:$D,""),"")</f>
        <v/>
      </c>
      <c r="W204" t="str">
        <f>IFERROR(_xlfn.XLOOKUP($AB204,'Cas 2013-2017'!$K:$K,'Cas 2013-2017'!$E:$E,""),"")</f>
        <v/>
      </c>
      <c r="X204" t="str">
        <f>IFERROR(_xlfn.XLOOKUP($AB204,'Cas 2013-2017'!$K:$K,'Cas 2013-2017'!$F:$F,""),"")</f>
        <v/>
      </c>
      <c r="Y204" t="str">
        <f>IFERROR(_xlfn.XLOOKUP($AB204,'Cas 2013-2017'!$K:$K,'Cas 2013-2017'!$G:$G,""),"")</f>
        <v/>
      </c>
      <c r="Z204" t="str">
        <f>IFERROR(_xlfn.XLOOKUP($AB204,'Cas 2013-2017'!$K:$K,'Cas 2013-2017'!$I:$I,""),"")</f>
        <v/>
      </c>
      <c r="AA204" t="str">
        <f>IFERROR(_xlfn.XLOOKUP($AB204,'Cas 2013-2017'!$K:$K,'Cas 2013-2017'!$H:$H,""),"")</f>
        <v/>
      </c>
      <c r="AB204" t="str">
        <f>LOWER($A204 &amp; "|" &amp; $AF204)</f>
        <v>2019|lésions bulleuses</v>
      </c>
      <c r="AC204" t="str">
        <f>TRIM(SUBSTITUTE(SUBSTITUTE(SUBSTITUTE(SUBSTITUTE(" " &amp; LOWER(TRIM(IF($N204&lt;&gt;"", $N204, $H204))) &amp; " ", " aomi ", " arteriopathie des membres inferieurs "), " hta ", " hypertension arterielle "), " saos ", " syndrome d'apnees obstructives du sommeil "), " rgo ", " reflux gastro-oesophagien ") )</f>
        <v>lésions bulleuses</v>
      </c>
      <c r="AD204" t="str">
        <f>TRIM(SUBSTITUTE(SUBSTITUTE(SUBSTITUTE(SUBSTITUTE(" " &amp; LOWER(TRIM($AC204)) &amp; " ", " oacr ", " occlusion de l'artere centrale de la retine "), " hsd ", " hematome sous-dural "), " fa ", " fibrillation auriculaire "), " ep ", " embolie pulmonaire ") )</f>
        <v>lésions bulleuses</v>
      </c>
      <c r="AE204" t="str" cm="1">
        <f t="array" ref="AE204">_xlfn.LET(_xlpm.base, " " &amp; LOWER(TRIM($AD204))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lésions bulleuses</v>
      </c>
      <c r="AF204" t="str" cm="1">
        <f t="array" ref="AF204">_xlfn.LET(_xlpm.base, " " &amp; LOWER(TRIM($AE204))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lésions bulleuses</v>
      </c>
    </row>
    <row r="205" spans="1:32" ht="50.25">
      <c r="A205" s="8">
        <v>2019</v>
      </c>
      <c r="B205" s="10" t="s">
        <v>51</v>
      </c>
      <c r="C205" s="8" t="s">
        <v>33</v>
      </c>
      <c r="D205" s="20">
        <v>93</v>
      </c>
      <c r="E205" s="11" t="str">
        <f>IF(D205="","",IFERROR(INDEX(SSP!$E$2:$E$266, MATCH(D205, SSP!$F$2:$F$266, 0)),""))</f>
        <v>Macules, papules, pustules, vésicules, ulcères, abcès, bulles, épaississement cutané, nécrose, tumeur cutanée</v>
      </c>
      <c r="F205" s="11" t="str">
        <f>Feuil1!E205</f>
        <v>Éruption cutanée</v>
      </c>
      <c r="G205" s="12" t="s">
        <v>189</v>
      </c>
      <c r="H205" s="13" t="s">
        <v>190</v>
      </c>
      <c r="I205" s="13"/>
      <c r="J205" s="15" t="s">
        <v>763</v>
      </c>
      <c r="K205" s="9" t="s">
        <v>764</v>
      </c>
      <c r="L205" s="9" t="s">
        <v>33</v>
      </c>
      <c r="M205" s="9" t="s">
        <v>33</v>
      </c>
      <c r="N205" t="s">
        <v>190</v>
      </c>
      <c r="O205" t="str">
        <f>IFERROR(_xlfn.XLOOKUP($D205, SSP!$F:$F, SSP!$E:$E, "Inconnu"), "")</f>
        <v>Macules, papules, pustules, vésicules, ulcères, abcès, bulles, épaississement cutané, nécrose, tumeur cutanée</v>
      </c>
      <c r="P205" t="str">
        <f>IF(OR(E205="", O205=""), "", IF(LOWER(E205)=LOWER(O205), "OK", "⚠️ Libellé ≠ n°"))</f>
        <v>OK</v>
      </c>
      <c r="Q205" t="str">
        <f>IF(Feuil1!$E205="", "", IF(LOWER(Feuil1!$E205)=LOWER(E205), "Identique", "Différent"))</f>
        <v>Différent</v>
      </c>
      <c r="R205" t="str">
        <f>IF(OR(P205="⚠️ Libellé ≠ n°", O205="Inconnu"), "⚠️", IF(Q205="Différent", "ℹ️", ""))</f>
        <v>ℹ️</v>
      </c>
      <c r="S205" t="str" cm="1">
        <f t="array" ref="S205">_xlfn.LET(_xlpm.genCat,IFERROR(LOWER(TRIM(G205)),""),_xlpm.principal,IFERROR(LOWER(TRIM(H205)),""),_xlpm.orig,IFERROR(LOWER(TRIM(N205)),""),IF(OR(_xlpm.genCat="",_xlpm.principal=""),"",IF(LEFT(LOWER(G205),5)="autre","OK (Autre)",IF(OR(ISNUMBER(SEARCH(_xlpm.genCat,_xlpm.principal)),ISNUMBER(SEARCH(_xlpm.principal,_xlpm.genCat)),AND(_xlpm.orig&lt;&gt;"",OR(ISNUMBER(SEARCH(_xlpm.genCat,_xlpm.orig)),ISNUMBER(SEARCH(_xlpm.orig,_xlpm.genCat))))),"OK","⚠️ À vérifier"))))</f>
        <v>OK</v>
      </c>
      <c r="T205" t="str">
        <f>IF(S205="","",IF(S205="OK (Autre)","Diagnostic générique = 'Autre – …'",IF(S205="OK","Concordance générique/principal","Écart entre générique et principal")))</f>
        <v>Concordance générique/principal</v>
      </c>
      <c r="U205" t="str" cm="1">
        <f t="array" ref="U205">_xlfn.LET(_xlpm.yr, A205, _xlpm.diag, IF(N205&lt;&gt;"", N205, H205), _xlpm.base, TRIM(SUBSTITUTE(SUBSTITUTE(SUBSTITUTE(SUBSTITUTE(_xlpm.diag,"•"," "),CHAR(160)," "),CHAR(10)," "),"  "," ")), LOWER(_xlpm.yr&amp;"|"&amp;_xlpm.base))</f>
        <v>2019|urticaire allergique</v>
      </c>
      <c r="V205" t="str">
        <f>IFERROR(_xlfn.XLOOKUP($AB205,'Cas 2013-2017'!$K:$K,'Cas 2013-2017'!$D:$D,""),"")</f>
        <v/>
      </c>
      <c r="W205" t="str">
        <f>IFERROR(_xlfn.XLOOKUP($AB205,'Cas 2013-2017'!$K:$K,'Cas 2013-2017'!$E:$E,""),"")</f>
        <v/>
      </c>
      <c r="X205" t="str">
        <f>IFERROR(_xlfn.XLOOKUP($AB205,'Cas 2013-2017'!$K:$K,'Cas 2013-2017'!$F:$F,""),"")</f>
        <v/>
      </c>
      <c r="Y205" t="str">
        <f>IFERROR(_xlfn.XLOOKUP($AB205,'Cas 2013-2017'!$K:$K,'Cas 2013-2017'!$G:$G,""),"")</f>
        <v/>
      </c>
      <c r="Z205" t="str">
        <f>IFERROR(_xlfn.XLOOKUP($AB205,'Cas 2013-2017'!$K:$K,'Cas 2013-2017'!$I:$I,""),"")</f>
        <v/>
      </c>
      <c r="AA205" t="str">
        <f>IFERROR(_xlfn.XLOOKUP($AB205,'Cas 2013-2017'!$K:$K,'Cas 2013-2017'!$H:$H,""),"")</f>
        <v/>
      </c>
      <c r="AB205" t="str">
        <f>LOWER($A205 &amp; "|" &amp; $AF205)</f>
        <v>2019|urticaire allergique</v>
      </c>
      <c r="AC205" t="str">
        <f>TRIM(SUBSTITUTE(SUBSTITUTE(SUBSTITUTE(SUBSTITUTE(" " &amp; LOWER(TRIM(IF($N205&lt;&gt;"", $N205, $H205))) &amp; " ", " aomi ", " arteriopathie des membres inferieurs "), " hta ", " hypertension arterielle "), " saos ", " syndrome d'apnees obstructives du sommeil "), " rgo ", " reflux gastro-oesophagien ") )</f>
        <v>urticaire allergique</v>
      </c>
      <c r="AD205" t="str">
        <f>TRIM(SUBSTITUTE(SUBSTITUTE(SUBSTITUTE(SUBSTITUTE(" " &amp; LOWER(TRIM($AC205)) &amp; " ", " oacr ", " occlusion de l'artere centrale de la retine "), " hsd ", " hematome sous-dural "), " fa ", " fibrillation auriculaire "), " ep ", " embolie pulmonaire ") )</f>
        <v>urticaire allergique</v>
      </c>
      <c r="AE205" t="str" cm="1">
        <f t="array" ref="AE205">_xlfn.LET(_xlpm.base, " " &amp; LOWER(TRIM($AD205))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urticaire allergique</v>
      </c>
      <c r="AF205" t="str" cm="1">
        <f t="array" ref="AF205">_xlfn.LET(_xlpm.base, " " &amp; LOWER(TRIM($AE205))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urticaire allergique</v>
      </c>
    </row>
    <row r="206" spans="1:32" ht="50.25">
      <c r="A206" s="8">
        <v>2019</v>
      </c>
      <c r="B206" s="10" t="s">
        <v>91</v>
      </c>
      <c r="C206" s="8" t="s">
        <v>33</v>
      </c>
      <c r="D206" s="20">
        <v>93</v>
      </c>
      <c r="E206" s="11" t="str">
        <f>IF(D206="","",IFERROR(INDEX(SSP!$E$2:$E$266, MATCH(D206, SSP!$F$2:$F$266, 0)),""))</f>
        <v>Macules, papules, pustules, vésicules, ulcères, abcès, bulles, épaississement cutané, nécrose, tumeur cutanée</v>
      </c>
      <c r="F206" s="11" t="str">
        <f>Feuil1!E206</f>
        <v>Éruption cutanée</v>
      </c>
      <c r="G206" s="12" t="s">
        <v>765</v>
      </c>
      <c r="H206" s="13" t="s">
        <v>766</v>
      </c>
      <c r="I206" s="13"/>
      <c r="J206" s="15" t="s">
        <v>767</v>
      </c>
      <c r="K206" s="9" t="s">
        <v>768</v>
      </c>
      <c r="L206" s="9" t="s">
        <v>33</v>
      </c>
      <c r="M206" s="9" t="s">
        <v>33</v>
      </c>
      <c r="N206" t="s">
        <v>769</v>
      </c>
      <c r="O206" t="str">
        <f>IFERROR(_xlfn.XLOOKUP($D206, SSP!$F:$F, SSP!$E:$E, "Inconnu"), "")</f>
        <v>Macules, papules, pustules, vésicules, ulcères, abcès, bulles, épaississement cutané, nécrose, tumeur cutanée</v>
      </c>
      <c r="P206" t="str">
        <f>IF(OR(E206="", O206=""), "", IF(LOWER(E206)=LOWER(O206), "OK", "⚠️ Libellé ≠ n°"))</f>
        <v>OK</v>
      </c>
      <c r="Q206" t="str">
        <f>IF(Feuil1!$E206="", "", IF(LOWER(Feuil1!$E206)=LOWER(E206), "Identique", "Différent"))</f>
        <v>Différent</v>
      </c>
      <c r="R206" t="str">
        <f>IF(OR(P206="⚠️ Libellé ≠ n°", O206="Inconnu"), "⚠️", IF(Q206="Différent", "ℹ️", ""))</f>
        <v>ℹ️</v>
      </c>
      <c r="S206" t="str" cm="1">
        <f t="array" ref="S206">_xlfn.LET(_xlpm.genCat,IFERROR(LOWER(TRIM(G206)),""),_xlpm.principal,IFERROR(LOWER(TRIM(H206)),""),_xlpm.orig,IFERROR(LOWER(TRIM(N206)),""),IF(OR(_xlpm.genCat="",_xlpm.principal=""),"",IF(LEFT(LOWER(G206),5)="autre","OK (Autre)",IF(OR(ISNUMBER(SEARCH(_xlpm.genCat,_xlpm.principal)),ISNUMBER(SEARCH(_xlpm.principal,_xlpm.genCat)),AND(_xlpm.orig&lt;&gt;"",OR(ISNUMBER(SEARCH(_xlpm.genCat,_xlpm.orig)),ISNUMBER(SEARCH(_xlpm.orig,_xlpm.genCat))))),"OK","⚠️ À vérifier"))))</f>
        <v>⚠️ À vérifier</v>
      </c>
      <c r="T206" t="str">
        <f>IF(S206="","",IF(S206="OK (Autre)","Diagnostic générique = 'Autre – …'",IF(S206="OK","Concordance générique/principal","Écart entre générique et principal")))</f>
        <v>Écart entre générique et principal</v>
      </c>
      <c r="U206" t="str" cm="1">
        <f t="array" ref="U206">_xlfn.LET(_xlpm.yr, A206, _xlpm.diag, IF(N206&lt;&gt;"", N206, H206), _xlpm.base, TRIM(SUBSTITUTE(SUBSTITUTE(SUBSTITUTE(SUBSTITUTE(_xlpm.diag,"•"," "),CHAR(160)," "),CHAR(10)," "),"  "," ")), LOWER(_xlpm.yr&amp;"|"&amp;_xlpm.base))</f>
        <v>2019|zona chez patient hiv+</v>
      </c>
      <c r="V206" t="str">
        <f>IFERROR(_xlfn.XLOOKUP($AB206,'Cas 2013-2017'!$K:$K,'Cas 2013-2017'!$D:$D,""),"")</f>
        <v/>
      </c>
      <c r="W206" t="str">
        <f>IFERROR(_xlfn.XLOOKUP($AB206,'Cas 2013-2017'!$K:$K,'Cas 2013-2017'!$E:$E,""),"")</f>
        <v/>
      </c>
      <c r="X206" t="str">
        <f>IFERROR(_xlfn.XLOOKUP($AB206,'Cas 2013-2017'!$K:$K,'Cas 2013-2017'!$F:$F,""),"")</f>
        <v/>
      </c>
      <c r="Y206" t="str">
        <f>IFERROR(_xlfn.XLOOKUP($AB206,'Cas 2013-2017'!$K:$K,'Cas 2013-2017'!$G:$G,""),"")</f>
        <v/>
      </c>
      <c r="Z206" t="str">
        <f>IFERROR(_xlfn.XLOOKUP($AB206,'Cas 2013-2017'!$K:$K,'Cas 2013-2017'!$I:$I,""),"")</f>
        <v/>
      </c>
      <c r="AA206" t="str">
        <f>IFERROR(_xlfn.XLOOKUP($AB206,'Cas 2013-2017'!$K:$K,'Cas 2013-2017'!$H:$H,""),"")</f>
        <v/>
      </c>
      <c r="AB206" t="str">
        <f>LOWER($A206 &amp; "|" &amp; $AF206)</f>
        <v>2019|zona chez patient hiv+</v>
      </c>
      <c r="AC206" t="str">
        <f>TRIM(SUBSTITUTE(SUBSTITUTE(SUBSTITUTE(SUBSTITUTE(" " &amp; LOWER(TRIM(IF($N206&lt;&gt;"", $N206, $H206))) &amp; " ", " aomi ", " arteriopathie des membres inferieurs "), " hta ", " hypertension arterielle "), " saos ", " syndrome d'apnees obstructives du sommeil "), " rgo ", " reflux gastro-oesophagien ") )</f>
        <v>zona chez patient hiv+</v>
      </c>
      <c r="AD206" t="str">
        <f>TRIM(SUBSTITUTE(SUBSTITUTE(SUBSTITUTE(SUBSTITUTE(" " &amp; LOWER(TRIM($AC206)) &amp; " ", " oacr ", " occlusion de l'artere centrale de la retine "), " hsd ", " hematome sous-dural "), " fa ", " fibrillation auriculaire "), " ep ", " embolie pulmonaire ") )</f>
        <v>zona chez patient hiv+</v>
      </c>
      <c r="AE206" t="str" cm="1">
        <f t="array" ref="AE206">_xlfn.LET(_xlpm.base, " " &amp; LOWER(TRIM($AD206))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zona chez patient hiv+</v>
      </c>
      <c r="AF206" t="str" cm="1">
        <f t="array" ref="AF206">_xlfn.LET(_xlpm.base, " " &amp; LOWER(TRIM($AE206))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zona chez patient hiv+</v>
      </c>
    </row>
    <row r="207" spans="1:32" ht="100.5">
      <c r="A207" s="8">
        <v>2019</v>
      </c>
      <c r="B207" s="10" t="s">
        <v>82</v>
      </c>
      <c r="C207" s="8" t="s">
        <v>55</v>
      </c>
      <c r="D207" s="20">
        <v>224</v>
      </c>
      <c r="E207" s="11" t="str">
        <f>IF(D207="","",IFERROR(INDEX(SSP!$E$2:$E$266, MATCH(D207, SSP!$F$2:$F$266, 0)),""))</f>
        <v>Demande de bilan de santé, d’examens radiologiques ou biologiques</v>
      </c>
      <c r="F207" s="11" t="str">
        <f>Feuil1!E207</f>
        <v>Bilan</v>
      </c>
      <c r="G207" s="12" t="s">
        <v>83</v>
      </c>
      <c r="H207" s="13"/>
      <c r="I207" s="13"/>
      <c r="J207" s="15" t="s">
        <v>770</v>
      </c>
      <c r="K207" s="9" t="s">
        <v>771</v>
      </c>
      <c r="L207" s="9" t="s">
        <v>33</v>
      </c>
      <c r="M207" s="9" t="s">
        <v>33</v>
      </c>
      <c r="N207" t="s">
        <v>33</v>
      </c>
      <c r="O207" t="str">
        <f>IFERROR(_xlfn.XLOOKUP($D207, SSP!$F:$F, SSP!$E:$E, "Inconnu"), "")</f>
        <v>Demande de bilan de santé, d’examens radiologiques ou biologiques</v>
      </c>
      <c r="P207" t="str">
        <f>IF(OR(E207="", O207=""), "", IF(LOWER(E207)=LOWER(O207), "OK", "⚠️ Libellé ≠ n°"))</f>
        <v>OK</v>
      </c>
      <c r="Q207" t="str">
        <f>IF(Feuil1!$E207="", "", IF(LOWER(Feuil1!$E207)=LOWER(E207), "Identique", "Différent"))</f>
        <v>Différent</v>
      </c>
      <c r="R207" t="str">
        <f>IF(OR(P207="⚠️ Libellé ≠ n°", O207="Inconnu"), "⚠️", IF(Q207="Différent", "ℹ️", ""))</f>
        <v>ℹ️</v>
      </c>
      <c r="S207" t="str" cm="1">
        <f t="array" ref="S207">_xlfn.LET(_xlpm.genCat,IFERROR(LOWER(TRIM(G207)),""),_xlpm.principal,IFERROR(LOWER(TRIM(H207)),""),_xlpm.orig,IFERROR(LOWER(TRIM(N207)),""),IF(OR(_xlpm.genCat="",_xlpm.principal=""),"",IF(LEFT(LOWER(G207),5)="autre","OK (Autre)",IF(OR(ISNUMBER(SEARCH(_xlpm.genCat,_xlpm.principal)),ISNUMBER(SEARCH(_xlpm.principal,_xlpm.genCat)),AND(_xlpm.orig&lt;&gt;"",OR(ISNUMBER(SEARCH(_xlpm.genCat,_xlpm.orig)),ISNUMBER(SEARCH(_xlpm.orig,_xlpm.genCat))))),"OK","⚠️ À vérifier"))))</f>
        <v/>
      </c>
      <c r="T207" t="str">
        <f>IF(S207="","",IF(S207="OK (Autre)","Diagnostic générique = 'Autre – …'",IF(S207="OK","Concordance générique/principal","Écart entre générique et principal")))</f>
        <v/>
      </c>
      <c r="U207" t="str" cm="1">
        <f t="array" ref="U207">_xlfn.LET(_xlpm.yr, A207, _xlpm.diag, IF(N207&lt;&gt;"", N207, H207), _xlpm.base, TRIM(SUBSTITUTE(SUBSTITUTE(SUBSTITUTE(SUBSTITUTE(_xlpm.diag,"•"," "),CHAR(160)," "),CHAR(10)," "),"  "," ")), LOWER(_xlpm.yr&amp;"|"&amp;_xlpm.base))</f>
        <v>2019|</v>
      </c>
      <c r="V207" t="str">
        <f>IFERROR(_xlfn.XLOOKUP($AB207,'Cas 2013-2017'!$K:$K,'Cas 2013-2017'!$D:$D,""),"")</f>
        <v/>
      </c>
      <c r="W207" t="str">
        <f>IFERROR(_xlfn.XLOOKUP($AB207,'Cas 2013-2017'!$K:$K,'Cas 2013-2017'!$E:$E,""),"")</f>
        <v/>
      </c>
      <c r="X207" t="str">
        <f>IFERROR(_xlfn.XLOOKUP($AB207,'Cas 2013-2017'!$K:$K,'Cas 2013-2017'!$F:$F,""),"")</f>
        <v/>
      </c>
      <c r="Y207" t="str">
        <f>IFERROR(_xlfn.XLOOKUP($AB207,'Cas 2013-2017'!$K:$K,'Cas 2013-2017'!$G:$G,""),"")</f>
        <v/>
      </c>
      <c r="Z207" t="str">
        <f>IFERROR(_xlfn.XLOOKUP($AB207,'Cas 2013-2017'!$K:$K,'Cas 2013-2017'!$I:$I,""),"")</f>
        <v/>
      </c>
      <c r="AA207" t="str">
        <f>IFERROR(_xlfn.XLOOKUP($AB207,'Cas 2013-2017'!$K:$K,'Cas 2013-2017'!$H:$H,""),"")</f>
        <v/>
      </c>
      <c r="AB207" t="str">
        <f>LOWER($A207 &amp; "|" &amp; $AF207)</f>
        <v>2019| </v>
      </c>
      <c r="AC207" t="str">
        <f>TRIM(SUBSTITUTE(SUBSTITUTE(SUBSTITUTE(SUBSTITUTE(" " &amp; LOWER(TRIM(IF($N207&lt;&gt;"", $N207, $H207))) &amp; " ", " aomi ", " arteriopathie des membres inferieurs "), " hta ", " hypertension arterielle "), " saos ", " syndrome d'apnees obstructives du sommeil "), " rgo ", " reflux gastro-oesophagien ") )</f>
        <v> </v>
      </c>
      <c r="AD207" t="str">
        <f>TRIM(SUBSTITUTE(SUBSTITUTE(SUBSTITUTE(SUBSTITUTE(" " &amp; LOWER(TRIM($AC207)) &amp; " ", " oacr ", " occlusion de l'artere centrale de la retine "), " hsd ", " hematome sous-dural "), " fa ", " fibrillation auriculaire "), " ep ", " embolie pulmonaire ") )</f>
        <v> </v>
      </c>
      <c r="AE207" t="str" cm="1">
        <f t="array" ref="AE207">_xlfn.LET(_xlpm.base, " " &amp; LOWER(TRIM($AD207))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207" t="str" cm="1">
        <f t="array" ref="AF207">_xlfn.LET(_xlpm.base, " " &amp; LOWER(TRIM($AE207))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208" spans="1:32" ht="33.75">
      <c r="A208" s="8">
        <v>2019</v>
      </c>
      <c r="B208" s="10" t="s">
        <v>60</v>
      </c>
      <c r="C208" s="8" t="s">
        <v>33</v>
      </c>
      <c r="D208" s="20">
        <v>163</v>
      </c>
      <c r="E208" s="11" t="str">
        <f>IF(D208="","",IFERROR(INDEX(SSP!$E$2:$E$266, MATCH(D208, SSP!$F$2:$F$266, 0)),""))</f>
        <v>Anomalie des hormones thyroïdiennes</v>
      </c>
      <c r="F208" s="11" t="str">
        <f>Feuil1!E208</f>
        <v> </v>
      </c>
      <c r="G208" s="12" t="s">
        <v>43</v>
      </c>
      <c r="H208" s="13" t="s">
        <v>772</v>
      </c>
      <c r="I208" s="13"/>
      <c r="J208" s="15" t="s">
        <v>33</v>
      </c>
      <c r="K208" s="9" t="s">
        <v>773</v>
      </c>
      <c r="L208" s="9" t="s">
        <v>33</v>
      </c>
      <c r="M208" s="9" t="s">
        <v>33</v>
      </c>
      <c r="N208" t="s">
        <v>774</v>
      </c>
      <c r="O208" t="str">
        <f>IFERROR(_xlfn.XLOOKUP($D208, SSP!$F:$F, SSP!$E:$E, "Inconnu"), "")</f>
        <v>Anomalie des hormones thyroïdiennes</v>
      </c>
      <c r="P208" t="str">
        <f>IF(OR(E208="", O208=""), "", IF(LOWER(E208)=LOWER(O208), "OK", "⚠️ Libellé ≠ n°"))</f>
        <v>OK</v>
      </c>
      <c r="Q208" t="str">
        <f>IF(Feuil1!$E208="", "", IF(LOWER(Feuil1!$E208)=LOWER(E208), "Identique", "Différent"))</f>
        <v>Différent</v>
      </c>
      <c r="R208" t="str">
        <f>IF(OR(P208="⚠️ Libellé ≠ n°", O208="Inconnu"), "⚠️", IF(Q208="Différent", "ℹ️", ""))</f>
        <v>ℹ️</v>
      </c>
      <c r="S208" t="str" cm="1">
        <f t="array" ref="S208">_xlfn.LET(_xlpm.genCat,IFERROR(LOWER(TRIM(G208)),""),_xlpm.principal,IFERROR(LOWER(TRIM(H208)),""),_xlpm.orig,IFERROR(LOWER(TRIM(N208)),""),IF(OR(_xlpm.genCat="",_xlpm.principal=""),"",IF(LEFT(LOWER(G208),5)="autre","OK (Autre)",IF(OR(ISNUMBER(SEARCH(_xlpm.genCat,_xlpm.principal)),ISNUMBER(SEARCH(_xlpm.principal,_xlpm.genCat)),AND(_xlpm.orig&lt;&gt;"",OR(ISNUMBER(SEARCH(_xlpm.genCat,_xlpm.orig)),ISNUMBER(SEARCH(_xlpm.orig,_xlpm.genCat))))),"OK","⚠️ À vérifier"))))</f>
        <v>OK</v>
      </c>
      <c r="T208" t="str">
        <f>IF(S208="","",IF(S208="OK (Autre)","Diagnostic générique = 'Autre – …'",IF(S208="OK","Concordance générique/principal","Écart entre générique et principal")))</f>
        <v>Concordance générique/principal</v>
      </c>
      <c r="U208" t="str" cm="1">
        <f t="array" ref="U208">_xlfn.LET(_xlpm.yr, A208, _xlpm.diag, IF(N208&lt;&gt;"", N208, H208), _xlpm.base, TRIM(SUBSTITUTE(SUBSTITUTE(SUBSTITUTE(SUBSTITUTE(_xlpm.diag,"•"," "),CHAR(160)," "),CHAR(10)," "),"  "," ")), LOWER(_xlpm.yr&amp;"|"&amp;_xlpm.base))</f>
        <v>2019|hyperthyroidie (thyroidite de de quervain)</v>
      </c>
      <c r="V208" t="str">
        <f>IFERROR(_xlfn.XLOOKUP($AB208,'Cas 2013-2017'!$K:$K,'Cas 2013-2017'!$D:$D,""),"")</f>
        <v/>
      </c>
      <c r="W208" t="str">
        <f>IFERROR(_xlfn.XLOOKUP($AB208,'Cas 2013-2017'!$K:$K,'Cas 2013-2017'!$E:$E,""),"")</f>
        <v/>
      </c>
      <c r="X208" t="str">
        <f>IFERROR(_xlfn.XLOOKUP($AB208,'Cas 2013-2017'!$K:$K,'Cas 2013-2017'!$F:$F,""),"")</f>
        <v/>
      </c>
      <c r="Y208" t="str">
        <f>IFERROR(_xlfn.XLOOKUP($AB208,'Cas 2013-2017'!$K:$K,'Cas 2013-2017'!$G:$G,""),"")</f>
        <v/>
      </c>
      <c r="Z208" t="str">
        <f>IFERROR(_xlfn.XLOOKUP($AB208,'Cas 2013-2017'!$K:$K,'Cas 2013-2017'!$I:$I,""),"")</f>
        <v/>
      </c>
      <c r="AA208" t="str">
        <f>IFERROR(_xlfn.XLOOKUP($AB208,'Cas 2013-2017'!$K:$K,'Cas 2013-2017'!$H:$H,""),"")</f>
        <v/>
      </c>
      <c r="AB208" t="str">
        <f>LOWER($A208 &amp; "|" &amp; $AF208)</f>
        <v>2019|hyperthyroidie (thyroidite de de quervain)</v>
      </c>
      <c r="AC208" t="str">
        <f>TRIM(SUBSTITUTE(SUBSTITUTE(SUBSTITUTE(SUBSTITUTE(" " &amp; LOWER(TRIM(IF($N208&lt;&gt;"", $N208, $H208))) &amp; " ", " aomi ", " arteriopathie des membres inferieurs "), " hta ", " hypertension arterielle "), " saos ", " syndrome d'apnees obstructives du sommeil "), " rgo ", " reflux gastro-oesophagien ") )</f>
        <v>hyperthyroidie (thyroidite de de quervain)</v>
      </c>
      <c r="AD208" t="str">
        <f>TRIM(SUBSTITUTE(SUBSTITUTE(SUBSTITUTE(SUBSTITUTE(" " &amp; LOWER(TRIM($AC208)) &amp; " ", " oacr ", " occlusion de l'artere centrale de la retine "), " hsd ", " hematome sous-dural "), " fa ", " fibrillation auriculaire "), " ep ", " embolie pulmonaire ") )</f>
        <v>hyperthyroidie (thyroidite de de quervain)</v>
      </c>
      <c r="AE208" t="str" cm="1">
        <f t="array" ref="AE208">_xlfn.LET(_xlpm.base, " " &amp; LOWER(TRIM($AD208))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hyperthyroidie (thyroidite de de quervain)</v>
      </c>
      <c r="AF208" t="str" cm="1">
        <f t="array" ref="AF208">_xlfn.LET(_xlpm.base, " " &amp; LOWER(TRIM($AE208))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hyperthyroidie (thyroidite de de quervain)</v>
      </c>
    </row>
    <row r="209" spans="1:32" ht="33.75">
      <c r="A209" s="8">
        <v>2019</v>
      </c>
      <c r="B209" s="10" t="s">
        <v>60</v>
      </c>
      <c r="C209" s="8" t="s">
        <v>33</v>
      </c>
      <c r="D209" s="20">
        <v>163</v>
      </c>
      <c r="E209" s="11" t="str">
        <f>IF(D209="","",IFERROR(INDEX(SSP!$E$2:$E$266, MATCH(D209, SSP!$F$2:$F$266, 0)),""))</f>
        <v>Anomalie des hormones thyroïdiennes</v>
      </c>
      <c r="F209" s="11" t="str">
        <f>Feuil1!E209</f>
        <v> </v>
      </c>
      <c r="G209" s="12" t="s">
        <v>61</v>
      </c>
      <c r="H209" s="13" t="s">
        <v>61</v>
      </c>
      <c r="I209" s="13"/>
      <c r="J209" s="15" t="s">
        <v>33</v>
      </c>
      <c r="K209" s="9" t="s">
        <v>33</v>
      </c>
      <c r="L209" s="9" t="s">
        <v>33</v>
      </c>
      <c r="M209" s="9" t="s">
        <v>33</v>
      </c>
      <c r="N209" t="s">
        <v>63</v>
      </c>
      <c r="O209" t="str">
        <f>IFERROR(_xlfn.XLOOKUP($D209, SSP!$F:$F, SSP!$E:$E, "Inconnu"), "")</f>
        <v>Anomalie des hormones thyroïdiennes</v>
      </c>
      <c r="P209" t="str">
        <f>IF(OR(E209="", O209=""), "", IF(LOWER(E209)=LOWER(O209), "OK", "⚠️ Libellé ≠ n°"))</f>
        <v>OK</v>
      </c>
      <c r="Q209" t="str">
        <f>IF(Feuil1!$E209="", "", IF(LOWER(Feuil1!$E209)=LOWER(E209), "Identique", "Différent"))</f>
        <v>Différent</v>
      </c>
      <c r="R209" t="str">
        <f>IF(OR(P209="⚠️ Libellé ≠ n°", O209="Inconnu"), "⚠️", IF(Q209="Différent", "ℹ️", ""))</f>
        <v>ℹ️</v>
      </c>
      <c r="S209" t="str" cm="1">
        <f t="array" ref="S209">_xlfn.LET(_xlpm.genCat,IFERROR(LOWER(TRIM(G209)),""),_xlpm.principal,IFERROR(LOWER(TRIM(H209)),""),_xlpm.orig,IFERROR(LOWER(TRIM(N209)),""),IF(OR(_xlpm.genCat="",_xlpm.principal=""),"",IF(LEFT(LOWER(G209),5)="autre","OK (Autre)",IF(OR(ISNUMBER(SEARCH(_xlpm.genCat,_xlpm.principal)),ISNUMBER(SEARCH(_xlpm.principal,_xlpm.genCat)),AND(_xlpm.orig&lt;&gt;"",OR(ISNUMBER(SEARCH(_xlpm.genCat,_xlpm.orig)),ISNUMBER(SEARCH(_xlpm.orig,_xlpm.genCat))))),"OK","⚠️ À vérifier"))))</f>
        <v>OK</v>
      </c>
      <c r="T209" t="str">
        <f>IF(S209="","",IF(S209="OK (Autre)","Diagnostic générique = 'Autre – …'",IF(S209="OK","Concordance générique/principal","Écart entre générique et principal")))</f>
        <v>Concordance générique/principal</v>
      </c>
      <c r="U209" t="str" cm="1">
        <f t="array" ref="U209">_xlfn.LET(_xlpm.yr, A209, _xlpm.diag, IF(N209&lt;&gt;"", N209, H209), _xlpm.base, TRIM(SUBSTITUTE(SUBSTITUTE(SUBSTITUTE(SUBSTITUTE(_xlpm.diag,"•"," "),CHAR(160)," "),CHAR(10)," "),"  "," ")), LOWER(_xlpm.yr&amp;"|"&amp;_xlpm.base))</f>
        <v>2019|hypothyroidie</v>
      </c>
      <c r="V209" t="str">
        <f>IFERROR(_xlfn.XLOOKUP($AB209,'Cas 2013-2017'!$K:$K,'Cas 2013-2017'!$D:$D,""),"")</f>
        <v/>
      </c>
      <c r="W209" t="str">
        <f>IFERROR(_xlfn.XLOOKUP($AB209,'Cas 2013-2017'!$K:$K,'Cas 2013-2017'!$E:$E,""),"")</f>
        <v/>
      </c>
      <c r="X209" t="str">
        <f>IFERROR(_xlfn.XLOOKUP($AB209,'Cas 2013-2017'!$K:$K,'Cas 2013-2017'!$F:$F,""),"")</f>
        <v/>
      </c>
      <c r="Y209" t="str">
        <f>IFERROR(_xlfn.XLOOKUP($AB209,'Cas 2013-2017'!$K:$K,'Cas 2013-2017'!$G:$G,""),"")</f>
        <v/>
      </c>
      <c r="Z209" t="str">
        <f>IFERROR(_xlfn.XLOOKUP($AB209,'Cas 2013-2017'!$K:$K,'Cas 2013-2017'!$I:$I,""),"")</f>
        <v/>
      </c>
      <c r="AA209" t="str">
        <f>IFERROR(_xlfn.XLOOKUP($AB209,'Cas 2013-2017'!$K:$K,'Cas 2013-2017'!$H:$H,""),"")</f>
        <v/>
      </c>
      <c r="AB209" t="str">
        <f>LOWER($A209 &amp; "|" &amp; $AF209)</f>
        <v>2019|hypothyroidie</v>
      </c>
      <c r="AC209" t="str">
        <f>TRIM(SUBSTITUTE(SUBSTITUTE(SUBSTITUTE(SUBSTITUTE(" " &amp; LOWER(TRIM(IF($N209&lt;&gt;"", $N209, $H209))) &amp; " ", " aomi ", " arteriopathie des membres inferieurs "), " hta ", " hypertension arterielle "), " saos ", " syndrome d'apnees obstructives du sommeil "), " rgo ", " reflux gastro-oesophagien ") )</f>
        <v>hypothyroidie</v>
      </c>
      <c r="AD209" t="str">
        <f>TRIM(SUBSTITUTE(SUBSTITUTE(SUBSTITUTE(SUBSTITUTE(" " &amp; LOWER(TRIM($AC209)) &amp; " ", " oacr ", " occlusion de l'artere centrale de la retine "), " hsd ", " hematome sous-dural "), " fa ", " fibrillation auriculaire "), " ep ", " embolie pulmonaire ") )</f>
        <v>hypothyroidie</v>
      </c>
      <c r="AE209" t="str" cm="1">
        <f t="array" ref="AE209">_xlfn.LET(_xlpm.base, " " &amp; LOWER(TRIM($AD209))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hypothyroidie</v>
      </c>
      <c r="AF209" t="str" cm="1">
        <f t="array" ref="AF209">_xlfn.LET(_xlpm.base, " " &amp; LOWER(TRIM($AE209))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hypothyroidie</v>
      </c>
    </row>
    <row r="210" spans="1:32" ht="16.5">
      <c r="A210" s="8">
        <v>2019</v>
      </c>
      <c r="B210" s="10" t="s">
        <v>68</v>
      </c>
      <c r="C210" s="8" t="s">
        <v>33</v>
      </c>
      <c r="D210" s="20">
        <v>52</v>
      </c>
      <c r="E210" s="11" t="str">
        <f>IF(D210="","",IFERROR(INDEX(SSP!$E$2:$E$266, MATCH(D210, SSP!$F$2:$F$266, 0)),""))</f>
        <v>Douleur abdominale ou épigastrique</v>
      </c>
      <c r="F210" s="11" t="str">
        <f>Feuil1!E210</f>
        <v> </v>
      </c>
      <c r="G210" s="12" t="s">
        <v>775</v>
      </c>
      <c r="H210" s="13" t="s">
        <v>775</v>
      </c>
      <c r="I210" s="13"/>
      <c r="J210" s="16" t="s">
        <v>165</v>
      </c>
      <c r="K210" s="9" t="s">
        <v>33</v>
      </c>
      <c r="L210" s="9" t="s">
        <v>33</v>
      </c>
      <c r="M210" s="9" t="s">
        <v>33</v>
      </c>
      <c r="N210" t="s">
        <v>775</v>
      </c>
      <c r="O210" t="str">
        <f>IFERROR(_xlfn.XLOOKUP($D210, SSP!$F:$F, SSP!$E:$E, "Inconnu"), "")</f>
        <v>Douleur abdominale ou épigastrique</v>
      </c>
      <c r="P210" t="str">
        <f>IF(OR(E210="", O210=""), "", IF(LOWER(E210)=LOWER(O210), "OK", "⚠️ Libellé ≠ n°"))</f>
        <v>OK</v>
      </c>
      <c r="Q210" t="str">
        <f>IF(Feuil1!$E210="", "", IF(LOWER(Feuil1!$E210)=LOWER(E210), "Identique", "Différent"))</f>
        <v>Différent</v>
      </c>
      <c r="R210" t="str">
        <f>IF(OR(P210="⚠️ Libellé ≠ n°", O210="Inconnu"), "⚠️", IF(Q210="Différent", "ℹ️", ""))</f>
        <v>ℹ️</v>
      </c>
      <c r="S210" t="str" cm="1">
        <f t="array" ref="S210">_xlfn.LET(_xlpm.genCat,IFERROR(LOWER(TRIM(G210)),""),_xlpm.principal,IFERROR(LOWER(TRIM(H210)),""),_xlpm.orig,IFERROR(LOWER(TRIM(N210)),""),IF(OR(_xlpm.genCat="",_xlpm.principal=""),"",IF(LEFT(LOWER(G210),5)="autre","OK (Autre)",IF(OR(ISNUMBER(SEARCH(_xlpm.genCat,_xlpm.principal)),ISNUMBER(SEARCH(_xlpm.principal,_xlpm.genCat)),AND(_xlpm.orig&lt;&gt;"",OR(ISNUMBER(SEARCH(_xlpm.genCat,_xlpm.orig)),ISNUMBER(SEARCH(_xlpm.orig,_xlpm.genCat))))),"OK","⚠️ À vérifier"))))</f>
        <v>OK</v>
      </c>
      <c r="T210" t="str">
        <f>IF(S210="","",IF(S210="OK (Autre)","Diagnostic générique = 'Autre – …'",IF(S210="OK","Concordance générique/principal","Écart entre générique et principal")))</f>
        <v>Concordance générique/principal</v>
      </c>
      <c r="U210" t="str" cm="1">
        <f t="array" ref="U210">_xlfn.LET(_xlpm.yr, A210, _xlpm.diag, IF(N210&lt;&gt;"", N210, H210), _xlpm.base, TRIM(SUBSTITUTE(SUBSTITUTE(SUBSTITUTE(SUBSTITUTE(_xlpm.diag,"•"," "),CHAR(160)," "),CHAR(10)," "),"  "," ")), LOWER(_xlpm.yr&amp;"|"&amp;_xlpm.base))</f>
        <v>2019|cholangite</v>
      </c>
      <c r="V210" t="str">
        <f>IFERROR(_xlfn.XLOOKUP($AB210,'Cas 2013-2017'!$K:$K,'Cas 2013-2017'!$D:$D,""),"")</f>
        <v/>
      </c>
      <c r="W210" t="str">
        <f>IFERROR(_xlfn.XLOOKUP($AB210,'Cas 2013-2017'!$K:$K,'Cas 2013-2017'!$E:$E,""),"")</f>
        <v/>
      </c>
      <c r="X210" t="str">
        <f>IFERROR(_xlfn.XLOOKUP($AB210,'Cas 2013-2017'!$K:$K,'Cas 2013-2017'!$F:$F,""),"")</f>
        <v/>
      </c>
      <c r="Y210" t="str">
        <f>IFERROR(_xlfn.XLOOKUP($AB210,'Cas 2013-2017'!$K:$K,'Cas 2013-2017'!$G:$G,""),"")</f>
        <v/>
      </c>
      <c r="Z210" t="str">
        <f>IFERROR(_xlfn.XLOOKUP($AB210,'Cas 2013-2017'!$K:$K,'Cas 2013-2017'!$I:$I,""),"")</f>
        <v/>
      </c>
      <c r="AA210" t="str">
        <f>IFERROR(_xlfn.XLOOKUP($AB210,'Cas 2013-2017'!$K:$K,'Cas 2013-2017'!$H:$H,""),"")</f>
        <v/>
      </c>
      <c r="AB210" t="str">
        <f>LOWER($A210 &amp; "|" &amp; $AF210)</f>
        <v>2019|cholangite</v>
      </c>
      <c r="AC210" t="str">
        <f>TRIM(SUBSTITUTE(SUBSTITUTE(SUBSTITUTE(SUBSTITUTE(" " &amp; LOWER(TRIM(IF($N210&lt;&gt;"", $N210, $H210))) &amp; " ", " aomi ", " arteriopathie des membres inferieurs "), " hta ", " hypertension arterielle "), " saos ", " syndrome d'apnees obstructives du sommeil "), " rgo ", " reflux gastro-oesophagien ") )</f>
        <v>cholangite</v>
      </c>
      <c r="AD210" t="str">
        <f>TRIM(SUBSTITUTE(SUBSTITUTE(SUBSTITUTE(SUBSTITUTE(" " &amp; LOWER(TRIM($AC210)) &amp; " ", " oacr ", " occlusion de l'artere centrale de la retine "), " hsd ", " hematome sous-dural "), " fa ", " fibrillation auriculaire "), " ep ", " embolie pulmonaire ") )</f>
        <v>cholangite</v>
      </c>
      <c r="AE210" t="str" cm="1">
        <f t="array" ref="AE210">_xlfn.LET(_xlpm.base, " " &amp; LOWER(TRIM($AD210))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cholangite</v>
      </c>
      <c r="AF210" t="str" cm="1">
        <f t="array" ref="AF210">_xlfn.LET(_xlpm.base, " " &amp; LOWER(TRIM($AE210))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cholangite</v>
      </c>
    </row>
    <row r="211" spans="1:32" ht="16.5">
      <c r="A211" s="8">
        <v>2019</v>
      </c>
      <c r="B211" s="10" t="s">
        <v>68</v>
      </c>
      <c r="C211" s="8" t="s">
        <v>33</v>
      </c>
      <c r="D211" s="20">
        <v>91</v>
      </c>
      <c r="E211" s="11" t="str">
        <f>IF(D211="","",IFERROR(INDEX(SSP!$E$2:$E$266, MATCH(D211, SSP!$F$2:$F$266, 0)),""))</f>
        <v>Ictère</v>
      </c>
      <c r="F211" s="11" t="str">
        <f>Feuil1!E211</f>
        <v>Ictère</v>
      </c>
      <c r="G211" s="12" t="s">
        <v>77</v>
      </c>
      <c r="H211" s="13" t="s">
        <v>776</v>
      </c>
      <c r="I211" s="13"/>
      <c r="J211" s="15" t="s">
        <v>777</v>
      </c>
      <c r="K211" s="9" t="s">
        <v>33</v>
      </c>
      <c r="L211" s="9" t="s">
        <v>33</v>
      </c>
      <c r="M211" s="9" t="s">
        <v>33</v>
      </c>
      <c r="N211" t="s">
        <v>778</v>
      </c>
      <c r="O211" t="str">
        <f>IFERROR(_xlfn.XLOOKUP($D211, SSP!$F:$F, SSP!$E:$E, "Inconnu"), "")</f>
        <v>Ictère</v>
      </c>
      <c r="P211" t="str">
        <f>IF(OR(E211="", O211=""), "", IF(LOWER(E211)=LOWER(O211), "OK", "⚠️ Libellé ≠ n°"))</f>
        <v>OK</v>
      </c>
      <c r="Q211" t="str">
        <f>IF(Feuil1!$E211="", "", IF(LOWER(Feuil1!$E211)=LOWER(E211), "Identique", "Différent"))</f>
        <v>Identique</v>
      </c>
      <c r="R211" t="str">
        <f>IF(OR(P211="⚠️ Libellé ≠ n°", O211="Inconnu"), "⚠️", IF(Q211="Différent", "ℹ️", ""))</f>
        <v/>
      </c>
      <c r="S211" t="str" cm="1">
        <f t="array" ref="S211">_xlfn.LET(_xlpm.genCat,IFERROR(LOWER(TRIM(G211)),""),_xlpm.principal,IFERROR(LOWER(TRIM(H211)),""),_xlpm.orig,IFERROR(LOWER(TRIM(N211)),""),IF(OR(_xlpm.genCat="",_xlpm.principal=""),"",IF(LEFT(LOWER(G211),5)="autre","OK (Autre)",IF(OR(ISNUMBER(SEARCH(_xlpm.genCat,_xlpm.principal)),ISNUMBER(SEARCH(_xlpm.principal,_xlpm.genCat)),AND(_xlpm.orig&lt;&gt;"",OR(ISNUMBER(SEARCH(_xlpm.genCat,_xlpm.orig)),ISNUMBER(SEARCH(_xlpm.orig,_xlpm.genCat))))),"OK","⚠️ À vérifier"))))</f>
        <v>OK</v>
      </c>
      <c r="T211" t="str">
        <f>IF(S211="","",IF(S211="OK (Autre)","Diagnostic générique = 'Autre – …'",IF(S211="OK","Concordance générique/principal","Écart entre générique et principal")))</f>
        <v>Concordance générique/principal</v>
      </c>
      <c r="U211" t="str" cm="1">
        <f t="array" ref="U211">_xlfn.LET(_xlpm.yr, A211, _xlpm.diag, IF(N211&lt;&gt;"", N211, H211), _xlpm.base, TRIM(SUBSTITUTE(SUBSTITUTE(SUBSTITUTE(SUBSTITUTE(_xlpm.diag,"•"," "),CHAR(160)," "),CHAR(10)," "),"  "," ")), LOWER(_xlpm.yr&amp;"|"&amp;_xlpm.base))</f>
        <v>2019|hépatite virale.</v>
      </c>
      <c r="V211" t="str">
        <f>IFERROR(_xlfn.XLOOKUP($AB211,'Cas 2013-2017'!$K:$K,'Cas 2013-2017'!$D:$D,""),"")</f>
        <v/>
      </c>
      <c r="W211" t="str">
        <f>IFERROR(_xlfn.XLOOKUP($AB211,'Cas 2013-2017'!$K:$K,'Cas 2013-2017'!$E:$E,""),"")</f>
        <v/>
      </c>
      <c r="X211" t="str">
        <f>IFERROR(_xlfn.XLOOKUP($AB211,'Cas 2013-2017'!$K:$K,'Cas 2013-2017'!$F:$F,""),"")</f>
        <v/>
      </c>
      <c r="Y211" t="str">
        <f>IFERROR(_xlfn.XLOOKUP($AB211,'Cas 2013-2017'!$K:$K,'Cas 2013-2017'!$G:$G,""),"")</f>
        <v/>
      </c>
      <c r="Z211" t="str">
        <f>IFERROR(_xlfn.XLOOKUP($AB211,'Cas 2013-2017'!$K:$K,'Cas 2013-2017'!$I:$I,""),"")</f>
        <v/>
      </c>
      <c r="AA211" t="str">
        <f>IFERROR(_xlfn.XLOOKUP($AB211,'Cas 2013-2017'!$K:$K,'Cas 2013-2017'!$H:$H,""),"")</f>
        <v/>
      </c>
      <c r="AB211" t="str">
        <f>LOWER($A211 &amp; "|" &amp; $AF211)</f>
        <v>2019|hépatite virale.</v>
      </c>
      <c r="AC211" t="str">
        <f>TRIM(SUBSTITUTE(SUBSTITUTE(SUBSTITUTE(SUBSTITUTE(" " &amp; LOWER(TRIM(IF($N211&lt;&gt;"", $N211, $H211))) &amp; " ", " aomi ", " arteriopathie des membres inferieurs "), " hta ", " hypertension arterielle "), " saos ", " syndrome d'apnees obstructives du sommeil "), " rgo ", " reflux gastro-oesophagien ") )</f>
        <v>hépatite virale.</v>
      </c>
      <c r="AD211" t="str">
        <f>TRIM(SUBSTITUTE(SUBSTITUTE(SUBSTITUTE(SUBSTITUTE(" " &amp; LOWER(TRIM($AC211)) &amp; " ", " oacr ", " occlusion de l'artere centrale de la retine "), " hsd ", " hematome sous-dural "), " fa ", " fibrillation auriculaire "), " ep ", " embolie pulmonaire ") )</f>
        <v>hépatite virale.</v>
      </c>
      <c r="AE211" t="str" cm="1">
        <f t="array" ref="AE211">_xlfn.LET(_xlpm.base, " " &amp; LOWER(TRIM($AD211))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hépatite virale.</v>
      </c>
      <c r="AF211" t="str" cm="1">
        <f t="array" ref="AF211">_xlfn.LET(_xlpm.base, " " &amp; LOWER(TRIM($AE211))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hépatite virale.</v>
      </c>
    </row>
    <row r="212" spans="1:32" ht="33.75">
      <c r="A212" s="8">
        <v>2019</v>
      </c>
      <c r="B212" s="10" t="s">
        <v>68</v>
      </c>
      <c r="C212" s="8" t="s">
        <v>33</v>
      </c>
      <c r="D212" s="20">
        <v>52</v>
      </c>
      <c r="E212" s="11" t="str">
        <f>IF(D212="","",IFERROR(INDEX(SSP!$E$2:$E$266, MATCH(D212, SSP!$F$2:$F$266, 0)),""))</f>
        <v>Douleur abdominale ou épigastrique</v>
      </c>
      <c r="F212" s="11" t="str">
        <f>Feuil1!E212</f>
        <v>Douleur abdominale</v>
      </c>
      <c r="G212" s="12" t="s">
        <v>321</v>
      </c>
      <c r="H212" s="13" t="s">
        <v>322</v>
      </c>
      <c r="I212" s="13"/>
      <c r="J212" s="15" t="s">
        <v>779</v>
      </c>
      <c r="K212" s="9" t="s">
        <v>33</v>
      </c>
      <c r="L212" s="9" t="s">
        <v>33</v>
      </c>
      <c r="M212" s="9" t="s">
        <v>33</v>
      </c>
      <c r="N212" t="s">
        <v>322</v>
      </c>
      <c r="O212" t="str">
        <f>IFERROR(_xlfn.XLOOKUP($D212, SSP!$F:$F, SSP!$E:$E, "Inconnu"), "")</f>
        <v>Douleur abdominale ou épigastrique</v>
      </c>
      <c r="P212" t="str">
        <f>IF(OR(E212="", O212=""), "", IF(LOWER(E212)=LOWER(O212), "OK", "⚠️ Libellé ≠ n°"))</f>
        <v>OK</v>
      </c>
      <c r="Q212" t="str">
        <f>IF(Feuil1!$E212="", "", IF(LOWER(Feuil1!$E212)=LOWER(E212), "Identique", "Différent"))</f>
        <v>Différent</v>
      </c>
      <c r="R212" t="str">
        <f>IF(OR(P212="⚠️ Libellé ≠ n°", O212="Inconnu"), "⚠️", IF(Q212="Différent", "ℹ️", ""))</f>
        <v>ℹ️</v>
      </c>
      <c r="S212" t="str" cm="1">
        <f t="array" ref="S212">_xlfn.LET(_xlpm.genCat,IFERROR(LOWER(TRIM(G212)),""),_xlpm.principal,IFERROR(LOWER(TRIM(H212)),""),_xlpm.orig,IFERROR(LOWER(TRIM(N212)),""),IF(OR(_xlpm.genCat="",_xlpm.principal=""),"",IF(LEFT(LOWER(G212),5)="autre","OK (Autre)",IF(OR(ISNUMBER(SEARCH(_xlpm.genCat,_xlpm.principal)),ISNUMBER(SEARCH(_xlpm.principal,_xlpm.genCat)),AND(_xlpm.orig&lt;&gt;"",OR(ISNUMBER(SEARCH(_xlpm.genCat,_xlpm.orig)),ISNUMBER(SEARCH(_xlpm.orig,_xlpm.genCat))))),"OK","⚠️ À vérifier"))))</f>
        <v>⚠️ À vérifier</v>
      </c>
      <c r="T212" t="str">
        <f>IF(S212="","",IF(S212="OK (Autre)","Diagnostic générique = 'Autre – …'",IF(S212="OK","Concordance générique/principal","Écart entre générique et principal")))</f>
        <v>Écart entre générique et principal</v>
      </c>
      <c r="U212" t="str" cm="1">
        <f t="array" ref="U212">_xlfn.LET(_xlpm.yr, A212, _xlpm.diag, IF(N212&lt;&gt;"", N212, H212), _xlpm.base, TRIM(SUBSTITUTE(SUBSTITUTE(SUBSTITUTE(SUBSTITUTE(_xlpm.diag,"•"," "),CHAR(160)," "),CHAR(10)," "),"  "," ")), LOWER(_xlpm.yr&amp;"|"&amp;_xlpm.base))</f>
        <v>2019|ulcère gastrique</v>
      </c>
      <c r="V212" t="str">
        <f>IFERROR(_xlfn.XLOOKUP($AB212,'Cas 2013-2017'!$K:$K,'Cas 2013-2017'!$D:$D,""),"")</f>
        <v/>
      </c>
      <c r="W212" t="str">
        <f>IFERROR(_xlfn.XLOOKUP($AB212,'Cas 2013-2017'!$K:$K,'Cas 2013-2017'!$E:$E,""),"")</f>
        <v/>
      </c>
      <c r="X212" t="str">
        <f>IFERROR(_xlfn.XLOOKUP($AB212,'Cas 2013-2017'!$K:$K,'Cas 2013-2017'!$F:$F,""),"")</f>
        <v/>
      </c>
      <c r="Y212" t="str">
        <f>IFERROR(_xlfn.XLOOKUP($AB212,'Cas 2013-2017'!$K:$K,'Cas 2013-2017'!$G:$G,""),"")</f>
        <v/>
      </c>
      <c r="Z212" t="str">
        <f>IFERROR(_xlfn.XLOOKUP($AB212,'Cas 2013-2017'!$K:$K,'Cas 2013-2017'!$I:$I,""),"")</f>
        <v/>
      </c>
      <c r="AA212" t="str">
        <f>IFERROR(_xlfn.XLOOKUP($AB212,'Cas 2013-2017'!$K:$K,'Cas 2013-2017'!$H:$H,""),"")</f>
        <v/>
      </c>
      <c r="AB212" t="str">
        <f>LOWER($A212 &amp; "|" &amp; $AF212)</f>
        <v>2019|ulcère gastrique</v>
      </c>
      <c r="AC212" t="str">
        <f>TRIM(SUBSTITUTE(SUBSTITUTE(SUBSTITUTE(SUBSTITUTE(" " &amp; LOWER(TRIM(IF($N212&lt;&gt;"", $N212, $H212))) &amp; " ", " aomi ", " arteriopathie des membres inferieurs "), " hta ", " hypertension arterielle "), " saos ", " syndrome d'apnees obstructives du sommeil "), " rgo ", " reflux gastro-oesophagien ") )</f>
        <v>ulcère gastrique</v>
      </c>
      <c r="AD212" t="str">
        <f>TRIM(SUBSTITUTE(SUBSTITUTE(SUBSTITUTE(SUBSTITUTE(" " &amp; LOWER(TRIM($AC212)) &amp; " ", " oacr ", " occlusion de l'artere centrale de la retine "), " hsd ", " hematome sous-dural "), " fa ", " fibrillation auriculaire "), " ep ", " embolie pulmonaire ") )</f>
        <v>ulcère gastrique</v>
      </c>
      <c r="AE212" t="str" cm="1">
        <f t="array" ref="AE212">_xlfn.LET(_xlpm.base, " " &amp; LOWER(TRIM($AD212))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ulcère gastrique</v>
      </c>
      <c r="AF212" t="str" cm="1">
        <f t="array" ref="AF212">_xlfn.LET(_xlpm.base, " " &amp; LOWER(TRIM($AE212))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ulcère gastrique</v>
      </c>
    </row>
    <row r="213" spans="1:32" ht="50.25">
      <c r="A213" s="8">
        <v>2019</v>
      </c>
      <c r="B213" s="10" t="s">
        <v>64</v>
      </c>
      <c r="C213" s="8" t="s">
        <v>33</v>
      </c>
      <c r="D213" s="20">
        <v>42</v>
      </c>
      <c r="E213" s="11" t="str">
        <f>IF(D213="","",IFERROR(INDEX(SSP!$E$2:$E$266, MATCH(D213, SSP!$F$2:$F$266, 0)),""))</f>
        <v>Modification du volume mammaire, masse mammaire, écoulement mammaire</v>
      </c>
      <c r="F213" s="11" t="str">
        <f>Feuil1!E213</f>
        <v>Grosseur mammaire</v>
      </c>
      <c r="G213" s="12" t="s">
        <v>65</v>
      </c>
      <c r="H213" s="13" t="s">
        <v>456</v>
      </c>
      <c r="I213" s="13"/>
      <c r="J213" s="15" t="s">
        <v>458</v>
      </c>
      <c r="K213" s="9" t="s">
        <v>33</v>
      </c>
      <c r="L213" s="9" t="s">
        <v>33</v>
      </c>
      <c r="M213" s="9" t="s">
        <v>33</v>
      </c>
      <c r="N213" t="s">
        <v>456</v>
      </c>
      <c r="O213" t="str">
        <f>IFERROR(_xlfn.XLOOKUP($D213, SSP!$F:$F, SSP!$E:$E, "Inconnu"), "")</f>
        <v>Modification du volume mammaire, masse mammaire, écoulement mammaire</v>
      </c>
      <c r="P213" t="str">
        <f>IF(OR(E213="", O213=""), "", IF(LOWER(E213)=LOWER(O213), "OK", "⚠️ Libellé ≠ n°"))</f>
        <v>OK</v>
      </c>
      <c r="Q213" t="str">
        <f>IF(Feuil1!$E213="", "", IF(LOWER(Feuil1!$E213)=LOWER(E213), "Identique", "Différent"))</f>
        <v>Différent</v>
      </c>
      <c r="R213" t="str">
        <f>IF(OR(P213="⚠️ Libellé ≠ n°", O213="Inconnu"), "⚠️", IF(Q213="Différent", "ℹ️", ""))</f>
        <v>ℹ️</v>
      </c>
      <c r="S213" t="str" cm="1">
        <f t="array" ref="S213">_xlfn.LET(_xlpm.genCat,IFERROR(LOWER(TRIM(G213)),""),_xlpm.principal,IFERROR(LOWER(TRIM(H213)),""),_xlpm.orig,IFERROR(LOWER(TRIM(N213)),""),IF(OR(_xlpm.genCat="",_xlpm.principal=""),"",IF(LEFT(LOWER(G213),5)="autre","OK (Autre)",IF(OR(ISNUMBER(SEARCH(_xlpm.genCat,_xlpm.principal)),ISNUMBER(SEARCH(_xlpm.principal,_xlpm.genCat)),AND(_xlpm.orig&lt;&gt;"",OR(ISNUMBER(SEARCH(_xlpm.genCat,_xlpm.orig)),ISNUMBER(SEARCH(_xlpm.orig,_xlpm.genCat))))),"OK","⚠️ À vérifier"))))</f>
        <v>OK</v>
      </c>
      <c r="T213" t="str">
        <f>IF(S213="","",IF(S213="OK (Autre)","Diagnostic générique = 'Autre – …'",IF(S213="OK","Concordance générique/principal","Écart entre générique et principal")))</f>
        <v>Concordance générique/principal</v>
      </c>
      <c r="U213" t="str" cm="1">
        <f t="array" ref="U213">_xlfn.LET(_xlpm.yr, A213, _xlpm.diag, IF(N213&lt;&gt;"", N213, H213), _xlpm.base, TRIM(SUBSTITUTE(SUBSTITUTE(SUBSTITUTE(SUBSTITUTE(_xlpm.diag,"•"," "),CHAR(160)," "),CHAR(10)," "),"  "," ")), LOWER(_xlpm.yr&amp;"|"&amp;_xlpm.base))</f>
        <v>2019|cancer du sein</v>
      </c>
      <c r="V213" t="str">
        <f>IFERROR(_xlfn.XLOOKUP($AB213,'Cas 2013-2017'!$K:$K,'Cas 2013-2017'!$D:$D,""),"")</f>
        <v/>
      </c>
      <c r="W213" t="str">
        <f>IFERROR(_xlfn.XLOOKUP($AB213,'Cas 2013-2017'!$K:$K,'Cas 2013-2017'!$E:$E,""),"")</f>
        <v/>
      </c>
      <c r="X213" t="str">
        <f>IFERROR(_xlfn.XLOOKUP($AB213,'Cas 2013-2017'!$K:$K,'Cas 2013-2017'!$F:$F,""),"")</f>
        <v/>
      </c>
      <c r="Y213" t="str">
        <f>IFERROR(_xlfn.XLOOKUP($AB213,'Cas 2013-2017'!$K:$K,'Cas 2013-2017'!$G:$G,""),"")</f>
        <v/>
      </c>
      <c r="Z213" t="str">
        <f>IFERROR(_xlfn.XLOOKUP($AB213,'Cas 2013-2017'!$K:$K,'Cas 2013-2017'!$I:$I,""),"")</f>
        <v/>
      </c>
      <c r="AA213" t="str">
        <f>IFERROR(_xlfn.XLOOKUP($AB213,'Cas 2013-2017'!$K:$K,'Cas 2013-2017'!$H:$H,""),"")</f>
        <v/>
      </c>
      <c r="AB213" t="str">
        <f>LOWER($A213 &amp; "|" &amp; $AF213)</f>
        <v>2019|cancer du sein</v>
      </c>
      <c r="AC213" t="str">
        <f>TRIM(SUBSTITUTE(SUBSTITUTE(SUBSTITUTE(SUBSTITUTE(" " &amp; LOWER(TRIM(IF($N213&lt;&gt;"", $N213, $H213))) &amp; " ", " aomi ", " arteriopathie des membres inferieurs "), " hta ", " hypertension arterielle "), " saos ", " syndrome d'apnees obstructives du sommeil "), " rgo ", " reflux gastro-oesophagien ") )</f>
        <v>cancer du sein</v>
      </c>
      <c r="AD213" t="str">
        <f>TRIM(SUBSTITUTE(SUBSTITUTE(SUBSTITUTE(SUBSTITUTE(" " &amp; LOWER(TRIM($AC213)) &amp; " ", " oacr ", " occlusion de l'artere centrale de la retine "), " hsd ", " hematome sous-dural "), " fa ", " fibrillation auriculaire "), " ep ", " embolie pulmonaire ") )</f>
        <v>cancer du sein</v>
      </c>
      <c r="AE213" t="str" cm="1">
        <f t="array" ref="AE213">_xlfn.LET(_xlpm.base, " " &amp; LOWER(TRIM($AD213))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cancer du sein</v>
      </c>
      <c r="AF213" t="str" cm="1">
        <f t="array" ref="AF213">_xlfn.LET(_xlpm.base, " " &amp; LOWER(TRIM($AE213))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cancer du sein</v>
      </c>
    </row>
    <row r="214" spans="1:32" ht="16.5">
      <c r="A214" s="8">
        <v>2019</v>
      </c>
      <c r="B214" s="10" t="s">
        <v>87</v>
      </c>
      <c r="C214" s="8" t="s">
        <v>33</v>
      </c>
      <c r="D214" s="20">
        <v>79</v>
      </c>
      <c r="E214" s="11" t="str">
        <f>IF(D214="","",IFERROR(INDEX(SSP!$E$2:$E$266, MATCH(D214, SSP!$F$2:$F$266, 0)),""))</f>
        <v>Métrorragies, saignement vaginal</v>
      </c>
      <c r="F214" s="11" t="str">
        <f>Feuil1!E214</f>
        <v>Saignement vaginal</v>
      </c>
      <c r="G214" s="12" t="s">
        <v>780</v>
      </c>
      <c r="H214" s="13" t="s">
        <v>781</v>
      </c>
      <c r="I214" s="13"/>
      <c r="J214" s="15" t="s">
        <v>782</v>
      </c>
      <c r="K214" s="9" t="s">
        <v>33</v>
      </c>
      <c r="L214" s="9" t="s">
        <v>33</v>
      </c>
      <c r="M214" s="9" t="s">
        <v>33</v>
      </c>
      <c r="N214" t="s">
        <v>781</v>
      </c>
      <c r="O214" t="str">
        <f>IFERROR(_xlfn.XLOOKUP($D214, SSP!$F:$F, SSP!$E:$E, "Inconnu"), "")</f>
        <v>Métrorragies, saignement vaginal</v>
      </c>
      <c r="P214" t="str">
        <f>IF(OR(E214="", O214=""), "", IF(LOWER(E214)=LOWER(O214), "OK", "⚠️ Libellé ≠ n°"))</f>
        <v>OK</v>
      </c>
      <c r="Q214" t="str">
        <f>IF(Feuil1!$E214="", "", IF(LOWER(Feuil1!$E214)=LOWER(E214), "Identique", "Différent"))</f>
        <v>Différent</v>
      </c>
      <c r="R214" t="str">
        <f>IF(OR(P214="⚠️ Libellé ≠ n°", O214="Inconnu"), "⚠️", IF(Q214="Différent", "ℹ️", ""))</f>
        <v>ℹ️</v>
      </c>
      <c r="S214" t="str" cm="1">
        <f t="array" ref="S214">_xlfn.LET(_xlpm.genCat,IFERROR(LOWER(TRIM(G214)),""),_xlpm.principal,IFERROR(LOWER(TRIM(H214)),""),_xlpm.orig,IFERROR(LOWER(TRIM(N214)),""),IF(OR(_xlpm.genCat="",_xlpm.principal=""),"",IF(LEFT(LOWER(G214),5)="autre","OK (Autre)",IF(OR(ISNUMBER(SEARCH(_xlpm.genCat,_xlpm.principal)),ISNUMBER(SEARCH(_xlpm.principal,_xlpm.genCat)),AND(_xlpm.orig&lt;&gt;"",OR(ISNUMBER(SEARCH(_xlpm.genCat,_xlpm.orig)),ISNUMBER(SEARCH(_xlpm.orig,_xlpm.genCat))))),"OK","⚠️ À vérifier"))))</f>
        <v>⚠️ À vérifier</v>
      </c>
      <c r="T214" t="str">
        <f>IF(S214="","",IF(S214="OK (Autre)","Diagnostic générique = 'Autre – …'",IF(S214="OK","Concordance générique/principal","Écart entre générique et principal")))</f>
        <v>Écart entre générique et principal</v>
      </c>
      <c r="U214" t="str" cm="1">
        <f t="array" ref="U214">_xlfn.LET(_xlpm.yr, A214, _xlpm.diag, IF(N214&lt;&gt;"", N214, H214), _xlpm.base, TRIM(SUBSTITUTE(SUBSTITUTE(SUBSTITUTE(SUBSTITUTE(_xlpm.diag,"•"," "),CHAR(160)," "),CHAR(10)," "),"  "," ")), LOWER(_xlpm.yr&amp;"|"&amp;_xlpm.base))</f>
        <v>2019|dysplasie de l'endomètre</v>
      </c>
      <c r="V214" t="str">
        <f>IFERROR(_xlfn.XLOOKUP($AB214,'Cas 2013-2017'!$K:$K,'Cas 2013-2017'!$D:$D,""),"")</f>
        <v/>
      </c>
      <c r="W214" t="str">
        <f>IFERROR(_xlfn.XLOOKUP($AB214,'Cas 2013-2017'!$K:$K,'Cas 2013-2017'!$E:$E,""),"")</f>
        <v/>
      </c>
      <c r="X214" t="str">
        <f>IFERROR(_xlfn.XLOOKUP($AB214,'Cas 2013-2017'!$K:$K,'Cas 2013-2017'!$F:$F,""),"")</f>
        <v/>
      </c>
      <c r="Y214" t="str">
        <f>IFERROR(_xlfn.XLOOKUP($AB214,'Cas 2013-2017'!$K:$K,'Cas 2013-2017'!$G:$G,""),"")</f>
        <v/>
      </c>
      <c r="Z214" t="str">
        <f>IFERROR(_xlfn.XLOOKUP($AB214,'Cas 2013-2017'!$K:$K,'Cas 2013-2017'!$I:$I,""),"")</f>
        <v/>
      </c>
      <c r="AA214" t="str">
        <f>IFERROR(_xlfn.XLOOKUP($AB214,'Cas 2013-2017'!$K:$K,'Cas 2013-2017'!$H:$H,""),"")</f>
        <v/>
      </c>
      <c r="AB214" t="str">
        <f>LOWER($A214 &amp; "|" &amp; $AF214)</f>
        <v>2019|dysplasie de l'endomètre</v>
      </c>
      <c r="AC214" t="str">
        <f>TRIM(SUBSTITUTE(SUBSTITUTE(SUBSTITUTE(SUBSTITUTE(" " &amp; LOWER(TRIM(IF($N214&lt;&gt;"", $N214, $H214))) &amp; " ", " aomi ", " arteriopathie des membres inferieurs "), " hta ", " hypertension arterielle "), " saos ", " syndrome d'apnees obstructives du sommeil "), " rgo ", " reflux gastro-oesophagien ") )</f>
        <v>dysplasie de l'endomètre</v>
      </c>
      <c r="AD214" t="str">
        <f>TRIM(SUBSTITUTE(SUBSTITUTE(SUBSTITUTE(SUBSTITUTE(" " &amp; LOWER(TRIM($AC214)) &amp; " ", " oacr ", " occlusion de l'artere centrale de la retine "), " hsd ", " hematome sous-dural "), " fa ", " fibrillation auriculaire "), " ep ", " embolie pulmonaire ") )</f>
        <v>dysplasie de l'endomètre</v>
      </c>
      <c r="AE214" t="str" cm="1">
        <f t="array" ref="AE214">_xlfn.LET(_xlpm.base, " " &amp; LOWER(TRIM($AD214))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dysplasie de l'endomètre</v>
      </c>
      <c r="AF214" t="str" cm="1">
        <f t="array" ref="AF214">_xlfn.LET(_xlpm.base, " " &amp; LOWER(TRIM($AE214))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dysplasie de l'endomètre</v>
      </c>
    </row>
    <row r="215" spans="1:32" ht="33.75">
      <c r="A215" s="8">
        <v>2019</v>
      </c>
      <c r="B215" s="10" t="s">
        <v>91</v>
      </c>
      <c r="C215" s="8" t="s">
        <v>33</v>
      </c>
      <c r="D215" s="20"/>
      <c r="E215" s="11" t="str">
        <f>IF(D215="","",IFERROR(INDEX(SSP!$E$2:$E$266, MATCH(D215, SSP!$F$2:$F$266, 0)),""))</f>
        <v/>
      </c>
      <c r="F215" s="11" t="str">
        <f>Feuil1!E215</f>
        <v> </v>
      </c>
      <c r="G215" s="12" t="s">
        <v>160</v>
      </c>
      <c r="H215" s="13" t="s">
        <v>783</v>
      </c>
      <c r="I215" s="13"/>
      <c r="J215" s="15" t="s">
        <v>784</v>
      </c>
      <c r="K215" s="9" t="s">
        <v>566</v>
      </c>
      <c r="L215" s="9" t="s">
        <v>33</v>
      </c>
      <c r="M215" s="9" t="s">
        <v>33</v>
      </c>
      <c r="N215" t="s">
        <v>783</v>
      </c>
      <c r="O215">
        <f>IFERROR(_xlfn.XLOOKUP($D215, SSP!$F:$F, SSP!$E:$E, "Inconnu"), "")</f>
        <v>0</v>
      </c>
      <c r="P215" t="str">
        <f>IF(OR(E215="", O215=""), "", IF(LOWER(E215)=LOWER(O215), "OK", "⚠️ Libellé ≠ n°"))</f>
        <v/>
      </c>
      <c r="Q215" t="str">
        <f>IF(Feuil1!$E215="", "", IF(LOWER(Feuil1!$E215)=LOWER(E215), "Identique", "Différent"))</f>
        <v>Différent</v>
      </c>
      <c r="R215" t="str">
        <f>IF(OR(P215="⚠️ Libellé ≠ n°", O215="Inconnu"), "⚠️", IF(Q215="Différent", "ℹ️", ""))</f>
        <v>ℹ️</v>
      </c>
      <c r="S215" t="str" cm="1">
        <f t="array" ref="S215">_xlfn.LET(_xlpm.genCat,IFERROR(LOWER(TRIM(G215)),""),_xlpm.principal,IFERROR(LOWER(TRIM(H215)),""),_xlpm.orig,IFERROR(LOWER(TRIM(N215)),""),IF(OR(_xlpm.genCat="",_xlpm.principal=""),"",IF(LEFT(LOWER(G215),5)="autre","OK (Autre)",IF(OR(ISNUMBER(SEARCH(_xlpm.genCat,_xlpm.principal)),ISNUMBER(SEARCH(_xlpm.principal,_xlpm.genCat)),AND(_xlpm.orig&lt;&gt;"",OR(ISNUMBER(SEARCH(_xlpm.genCat,_xlpm.orig)),ISNUMBER(SEARCH(_xlpm.orig,_xlpm.genCat))))),"OK","⚠️ À vérifier"))))</f>
        <v>OK (Autre)</v>
      </c>
      <c r="T215" t="str">
        <f>IF(S215="","",IF(S215="OK (Autre)","Diagnostic générique = 'Autre – …'",IF(S215="OK","Concordance générique/principal","Écart entre générique et principal")))</f>
        <v>Diagnostic générique = 'Autre – …'</v>
      </c>
      <c r="U215" t="str" cm="1">
        <f t="array" ref="U215">_xlfn.LET(_xlpm.yr, A215, _xlpm.diag, IF(N215&lt;&gt;"", N215, H215), _xlpm.base, TRIM(SUBSTITUTE(SUBSTITUTE(SUBSTITUTE(SUBSTITUTE(_xlpm.diag,"•"," "),CHAR(160)," "),CHAR(10)," "),"  "," ")), LOWER(_xlpm.yr&amp;"|"&amp;_xlpm.base))</f>
        <v>2019|vaginose</v>
      </c>
      <c r="V215" t="str">
        <f>IFERROR(_xlfn.XLOOKUP($AB215,'Cas 2013-2017'!$K:$K,'Cas 2013-2017'!$D:$D,""),"")</f>
        <v/>
      </c>
      <c r="W215" t="str">
        <f>IFERROR(_xlfn.XLOOKUP($AB215,'Cas 2013-2017'!$K:$K,'Cas 2013-2017'!$E:$E,""),"")</f>
        <v/>
      </c>
      <c r="X215" t="str">
        <f>IFERROR(_xlfn.XLOOKUP($AB215,'Cas 2013-2017'!$K:$K,'Cas 2013-2017'!$F:$F,""),"")</f>
        <v/>
      </c>
      <c r="Y215" t="str">
        <f>IFERROR(_xlfn.XLOOKUP($AB215,'Cas 2013-2017'!$K:$K,'Cas 2013-2017'!$G:$G,""),"")</f>
        <v/>
      </c>
      <c r="Z215" t="str">
        <f>IFERROR(_xlfn.XLOOKUP($AB215,'Cas 2013-2017'!$K:$K,'Cas 2013-2017'!$I:$I,""),"")</f>
        <v/>
      </c>
      <c r="AA215" t="str">
        <f>IFERROR(_xlfn.XLOOKUP($AB215,'Cas 2013-2017'!$K:$K,'Cas 2013-2017'!$H:$H,""),"")</f>
        <v/>
      </c>
      <c r="AB215" t="str">
        <f>LOWER($A215 &amp; "|" &amp; $AF215)</f>
        <v>2019|vaginose</v>
      </c>
      <c r="AC215" t="str">
        <f>TRIM(SUBSTITUTE(SUBSTITUTE(SUBSTITUTE(SUBSTITUTE(" " &amp; LOWER(TRIM(IF($N215&lt;&gt;"", $N215, $H215))) &amp; " ", " aomi ", " arteriopathie des membres inferieurs "), " hta ", " hypertension arterielle "), " saos ", " syndrome d'apnees obstructives du sommeil "), " rgo ", " reflux gastro-oesophagien ") )</f>
        <v>vaginose</v>
      </c>
      <c r="AD215" t="str">
        <f>TRIM(SUBSTITUTE(SUBSTITUTE(SUBSTITUTE(SUBSTITUTE(" " &amp; LOWER(TRIM($AC215)) &amp; " ", " oacr ", " occlusion de l'artere centrale de la retine "), " hsd ", " hematome sous-dural "), " fa ", " fibrillation auriculaire "), " ep ", " embolie pulmonaire ") )</f>
        <v>vaginose</v>
      </c>
      <c r="AE215" t="str" cm="1">
        <f t="array" ref="AE215">_xlfn.LET(_xlpm.base, " " &amp; LOWER(TRIM($AD215))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vaginose</v>
      </c>
      <c r="AF215" t="str" cm="1">
        <f t="array" ref="AF215">_xlfn.LET(_xlpm.base, " " &amp; LOWER(TRIM($AE215))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vaginose</v>
      </c>
    </row>
    <row r="216" spans="1:32" ht="16.5">
      <c r="A216" s="8">
        <v>2019</v>
      </c>
      <c r="B216" s="10" t="s">
        <v>82</v>
      </c>
      <c r="C216" s="8" t="s">
        <v>33</v>
      </c>
      <c r="D216" s="20">
        <v>32</v>
      </c>
      <c r="E216" s="11" t="str">
        <f>IF(D216="","",IFERROR(INDEX(SSP!$E$2:$E$266, MATCH(D216, SSP!$F$2:$F$266, 0)),""))</f>
        <v>Raideur et douleur cervicales</v>
      </c>
      <c r="F216" s="11" t="str">
        <f>Feuil1!E216</f>
        <v>Douleur cervicale</v>
      </c>
      <c r="G216" s="12" t="s">
        <v>83</v>
      </c>
      <c r="H216" s="13" t="s">
        <v>785</v>
      </c>
      <c r="I216" s="13"/>
      <c r="J216" s="16" t="s">
        <v>165</v>
      </c>
      <c r="K216" s="9" t="s">
        <v>33</v>
      </c>
      <c r="L216" s="9" t="s">
        <v>33</v>
      </c>
      <c r="M216" s="9" t="s">
        <v>33</v>
      </c>
      <c r="N216" t="s">
        <v>785</v>
      </c>
      <c r="O216" t="str">
        <f>IFERROR(_xlfn.XLOOKUP($D216, SSP!$F:$F, SSP!$E:$E, "Inconnu"), "")</f>
        <v>Raideur et douleur cervicales</v>
      </c>
      <c r="P216" t="str">
        <f>IF(OR(E216="", O216=""), "", IF(LOWER(E216)=LOWER(O216), "OK", "⚠️ Libellé ≠ n°"))</f>
        <v>OK</v>
      </c>
      <c r="Q216" t="str">
        <f>IF(Feuil1!$E216="", "", IF(LOWER(Feuil1!$E216)=LOWER(E216), "Identique", "Différent"))</f>
        <v>Différent</v>
      </c>
      <c r="R216" t="str">
        <f>IF(OR(P216="⚠️ Libellé ≠ n°", O216="Inconnu"), "⚠️", IF(Q216="Différent", "ℹ️", ""))</f>
        <v>ℹ️</v>
      </c>
      <c r="S216" t="str" cm="1">
        <f t="array" ref="S216">_xlfn.LET(_xlpm.genCat,IFERROR(LOWER(TRIM(G216)),""),_xlpm.principal,IFERROR(LOWER(TRIM(H216)),""),_xlpm.orig,IFERROR(LOWER(TRIM(N216)),""),IF(OR(_xlpm.genCat="",_xlpm.principal=""),"",IF(LEFT(LOWER(G216),5)="autre","OK (Autre)",IF(OR(ISNUMBER(SEARCH(_xlpm.genCat,_xlpm.principal)),ISNUMBER(SEARCH(_xlpm.principal,_xlpm.genCat)),AND(_xlpm.orig&lt;&gt;"",OR(ISNUMBER(SEARCH(_xlpm.genCat,_xlpm.orig)),ISNUMBER(SEARCH(_xlpm.orig,_xlpm.genCat))))),"OK","⚠️ À vérifier"))))</f>
        <v>OK (Autre)</v>
      </c>
      <c r="T216" t="str">
        <f>IF(S216="","",IF(S216="OK (Autre)","Diagnostic générique = 'Autre – …'",IF(S216="OK","Concordance générique/principal","Écart entre générique et principal")))</f>
        <v>Diagnostic générique = 'Autre – …'</v>
      </c>
      <c r="U216" t="str" cm="1">
        <f t="array" ref="U216">_xlfn.LET(_xlpm.yr, A216, _xlpm.diag, IF(N216&lt;&gt;"", N216, H216), _xlpm.base, TRIM(SUBSTITUTE(SUBSTITUTE(SUBSTITUTE(SUBSTITUTE(_xlpm.diag,"•"," "),CHAR(160)," "),CHAR(10)," "),"  "," ")), LOWER(_xlpm.yr&amp;"|"&amp;_xlpm.base))</f>
        <v>2019|cervicalgies</v>
      </c>
      <c r="V216" t="str">
        <f>IFERROR(_xlfn.XLOOKUP($AB216,'Cas 2013-2017'!$K:$K,'Cas 2013-2017'!$D:$D,""),"")</f>
        <v/>
      </c>
      <c r="W216" t="str">
        <f>IFERROR(_xlfn.XLOOKUP($AB216,'Cas 2013-2017'!$K:$K,'Cas 2013-2017'!$E:$E,""),"")</f>
        <v/>
      </c>
      <c r="X216" t="str">
        <f>IFERROR(_xlfn.XLOOKUP($AB216,'Cas 2013-2017'!$K:$K,'Cas 2013-2017'!$F:$F,""),"")</f>
        <v/>
      </c>
      <c r="Y216" t="str">
        <f>IFERROR(_xlfn.XLOOKUP($AB216,'Cas 2013-2017'!$K:$K,'Cas 2013-2017'!$G:$G,""),"")</f>
        <v/>
      </c>
      <c r="Z216" t="str">
        <f>IFERROR(_xlfn.XLOOKUP($AB216,'Cas 2013-2017'!$K:$K,'Cas 2013-2017'!$I:$I,""),"")</f>
        <v/>
      </c>
      <c r="AA216" t="str">
        <f>IFERROR(_xlfn.XLOOKUP($AB216,'Cas 2013-2017'!$K:$K,'Cas 2013-2017'!$H:$H,""),"")</f>
        <v/>
      </c>
      <c r="AB216" t="str">
        <f>LOWER($A216 &amp; "|" &amp; $AF216)</f>
        <v>2019|cervicalgies</v>
      </c>
      <c r="AC216" t="str">
        <f>TRIM(SUBSTITUTE(SUBSTITUTE(SUBSTITUTE(SUBSTITUTE(" " &amp; LOWER(TRIM(IF($N216&lt;&gt;"", $N216, $H216))) &amp; " ", " aomi ", " arteriopathie des membres inferieurs "), " hta ", " hypertension arterielle "), " saos ", " syndrome d'apnees obstructives du sommeil "), " rgo ", " reflux gastro-oesophagien ") )</f>
        <v>cervicalgies</v>
      </c>
      <c r="AD216" t="str">
        <f>TRIM(SUBSTITUTE(SUBSTITUTE(SUBSTITUTE(SUBSTITUTE(" " &amp; LOWER(TRIM($AC216)) &amp; " ", " oacr ", " occlusion de l'artere centrale de la retine "), " hsd ", " hematome sous-dural "), " fa ", " fibrillation auriculaire "), " ep ", " embolie pulmonaire ") )</f>
        <v>cervicalgies</v>
      </c>
      <c r="AE216" t="str" cm="1">
        <f t="array" ref="AE216">_xlfn.LET(_xlpm.base, " " &amp; LOWER(TRIM($AD216))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cervicalgies</v>
      </c>
      <c r="AF216" t="str" cm="1">
        <f t="array" ref="AF216">_xlfn.LET(_xlpm.base, " " &amp; LOWER(TRIM($AE216))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cervicalgies</v>
      </c>
    </row>
    <row r="217" spans="1:32" ht="33.75">
      <c r="A217" s="8">
        <v>2019</v>
      </c>
      <c r="B217" s="10" t="s">
        <v>221</v>
      </c>
      <c r="C217" s="8" t="s">
        <v>33</v>
      </c>
      <c r="D217" s="20">
        <v>10</v>
      </c>
      <c r="E217" s="11" t="str">
        <f>IF(D217="","",IFERROR(INDEX(SSP!$E$2:$E$266, MATCH(D217, SSP!$F$2:$F$266, 0)),""))</f>
        <v>Douleur (toutes localisations et types confondus)</v>
      </c>
      <c r="F217" s="11" t="str">
        <f>Feuil1!E217</f>
        <v>Douleur dorsale</v>
      </c>
      <c r="G217" s="12" t="s">
        <v>470</v>
      </c>
      <c r="H217" s="13" t="s">
        <v>786</v>
      </c>
      <c r="I217" s="13"/>
      <c r="J217" s="15" t="s">
        <v>787</v>
      </c>
      <c r="K217" s="9" t="s">
        <v>33</v>
      </c>
      <c r="L217" s="9" t="s">
        <v>33</v>
      </c>
      <c r="M217" s="9" t="s">
        <v>33</v>
      </c>
      <c r="N217" t="s">
        <v>786</v>
      </c>
      <c r="O217" t="str">
        <f>IFERROR(_xlfn.XLOOKUP($D217, SSP!$F:$F, SSP!$E:$E, "Inconnu"), "")</f>
        <v>Douleur (toutes localisations et types confondus)</v>
      </c>
      <c r="P217" t="str">
        <f>IF(OR(E217="", O217=""), "", IF(LOWER(E217)=LOWER(O217), "OK", "⚠️ Libellé ≠ n°"))</f>
        <v>OK</v>
      </c>
      <c r="Q217" t="str">
        <f>IF(Feuil1!$E217="", "", IF(LOWER(Feuil1!$E217)=LOWER(E217), "Identique", "Différent"))</f>
        <v>Différent</v>
      </c>
      <c r="R217" t="str">
        <f>IF(OR(P217="⚠️ Libellé ≠ n°", O217="Inconnu"), "⚠️", IF(Q217="Différent", "ℹ️", ""))</f>
        <v>ℹ️</v>
      </c>
      <c r="S217" t="str" cm="1">
        <f t="array" ref="S217">_xlfn.LET(_xlpm.genCat,IFERROR(LOWER(TRIM(G217)),""),_xlpm.principal,IFERROR(LOWER(TRIM(H217)),""),_xlpm.orig,IFERROR(LOWER(TRIM(N217)),""),IF(OR(_xlpm.genCat="",_xlpm.principal=""),"",IF(LEFT(LOWER(G217),5)="autre","OK (Autre)",IF(OR(ISNUMBER(SEARCH(_xlpm.genCat,_xlpm.principal)),ISNUMBER(SEARCH(_xlpm.principal,_xlpm.genCat)),AND(_xlpm.orig&lt;&gt;"",OR(ISNUMBER(SEARCH(_xlpm.genCat,_xlpm.orig)),ISNUMBER(SEARCH(_xlpm.orig,_xlpm.genCat))))),"OK","⚠️ À vérifier"))))</f>
        <v>⚠️ À vérifier</v>
      </c>
      <c r="T217" t="str">
        <f>IF(S217="","",IF(S217="OK (Autre)","Diagnostic générique = 'Autre – …'",IF(S217="OK","Concordance générique/principal","Écart entre générique et principal")))</f>
        <v>Écart entre générique et principal</v>
      </c>
      <c r="U217" t="str" cm="1">
        <f t="array" ref="U217">_xlfn.LET(_xlpm.yr, A217, _xlpm.diag, IF(N217&lt;&gt;"", N217, H217), _xlpm.base, TRIM(SUBSTITUTE(SUBSTITUTE(SUBSTITUTE(SUBSTITUTE(_xlpm.diag,"•"," "),CHAR(160)," "),CHAR(10)," "),"  "," ")), LOWER(_xlpm.yr&amp;"|"&amp;_xlpm.base))</f>
        <v>2019|hernie discale</v>
      </c>
      <c r="V217" t="str">
        <f>IFERROR(_xlfn.XLOOKUP($AB217,'Cas 2013-2017'!$K:$K,'Cas 2013-2017'!$D:$D,""),"")</f>
        <v/>
      </c>
      <c r="W217" t="str">
        <f>IFERROR(_xlfn.XLOOKUP($AB217,'Cas 2013-2017'!$K:$K,'Cas 2013-2017'!$E:$E,""),"")</f>
        <v/>
      </c>
      <c r="X217" t="str">
        <f>IFERROR(_xlfn.XLOOKUP($AB217,'Cas 2013-2017'!$K:$K,'Cas 2013-2017'!$F:$F,""),"")</f>
        <v/>
      </c>
      <c r="Y217" t="str">
        <f>IFERROR(_xlfn.XLOOKUP($AB217,'Cas 2013-2017'!$K:$K,'Cas 2013-2017'!$G:$G,""),"")</f>
        <v/>
      </c>
      <c r="Z217" t="str">
        <f>IFERROR(_xlfn.XLOOKUP($AB217,'Cas 2013-2017'!$K:$K,'Cas 2013-2017'!$I:$I,""),"")</f>
        <v/>
      </c>
      <c r="AA217" t="str">
        <f>IFERROR(_xlfn.XLOOKUP($AB217,'Cas 2013-2017'!$K:$K,'Cas 2013-2017'!$H:$H,""),"")</f>
        <v/>
      </c>
      <c r="AB217" t="str">
        <f>LOWER($A217 &amp; "|" &amp; $AF217)</f>
        <v>2019|hernie discale</v>
      </c>
      <c r="AC217" t="str">
        <f>TRIM(SUBSTITUTE(SUBSTITUTE(SUBSTITUTE(SUBSTITUTE(" " &amp; LOWER(TRIM(IF($N217&lt;&gt;"", $N217, $H217))) &amp; " ", " aomi ", " arteriopathie des membres inferieurs "), " hta ", " hypertension arterielle "), " saos ", " syndrome d'apnees obstructives du sommeil "), " rgo ", " reflux gastro-oesophagien ") )</f>
        <v>hernie discale</v>
      </c>
      <c r="AD217" t="str">
        <f>TRIM(SUBSTITUTE(SUBSTITUTE(SUBSTITUTE(SUBSTITUTE(" " &amp; LOWER(TRIM($AC217)) &amp; " ", " oacr ", " occlusion de l'artere centrale de la retine "), " hsd ", " hematome sous-dural "), " fa ", " fibrillation auriculaire "), " ep ", " embolie pulmonaire ") )</f>
        <v>hernie discale</v>
      </c>
      <c r="AE217" t="str" cm="1">
        <f t="array" ref="AE217">_xlfn.LET(_xlpm.base, " " &amp; LOWER(TRIM($AD217))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discale</v>
      </c>
      <c r="AF217" t="str" cm="1">
        <f t="array" ref="AF217">_xlfn.LET(_xlpm.base, " " &amp; LOWER(TRIM($AE217))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discale</v>
      </c>
    </row>
    <row r="218" spans="1:32" ht="33.75">
      <c r="A218" s="8">
        <v>2019</v>
      </c>
      <c r="B218" s="10" t="s">
        <v>82</v>
      </c>
      <c r="C218" s="8" t="s">
        <v>33</v>
      </c>
      <c r="D218" s="20">
        <v>10</v>
      </c>
      <c r="E218" s="11" t="str">
        <f>IF(D218="","",IFERROR(INDEX(SSP!$E$2:$E$266, MATCH(D218, SSP!$F$2:$F$266, 0)),""))</f>
        <v>Douleur (toutes localisations et types confondus)</v>
      </c>
      <c r="F218" s="11" t="str">
        <f>Feuil1!E218</f>
        <v>Douleur dorsale</v>
      </c>
      <c r="G218" s="12" t="s">
        <v>83</v>
      </c>
      <c r="H218" s="13" t="s">
        <v>788</v>
      </c>
      <c r="I218" s="13"/>
      <c r="J218" s="15" t="s">
        <v>789</v>
      </c>
      <c r="K218" s="9" t="s">
        <v>33</v>
      </c>
      <c r="L218" s="9" t="s">
        <v>33</v>
      </c>
      <c r="M218" s="9" t="s">
        <v>33</v>
      </c>
      <c r="N218" t="s">
        <v>790</v>
      </c>
      <c r="O218" t="str">
        <f>IFERROR(_xlfn.XLOOKUP($D218, SSP!$F:$F, SSP!$E:$E, "Inconnu"), "")</f>
        <v>Douleur (toutes localisations et types confondus)</v>
      </c>
      <c r="P218" t="str">
        <f>IF(OR(E218="", O218=""), "", IF(LOWER(E218)=LOWER(O218), "OK", "⚠️ Libellé ≠ n°"))</f>
        <v>OK</v>
      </c>
      <c r="Q218" t="str">
        <f>IF(Feuil1!$E218="", "", IF(LOWER(Feuil1!$E218)=LOWER(E218), "Identique", "Différent"))</f>
        <v>Différent</v>
      </c>
      <c r="R218" t="str">
        <f>IF(OR(P218="⚠️ Libellé ≠ n°", O218="Inconnu"), "⚠️", IF(Q218="Différent", "ℹ️", ""))</f>
        <v>ℹ️</v>
      </c>
      <c r="S218" t="str" cm="1">
        <f t="array" ref="S218">_xlfn.LET(_xlpm.genCat,IFERROR(LOWER(TRIM(G218)),""),_xlpm.principal,IFERROR(LOWER(TRIM(H218)),""),_xlpm.orig,IFERROR(LOWER(TRIM(N218)),""),IF(OR(_xlpm.genCat="",_xlpm.principal=""),"",IF(LEFT(LOWER(G218),5)="autre","OK (Autre)",IF(OR(ISNUMBER(SEARCH(_xlpm.genCat,_xlpm.principal)),ISNUMBER(SEARCH(_xlpm.principal,_xlpm.genCat)),AND(_xlpm.orig&lt;&gt;"",OR(ISNUMBER(SEARCH(_xlpm.genCat,_xlpm.orig)),ISNUMBER(SEARCH(_xlpm.orig,_xlpm.genCat))))),"OK","⚠️ À vérifier"))))</f>
        <v>OK (Autre)</v>
      </c>
      <c r="T218" t="str">
        <f>IF(S218="","",IF(S218="OK (Autre)","Diagnostic générique = 'Autre – …'",IF(S218="OK","Concordance générique/principal","Écart entre générique et principal")))</f>
        <v>Diagnostic générique = 'Autre – …'</v>
      </c>
      <c r="U218" t="str" cm="1">
        <f t="array" ref="U218">_xlfn.LET(_xlpm.yr, A218, _xlpm.diag, IF(N218&lt;&gt;"", N218, H218), _xlpm.base, TRIM(SUBSTITUTE(SUBSTITUTE(SUBSTITUTE(SUBSTITUTE(_xlpm.diag,"•"," "),CHAR(160)," "),CHAR(10)," "),"  "," ")), LOWER(_xlpm.yr&amp;"|"&amp;_xlpm.base))</f>
        <v>2019|métastases lombaire.</v>
      </c>
      <c r="V218" t="str">
        <f>IFERROR(_xlfn.XLOOKUP($AB218,'Cas 2013-2017'!$K:$K,'Cas 2013-2017'!$D:$D,""),"")</f>
        <v/>
      </c>
      <c r="W218" t="str">
        <f>IFERROR(_xlfn.XLOOKUP($AB218,'Cas 2013-2017'!$K:$K,'Cas 2013-2017'!$E:$E,""),"")</f>
        <v/>
      </c>
      <c r="X218" t="str">
        <f>IFERROR(_xlfn.XLOOKUP($AB218,'Cas 2013-2017'!$K:$K,'Cas 2013-2017'!$F:$F,""),"")</f>
        <v/>
      </c>
      <c r="Y218" t="str">
        <f>IFERROR(_xlfn.XLOOKUP($AB218,'Cas 2013-2017'!$K:$K,'Cas 2013-2017'!$G:$G,""),"")</f>
        <v/>
      </c>
      <c r="Z218" t="str">
        <f>IFERROR(_xlfn.XLOOKUP($AB218,'Cas 2013-2017'!$K:$K,'Cas 2013-2017'!$I:$I,""),"")</f>
        <v/>
      </c>
      <c r="AA218" t="str">
        <f>IFERROR(_xlfn.XLOOKUP($AB218,'Cas 2013-2017'!$K:$K,'Cas 2013-2017'!$H:$H,""),"")</f>
        <v/>
      </c>
      <c r="AB218" t="str">
        <f>LOWER($A218 &amp; "|" &amp; $AF218)</f>
        <v>2019|métastases lombaire.</v>
      </c>
      <c r="AC218" t="str">
        <f>TRIM(SUBSTITUTE(SUBSTITUTE(SUBSTITUTE(SUBSTITUTE(" " &amp; LOWER(TRIM(IF($N218&lt;&gt;"", $N218, $H218))) &amp; " ", " aomi ", " arteriopathie des membres inferieurs "), " hta ", " hypertension arterielle "), " saos ", " syndrome d'apnees obstructives du sommeil "), " rgo ", " reflux gastro-oesophagien ") )</f>
        <v>métastases lombaire.</v>
      </c>
      <c r="AD218" t="str">
        <f>TRIM(SUBSTITUTE(SUBSTITUTE(SUBSTITUTE(SUBSTITUTE(" " &amp; LOWER(TRIM($AC218)) &amp; " ", " oacr ", " occlusion de l'artere centrale de la retine "), " hsd ", " hematome sous-dural "), " fa ", " fibrillation auriculaire "), " ep ", " embolie pulmonaire ") )</f>
        <v>métastases lombaire.</v>
      </c>
      <c r="AE218" t="str" cm="1">
        <f t="array" ref="AE218">_xlfn.LET(_xlpm.base, " " &amp; LOWER(TRIM($AD218))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métastases lombaire.</v>
      </c>
      <c r="AF218" t="str" cm="1">
        <f t="array" ref="AF218">_xlfn.LET(_xlpm.base, " " &amp; LOWER(TRIM($AE218))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métastases lombaire.</v>
      </c>
    </row>
    <row r="219" spans="1:32" ht="50.25">
      <c r="A219" s="8">
        <v>2019</v>
      </c>
      <c r="B219" s="10" t="s">
        <v>221</v>
      </c>
      <c r="C219" s="8" t="s">
        <v>33</v>
      </c>
      <c r="D219" s="20">
        <v>85</v>
      </c>
      <c r="E219" s="11" t="str">
        <f>IF(D219="","",IFERROR(INDEX(SSP!$E$2:$E$266, MATCH(D219, SSP!$F$2:$F$266, 0)),""))</f>
        <v>Douleur, sensation de brûlure, crampes ou engourdissement des extrémités</v>
      </c>
      <c r="F219" s="11" t="str">
        <f>Feuil1!E219</f>
        <v> </v>
      </c>
      <c r="G219" s="12" t="s">
        <v>791</v>
      </c>
      <c r="H219" s="13" t="s">
        <v>791</v>
      </c>
      <c r="I219" s="13"/>
      <c r="J219" s="15" t="s">
        <v>33</v>
      </c>
      <c r="K219" s="9" t="s">
        <v>33</v>
      </c>
      <c r="L219" s="9" t="s">
        <v>33</v>
      </c>
      <c r="M219" s="9" t="s">
        <v>33</v>
      </c>
      <c r="N219" t="s">
        <v>791</v>
      </c>
      <c r="O219" t="str">
        <f>IFERROR(_xlfn.XLOOKUP($D219, SSP!$F:$F, SSP!$E:$E, "Inconnu"), "")</f>
        <v>Douleur, sensation de brûlure, crampes ou engourdissement des extrémités</v>
      </c>
      <c r="P219" t="str">
        <f>IF(OR(E219="", O219=""), "", IF(LOWER(E219)=LOWER(O219), "OK", "⚠️ Libellé ≠ n°"))</f>
        <v>OK</v>
      </c>
      <c r="Q219" t="str">
        <f>IF(Feuil1!$E219="", "", IF(LOWER(Feuil1!$E219)=LOWER(E219), "Identique", "Différent"))</f>
        <v>Différent</v>
      </c>
      <c r="R219" t="str">
        <f>IF(OR(P219="⚠️ Libellé ≠ n°", O219="Inconnu"), "⚠️", IF(Q219="Différent", "ℹ️", ""))</f>
        <v>ℹ️</v>
      </c>
      <c r="S219" t="str" cm="1">
        <f t="array" ref="S219">_xlfn.LET(_xlpm.genCat,IFERROR(LOWER(TRIM(G219)),""),_xlpm.principal,IFERROR(LOWER(TRIM(H219)),""),_xlpm.orig,IFERROR(LOWER(TRIM(N219)),""),IF(OR(_xlpm.genCat="",_xlpm.principal=""),"",IF(LEFT(LOWER(G219),5)="autre","OK (Autre)",IF(OR(ISNUMBER(SEARCH(_xlpm.genCat,_xlpm.principal)),ISNUMBER(SEARCH(_xlpm.principal,_xlpm.genCat)),AND(_xlpm.orig&lt;&gt;"",OR(ISNUMBER(SEARCH(_xlpm.genCat,_xlpm.orig)),ISNUMBER(SEARCH(_xlpm.orig,_xlpm.genCat))))),"OK","⚠️ À vérifier"))))</f>
        <v>OK</v>
      </c>
      <c r="T219" t="str">
        <f>IF(S219="","",IF(S219="OK (Autre)","Diagnostic générique = 'Autre – …'",IF(S219="OK","Concordance générique/principal","Écart entre générique et principal")))</f>
        <v>Concordance générique/principal</v>
      </c>
      <c r="U219" t="str" cm="1">
        <f t="array" ref="U219">_xlfn.LET(_xlpm.yr, A219, _xlpm.diag, IF(N219&lt;&gt;"", N219, H219), _xlpm.base, TRIM(SUBSTITUTE(SUBSTITUTE(SUBSTITUTE(SUBSTITUTE(_xlpm.diag,"•"," "),CHAR(160)," "),CHAR(10)," "),"  "," ")), LOWER(_xlpm.yr&amp;"|"&amp;_xlpm.base))</f>
        <v>2019|algoneurodystrophie</v>
      </c>
      <c r="V219" t="str">
        <f>IFERROR(_xlfn.XLOOKUP($AB219,'Cas 2013-2017'!$K:$K,'Cas 2013-2017'!$D:$D,""),"")</f>
        <v/>
      </c>
      <c r="W219" t="str">
        <f>IFERROR(_xlfn.XLOOKUP($AB219,'Cas 2013-2017'!$K:$K,'Cas 2013-2017'!$E:$E,""),"")</f>
        <v/>
      </c>
      <c r="X219" t="str">
        <f>IFERROR(_xlfn.XLOOKUP($AB219,'Cas 2013-2017'!$K:$K,'Cas 2013-2017'!$F:$F,""),"")</f>
        <v/>
      </c>
      <c r="Y219" t="str">
        <f>IFERROR(_xlfn.XLOOKUP($AB219,'Cas 2013-2017'!$K:$K,'Cas 2013-2017'!$G:$G,""),"")</f>
        <v/>
      </c>
      <c r="Z219" t="str">
        <f>IFERROR(_xlfn.XLOOKUP($AB219,'Cas 2013-2017'!$K:$K,'Cas 2013-2017'!$I:$I,""),"")</f>
        <v/>
      </c>
      <c r="AA219" t="str">
        <f>IFERROR(_xlfn.XLOOKUP($AB219,'Cas 2013-2017'!$K:$K,'Cas 2013-2017'!$H:$H,""),"")</f>
        <v/>
      </c>
      <c r="AB219" t="str">
        <f>LOWER($A219 &amp; "|" &amp; $AF219)</f>
        <v>2019|algoneurodystrophie</v>
      </c>
      <c r="AC219" t="str">
        <f>TRIM(SUBSTITUTE(SUBSTITUTE(SUBSTITUTE(SUBSTITUTE(" " &amp; LOWER(TRIM(IF($N219&lt;&gt;"", $N219, $H219))) &amp; " ", " aomi ", " arteriopathie des membres inferieurs "), " hta ", " hypertension arterielle "), " saos ", " syndrome d'apnees obstructives du sommeil "), " rgo ", " reflux gastro-oesophagien ") )</f>
        <v>algoneurodystrophie</v>
      </c>
      <c r="AD219" t="str">
        <f>TRIM(SUBSTITUTE(SUBSTITUTE(SUBSTITUTE(SUBSTITUTE(" " &amp; LOWER(TRIM($AC219)) &amp; " ", " oacr ", " occlusion de l'artere centrale de la retine "), " hsd ", " hematome sous-dural "), " fa ", " fibrillation auriculaire "), " ep ", " embolie pulmonaire ") )</f>
        <v>algoneurodystrophie</v>
      </c>
      <c r="AE219" t="str" cm="1">
        <f t="array" ref="AE219">_xlfn.LET(_xlpm.base, " " &amp; LOWER(TRIM($AD219))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algoneurodystrophie</v>
      </c>
      <c r="AF219" t="str" cm="1">
        <f t="array" ref="AF219">_xlfn.LET(_xlpm.base, " " &amp; LOWER(TRIM($AE219))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algoneurodystrophie</v>
      </c>
    </row>
    <row r="220" spans="1:32" ht="33.75">
      <c r="A220" s="8">
        <v>2019</v>
      </c>
      <c r="B220" s="10" t="s">
        <v>100</v>
      </c>
      <c r="C220" s="8" t="s">
        <v>33</v>
      </c>
      <c r="D220" s="20">
        <v>207</v>
      </c>
      <c r="E220" s="11" t="str">
        <f>IF(D220="","",IFERROR(INDEX(SSP!$E$2:$E$266, MATCH(D220, SSP!$F$2:$F$266, 0)),""))</f>
        <v>Céphalée aiguë intense, syndrome méningé</v>
      </c>
      <c r="F220" s="11" t="str">
        <f>Feuil1!E220</f>
        <v>Céphalée</v>
      </c>
      <c r="G220" s="12" t="s">
        <v>106</v>
      </c>
      <c r="H220" s="13" t="s">
        <v>792</v>
      </c>
      <c r="I220" s="13"/>
      <c r="J220" s="15" t="s">
        <v>108</v>
      </c>
      <c r="K220" s="9" t="s">
        <v>33</v>
      </c>
      <c r="L220" s="9" t="s">
        <v>33</v>
      </c>
      <c r="M220" s="9" t="s">
        <v>33</v>
      </c>
      <c r="N220" t="s">
        <v>792</v>
      </c>
      <c r="O220" t="str">
        <f>IFERROR(_xlfn.XLOOKUP($D220, SSP!$F:$F, SSP!$E:$E, "Inconnu"), "")</f>
        <v>Céphalée aiguë intense, syndrome méningé</v>
      </c>
      <c r="P220" t="str">
        <f>IF(OR(E220="", O220=""), "", IF(LOWER(E220)=LOWER(O220), "OK", "⚠️ Libellé ≠ n°"))</f>
        <v>OK</v>
      </c>
      <c r="Q220" t="str">
        <f>IF(Feuil1!$E220="", "", IF(LOWER(Feuil1!$E220)=LOWER(E220), "Identique", "Différent"))</f>
        <v>Différent</v>
      </c>
      <c r="R220" t="str">
        <f>IF(OR(P220="⚠️ Libellé ≠ n°", O220="Inconnu"), "⚠️", IF(Q220="Différent", "ℹ️", ""))</f>
        <v>ℹ️</v>
      </c>
      <c r="S220" t="str" cm="1">
        <f t="array" ref="S220">_xlfn.LET(_xlpm.genCat,IFERROR(LOWER(TRIM(G220)),""),_xlpm.principal,IFERROR(LOWER(TRIM(H220)),""),_xlpm.orig,IFERROR(LOWER(TRIM(N220)),""),IF(OR(_xlpm.genCat="",_xlpm.principal=""),"",IF(LEFT(LOWER(G220),5)="autre","OK (Autre)",IF(OR(ISNUMBER(SEARCH(_xlpm.genCat,_xlpm.principal)),ISNUMBER(SEARCH(_xlpm.principal,_xlpm.genCat)),AND(_xlpm.orig&lt;&gt;"",OR(ISNUMBER(SEARCH(_xlpm.genCat,_xlpm.orig)),ISNUMBER(SEARCH(_xlpm.orig,_xlpm.genCat))))),"OK","⚠️ À vérifier"))))</f>
        <v>⚠️ À vérifier</v>
      </c>
      <c r="T220" t="str">
        <f>IF(S220="","",IF(S220="OK (Autre)","Diagnostic générique = 'Autre – …'",IF(S220="OK","Concordance générique/principal","Écart entre générique et principal")))</f>
        <v>Écart entre générique et principal</v>
      </c>
      <c r="U220" t="str" cm="1">
        <f t="array" ref="U220">_xlfn.LET(_xlpm.yr, A220, _xlpm.diag, IF(N220&lt;&gt;"", N220, H220), _xlpm.base, TRIM(SUBSTITUTE(SUBSTITUTE(SUBSTITUTE(SUBSTITUTE(_xlpm.diag,"•"," "),CHAR(160)," "),CHAR(10)," "),"  "," ")), LOWER(_xlpm.yr&amp;"|"&amp;_xlpm.base))</f>
        <v>2019|cluster headache</v>
      </c>
      <c r="V220" t="str">
        <f>IFERROR(_xlfn.XLOOKUP($AB220,'Cas 2013-2017'!$K:$K,'Cas 2013-2017'!$D:$D,""),"")</f>
        <v/>
      </c>
      <c r="W220" t="str">
        <f>IFERROR(_xlfn.XLOOKUP($AB220,'Cas 2013-2017'!$K:$K,'Cas 2013-2017'!$E:$E,""),"")</f>
        <v/>
      </c>
      <c r="X220" t="str">
        <f>IFERROR(_xlfn.XLOOKUP($AB220,'Cas 2013-2017'!$K:$K,'Cas 2013-2017'!$F:$F,""),"")</f>
        <v/>
      </c>
      <c r="Y220" t="str">
        <f>IFERROR(_xlfn.XLOOKUP($AB220,'Cas 2013-2017'!$K:$K,'Cas 2013-2017'!$G:$G,""),"")</f>
        <v/>
      </c>
      <c r="Z220" t="str">
        <f>IFERROR(_xlfn.XLOOKUP($AB220,'Cas 2013-2017'!$K:$K,'Cas 2013-2017'!$I:$I,""),"")</f>
        <v/>
      </c>
      <c r="AA220" t="str">
        <f>IFERROR(_xlfn.XLOOKUP($AB220,'Cas 2013-2017'!$K:$K,'Cas 2013-2017'!$H:$H,""),"")</f>
        <v/>
      </c>
      <c r="AB220" t="str">
        <f>LOWER($A220 &amp; "|" &amp; $AF220)</f>
        <v>2019|cluster headache</v>
      </c>
      <c r="AC220" t="str">
        <f>TRIM(SUBSTITUTE(SUBSTITUTE(SUBSTITUTE(SUBSTITUTE(" " &amp; LOWER(TRIM(IF($N220&lt;&gt;"", $N220, $H220))) &amp; " ", " aomi ", " arteriopathie des membres inferieurs "), " hta ", " hypertension arterielle "), " saos ", " syndrome d'apnees obstructives du sommeil "), " rgo ", " reflux gastro-oesophagien ") )</f>
        <v>cluster headache</v>
      </c>
      <c r="AD220" t="str">
        <f>TRIM(SUBSTITUTE(SUBSTITUTE(SUBSTITUTE(SUBSTITUTE(" " &amp; LOWER(TRIM($AC220)) &amp; " ", " oacr ", " occlusion de l'artere centrale de la retine "), " hsd ", " hematome sous-dural "), " fa ", " fibrillation auriculaire "), " ep ", " embolie pulmonaire ") )</f>
        <v>cluster headache</v>
      </c>
      <c r="AE220" t="str" cm="1">
        <f t="array" ref="AE220">_xlfn.LET(_xlpm.base, " " &amp; LOWER(TRIM($AD220))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cluster headache</v>
      </c>
      <c r="AF220" t="str" cm="1">
        <f t="array" ref="AF220">_xlfn.LET(_xlpm.base, " " &amp; LOWER(TRIM($AE220))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cluster headache</v>
      </c>
    </row>
    <row r="221" spans="1:32" ht="50.25">
      <c r="A221" s="8">
        <v>2019</v>
      </c>
      <c r="B221" s="10" t="s">
        <v>115</v>
      </c>
      <c r="C221" s="8" t="s">
        <v>33</v>
      </c>
      <c r="D221" s="20">
        <v>224</v>
      </c>
      <c r="E221" s="11" t="str">
        <f>IF(D221="","",IFERROR(INDEX(SSP!$E$2:$E$266, MATCH(D221, SSP!$F$2:$F$266, 0)),""))</f>
        <v>Demande de bilan de santé, d’examens radiologiques ou biologiques</v>
      </c>
      <c r="F221" s="11" t="str">
        <f>Feuil1!E221</f>
        <v>Bilan</v>
      </c>
      <c r="G221" s="12" t="s">
        <v>793</v>
      </c>
      <c r="H221" s="13" t="s">
        <v>793</v>
      </c>
      <c r="I221" s="13" t="s">
        <v>50</v>
      </c>
      <c r="J221" s="15" t="s">
        <v>794</v>
      </c>
      <c r="K221" s="9" t="s">
        <v>795</v>
      </c>
      <c r="L221" s="9" t="s">
        <v>33</v>
      </c>
      <c r="M221" s="9" t="s">
        <v>33</v>
      </c>
      <c r="N221" t="s">
        <v>796</v>
      </c>
      <c r="O221" t="str">
        <f>IFERROR(_xlfn.XLOOKUP($D221, SSP!$F:$F, SSP!$E:$E, "Inconnu"), "")</f>
        <v>Demande de bilan de santé, d’examens radiologiques ou biologiques</v>
      </c>
      <c r="P221" t="str">
        <f>IF(OR(E221="", O221=""), "", IF(LOWER(E221)=LOWER(O221), "OK", "⚠️ Libellé ≠ n°"))</f>
        <v>OK</v>
      </c>
      <c r="Q221" t="str">
        <f>IF(Feuil1!$E221="", "", IF(LOWER(Feuil1!$E221)=LOWER(E221), "Identique", "Différent"))</f>
        <v>Différent</v>
      </c>
      <c r="R221" t="str">
        <f>IF(OR(P221="⚠️ Libellé ≠ n°", O221="Inconnu"), "⚠️", IF(Q221="Différent", "ℹ️", ""))</f>
        <v>ℹ️</v>
      </c>
      <c r="S221" t="str" cm="1">
        <f t="array" ref="S221">_xlfn.LET(_xlpm.genCat,IFERROR(LOWER(TRIM(G221)),""),_xlpm.principal,IFERROR(LOWER(TRIM(H221)),""),_xlpm.orig,IFERROR(LOWER(TRIM(N221)),""),IF(OR(_xlpm.genCat="",_xlpm.principal=""),"",IF(LEFT(LOWER(G221),5)="autre","OK (Autre)",IF(OR(ISNUMBER(SEARCH(_xlpm.genCat,_xlpm.principal)),ISNUMBER(SEARCH(_xlpm.principal,_xlpm.genCat)),AND(_xlpm.orig&lt;&gt;"",OR(ISNUMBER(SEARCH(_xlpm.genCat,_xlpm.orig)),ISNUMBER(SEARCH(_xlpm.orig,_xlpm.genCat))))),"OK","⚠️ À vérifier"))))</f>
        <v>OK</v>
      </c>
      <c r="T221" t="str">
        <f>IF(S221="","",IF(S221="OK (Autre)","Diagnostic générique = 'Autre – …'",IF(S221="OK","Concordance générique/principal","Écart entre générique et principal")))</f>
        <v>Concordance générique/principal</v>
      </c>
      <c r="U221" t="str" cm="1">
        <f t="array" ref="U221">_xlfn.LET(_xlpm.yr, A221, _xlpm.diag, IF(N221&lt;&gt;"", N221, H221), _xlpm.base, TRIM(SUBSTITUTE(SUBSTITUTE(SUBSTITUTE(SUBSTITUTE(_xlpm.diag,"•"," "),CHAR(160)," "),CHAR(10)," "),"  "," ")), LOWER(_xlpm.yr&amp;"|"&amp;_xlpm.base))</f>
        <v>2019|retinopathie diabete vs hta</v>
      </c>
      <c r="V221" t="str">
        <f>IFERROR(_xlfn.XLOOKUP($AB221,'Cas 2013-2017'!$K:$K,'Cas 2013-2017'!$D:$D,""),"")</f>
        <v/>
      </c>
      <c r="W221" t="str">
        <f>IFERROR(_xlfn.XLOOKUP($AB221,'Cas 2013-2017'!$K:$K,'Cas 2013-2017'!$E:$E,""),"")</f>
        <v/>
      </c>
      <c r="X221" t="str">
        <f>IFERROR(_xlfn.XLOOKUP($AB221,'Cas 2013-2017'!$K:$K,'Cas 2013-2017'!$F:$F,""),"")</f>
        <v/>
      </c>
      <c r="Y221" t="str">
        <f>IFERROR(_xlfn.XLOOKUP($AB221,'Cas 2013-2017'!$K:$K,'Cas 2013-2017'!$G:$G,""),"")</f>
        <v/>
      </c>
      <c r="Z221" t="str">
        <f>IFERROR(_xlfn.XLOOKUP($AB221,'Cas 2013-2017'!$K:$K,'Cas 2013-2017'!$I:$I,""),"")</f>
        <v/>
      </c>
      <c r="AA221" t="str">
        <f>IFERROR(_xlfn.XLOOKUP($AB221,'Cas 2013-2017'!$K:$K,'Cas 2013-2017'!$H:$H,""),"")</f>
        <v/>
      </c>
      <c r="AB221" t="str">
        <f>LOWER($A221 &amp; "|" &amp; $AF221)</f>
        <v>2019|retinopathie diabete vs hypertension arterielle</v>
      </c>
      <c r="AC221" t="str">
        <f>TRIM(SUBSTITUTE(SUBSTITUTE(SUBSTITUTE(SUBSTITUTE(" " &amp; LOWER(TRIM(IF($N221&lt;&gt;"", $N221, $H221))) &amp; " ", " aomi ", " arteriopathie des membres inferieurs "), " hta ", " hypertension arterielle "), " saos ", " syndrome d'apnees obstructives du sommeil "), " rgo ", " reflux gastro-oesophagien ") )</f>
        <v>retinopathie diabete vs hypertension arterielle</v>
      </c>
      <c r="AD221" t="str">
        <f>TRIM(SUBSTITUTE(SUBSTITUTE(SUBSTITUTE(SUBSTITUTE(" " &amp; LOWER(TRIM($AC221)) &amp; " ", " oacr ", " occlusion de l'artere centrale de la retine "), " hsd ", " hematome sous-dural "), " fa ", " fibrillation auriculaire "), " ep ", " embolie pulmonaire ") )</f>
        <v>retinopathie diabete vs hypertension arterielle</v>
      </c>
      <c r="AE221" t="str" cm="1">
        <f t="array" ref="AE221">_xlfn.LET(_xlpm.base, " " &amp; LOWER(TRIM($AD221))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retinopathie diabete vs hypertension arterielle</v>
      </c>
      <c r="AF221" t="str" cm="1">
        <f t="array" ref="AF221">_xlfn.LET(_xlpm.base, " " &amp; LOWER(TRIM($AE221))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retinopathie diabete vs hypertension arterielle</v>
      </c>
    </row>
    <row r="222" spans="1:32" ht="16.5">
      <c r="A222" s="8">
        <v>2019</v>
      </c>
      <c r="B222" s="10" t="s">
        <v>115</v>
      </c>
      <c r="C222" s="8" t="s">
        <v>33</v>
      </c>
      <c r="D222" s="20">
        <v>220</v>
      </c>
      <c r="E222" s="11" t="str">
        <f>IF(D222="","",IFERROR(INDEX(SSP!$E$2:$E$266, MATCH(D222, SSP!$F$2:$F$266, 0)),""))</f>
        <v>Traumatisme simple et bénin</v>
      </c>
      <c r="F222" s="11" t="str">
        <f>Feuil1!E222</f>
        <v>Chute / traumatisme</v>
      </c>
      <c r="G222" s="12" t="s">
        <v>797</v>
      </c>
      <c r="H222" s="13" t="s">
        <v>798</v>
      </c>
      <c r="I222" s="13"/>
      <c r="J222" s="15" t="s">
        <v>798</v>
      </c>
      <c r="K222" s="9" t="s">
        <v>33</v>
      </c>
      <c r="L222" s="9" t="s">
        <v>33</v>
      </c>
      <c r="M222" s="9" t="s">
        <v>33</v>
      </c>
      <c r="N222" t="s">
        <v>799</v>
      </c>
      <c r="O222" t="str">
        <f>IFERROR(_xlfn.XLOOKUP($D222, SSP!$F:$F, SSP!$E:$E, "Inconnu"), "")</f>
        <v>Traumatisme simple et bénin</v>
      </c>
      <c r="P222" t="str">
        <f>IF(OR(E222="", O222=""), "", IF(LOWER(E222)=LOWER(O222), "OK", "⚠️ Libellé ≠ n°"))</f>
        <v>OK</v>
      </c>
      <c r="Q222" t="str">
        <f>IF(Feuil1!$E222="", "", IF(LOWER(Feuil1!$E222)=LOWER(E222), "Identique", "Différent"))</f>
        <v>Différent</v>
      </c>
      <c r="R222" t="str">
        <f>IF(OR(P222="⚠️ Libellé ≠ n°", O222="Inconnu"), "⚠️", IF(Q222="Différent", "ℹ️", ""))</f>
        <v>ℹ️</v>
      </c>
      <c r="S222" t="str" cm="1">
        <f t="array" ref="S222">_xlfn.LET(_xlpm.genCat,IFERROR(LOWER(TRIM(G222)),""),_xlpm.principal,IFERROR(LOWER(TRIM(H222)),""),_xlpm.orig,IFERROR(LOWER(TRIM(N222)),""),IF(OR(_xlpm.genCat="",_xlpm.principal=""),"",IF(LEFT(LOWER(G222),5)="autre","OK (Autre)",IF(OR(ISNUMBER(SEARCH(_xlpm.genCat,_xlpm.principal)),ISNUMBER(SEARCH(_xlpm.principal,_xlpm.genCat)),AND(_xlpm.orig&lt;&gt;"",OR(ISNUMBER(SEARCH(_xlpm.genCat,_xlpm.orig)),ISNUMBER(SEARCH(_xlpm.orig,_xlpm.genCat))))),"OK","⚠️ À vérifier"))))</f>
        <v>⚠️ À vérifier</v>
      </c>
      <c r="T222" t="str">
        <f>IF(S222="","",IF(S222="OK (Autre)","Diagnostic générique = 'Autre – …'",IF(S222="OK","Concordance générique/principal","Écart entre générique et principal")))</f>
        <v>Écart entre générique et principal</v>
      </c>
      <c r="U222" t="str" cm="1">
        <f t="array" ref="U222">_xlfn.LET(_xlpm.yr, A222, _xlpm.diag, IF(N222&lt;&gt;"", N222, H222), _xlpm.base, TRIM(SUBSTITUTE(SUBSTITUTE(SUBSTITUTE(SUBSTITUTE(_xlpm.diag,"•"," "),CHAR(160)," "),CHAR(10)," "),"  "," ")), LOWER(_xlpm.yr&amp;"|"&amp;_xlpm.base))</f>
        <v>2019|traumatisme de l'œil</v>
      </c>
      <c r="V222" t="str">
        <f>IFERROR(_xlfn.XLOOKUP($AB222,'Cas 2013-2017'!$K:$K,'Cas 2013-2017'!$D:$D,""),"")</f>
        <v/>
      </c>
      <c r="W222" t="str">
        <f>IFERROR(_xlfn.XLOOKUP($AB222,'Cas 2013-2017'!$K:$K,'Cas 2013-2017'!$E:$E,""),"")</f>
        <v/>
      </c>
      <c r="X222" t="str">
        <f>IFERROR(_xlfn.XLOOKUP($AB222,'Cas 2013-2017'!$K:$K,'Cas 2013-2017'!$F:$F,""),"")</f>
        <v/>
      </c>
      <c r="Y222" t="str">
        <f>IFERROR(_xlfn.XLOOKUP($AB222,'Cas 2013-2017'!$K:$K,'Cas 2013-2017'!$G:$G,""),"")</f>
        <v/>
      </c>
      <c r="Z222" t="str">
        <f>IFERROR(_xlfn.XLOOKUP($AB222,'Cas 2013-2017'!$K:$K,'Cas 2013-2017'!$I:$I,""),"")</f>
        <v/>
      </c>
      <c r="AA222" t="str">
        <f>IFERROR(_xlfn.XLOOKUP($AB222,'Cas 2013-2017'!$K:$K,'Cas 2013-2017'!$H:$H,""),"")</f>
        <v/>
      </c>
      <c r="AB222" t="str">
        <f>LOWER($A222 &amp; "|" &amp; $AF222)</f>
        <v>2019|traumatisme de l'œil</v>
      </c>
      <c r="AC222" t="str">
        <f>TRIM(SUBSTITUTE(SUBSTITUTE(SUBSTITUTE(SUBSTITUTE(" " &amp; LOWER(TRIM(IF($N222&lt;&gt;"", $N222, $H222))) &amp; " ", " aomi ", " arteriopathie des membres inferieurs "), " hta ", " hypertension arterielle "), " saos ", " syndrome d'apnees obstructives du sommeil "), " rgo ", " reflux gastro-oesophagien ") )</f>
        <v>traumatisme de l'œil</v>
      </c>
      <c r="AD222" t="str">
        <f>TRIM(SUBSTITUTE(SUBSTITUTE(SUBSTITUTE(SUBSTITUTE(" " &amp; LOWER(TRIM($AC222)) &amp; " ", " oacr ", " occlusion de l'artere centrale de la retine "), " hsd ", " hematome sous-dural "), " fa ", " fibrillation auriculaire "), " ep ", " embolie pulmonaire ") )</f>
        <v>traumatisme de l'œil</v>
      </c>
      <c r="AE222" t="str" cm="1">
        <f t="array" ref="AE222">_xlfn.LET(_xlpm.base, " " &amp; LOWER(TRIM($AD222))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traumatisme de l'œil</v>
      </c>
      <c r="AF222" t="str" cm="1">
        <f t="array" ref="AF222">_xlfn.LET(_xlpm.base, " " &amp; LOWER(TRIM($AE222))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traumatisme de l'œil</v>
      </c>
    </row>
    <row r="223" spans="1:32" ht="16.5">
      <c r="A223" s="8">
        <v>2019</v>
      </c>
      <c r="B223" s="10" t="s">
        <v>91</v>
      </c>
      <c r="C223" s="8" t="s">
        <v>33</v>
      </c>
      <c r="D223" s="20"/>
      <c r="E223" s="11" t="str">
        <f>IF(D223="","",IFERROR(INDEX(SSP!$E$2:$E$266, MATCH(D223, SSP!$F$2:$F$266, 0)),""))</f>
        <v/>
      </c>
      <c r="F223" s="11" t="str">
        <f>Feuil1!E223</f>
        <v> </v>
      </c>
      <c r="G223" s="12" t="s">
        <v>160</v>
      </c>
      <c r="H223" s="13" t="s">
        <v>800</v>
      </c>
      <c r="I223" s="13"/>
      <c r="J223" s="15" t="s">
        <v>33</v>
      </c>
      <c r="K223" s="9" t="s">
        <v>801</v>
      </c>
      <c r="L223" s="9" t="s">
        <v>33</v>
      </c>
      <c r="M223" s="9" t="s">
        <v>33</v>
      </c>
      <c r="N223" t="s">
        <v>800</v>
      </c>
      <c r="O223">
        <f>IFERROR(_xlfn.XLOOKUP($D223, SSP!$F:$F, SSP!$E:$E, "Inconnu"), "")</f>
        <v>0</v>
      </c>
      <c r="P223" t="str">
        <f>IF(OR(E223="", O223=""), "", IF(LOWER(E223)=LOWER(O223), "OK", "⚠️ Libellé ≠ n°"))</f>
        <v/>
      </c>
      <c r="Q223" t="str">
        <f>IF(Feuil1!$E223="", "", IF(LOWER(Feuil1!$E223)=LOWER(E223), "Identique", "Différent"))</f>
        <v>Différent</v>
      </c>
      <c r="R223" t="str">
        <f>IF(OR(P223="⚠️ Libellé ≠ n°", O223="Inconnu"), "⚠️", IF(Q223="Différent", "ℹ️", ""))</f>
        <v>ℹ️</v>
      </c>
      <c r="S223" t="str" cm="1">
        <f t="array" ref="S223">_xlfn.LET(_xlpm.genCat,IFERROR(LOWER(TRIM(G223)),""),_xlpm.principal,IFERROR(LOWER(TRIM(H223)),""),_xlpm.orig,IFERROR(LOWER(TRIM(N223)),""),IF(OR(_xlpm.genCat="",_xlpm.principal=""),"",IF(LEFT(LOWER(G223),5)="autre","OK (Autre)",IF(OR(ISNUMBER(SEARCH(_xlpm.genCat,_xlpm.principal)),ISNUMBER(SEARCH(_xlpm.principal,_xlpm.genCat)),AND(_xlpm.orig&lt;&gt;"",OR(ISNUMBER(SEARCH(_xlpm.genCat,_xlpm.orig)),ISNUMBER(SEARCH(_xlpm.orig,_xlpm.genCat))))),"OK","⚠️ À vérifier"))))</f>
        <v>OK (Autre)</v>
      </c>
      <c r="T223" t="str">
        <f>IF(S223="","",IF(S223="OK (Autre)","Diagnostic générique = 'Autre – …'",IF(S223="OK","Concordance générique/principal","Écart entre générique et principal")))</f>
        <v>Diagnostic générique = 'Autre – …'</v>
      </c>
      <c r="U223" t="str" cm="1">
        <f t="array" ref="U223">_xlfn.LET(_xlpm.yr, A223, _xlpm.diag, IF(N223&lt;&gt;"", N223, H223), _xlpm.base, TRIM(SUBSTITUTE(SUBSTITUTE(SUBSTITUTE(SUBSTITUTE(_xlpm.diag,"•"," "),CHAR(160)," "),CHAR(10)," "),"  "," ")), LOWER(_xlpm.yr&amp;"|"&amp;_xlpm.base))</f>
        <v>2019|sinusite maxillaire</v>
      </c>
      <c r="V223" t="str">
        <f>IFERROR(_xlfn.XLOOKUP($AB223,'Cas 2013-2017'!$K:$K,'Cas 2013-2017'!$D:$D,""),"")</f>
        <v/>
      </c>
      <c r="W223" t="str">
        <f>IFERROR(_xlfn.XLOOKUP($AB223,'Cas 2013-2017'!$K:$K,'Cas 2013-2017'!$E:$E,""),"")</f>
        <v/>
      </c>
      <c r="X223" t="str">
        <f>IFERROR(_xlfn.XLOOKUP($AB223,'Cas 2013-2017'!$K:$K,'Cas 2013-2017'!$F:$F,""),"")</f>
        <v/>
      </c>
      <c r="Y223" t="str">
        <f>IFERROR(_xlfn.XLOOKUP($AB223,'Cas 2013-2017'!$K:$K,'Cas 2013-2017'!$G:$G,""),"")</f>
        <v/>
      </c>
      <c r="Z223" t="str">
        <f>IFERROR(_xlfn.XLOOKUP($AB223,'Cas 2013-2017'!$K:$K,'Cas 2013-2017'!$I:$I,""),"")</f>
        <v/>
      </c>
      <c r="AA223" t="str">
        <f>IFERROR(_xlfn.XLOOKUP($AB223,'Cas 2013-2017'!$K:$K,'Cas 2013-2017'!$H:$H,""),"")</f>
        <v/>
      </c>
      <c r="AB223" t="str">
        <f>LOWER($A223 &amp; "|" &amp; $AF223)</f>
        <v>2019|sinusite maxillaire</v>
      </c>
      <c r="AC223" t="str">
        <f>TRIM(SUBSTITUTE(SUBSTITUTE(SUBSTITUTE(SUBSTITUTE(" " &amp; LOWER(TRIM(IF($N223&lt;&gt;"", $N223, $H223))) &amp; " ", " aomi ", " arteriopathie des membres inferieurs "), " hta ", " hypertension arterielle "), " saos ", " syndrome d'apnees obstructives du sommeil "), " rgo ", " reflux gastro-oesophagien ") )</f>
        <v>sinusite maxillaire</v>
      </c>
      <c r="AD223" t="str">
        <f>TRIM(SUBSTITUTE(SUBSTITUTE(SUBSTITUTE(SUBSTITUTE(" " &amp; LOWER(TRIM($AC223)) &amp; " ", " oacr ", " occlusion de l'artere centrale de la retine "), " hsd ", " hematome sous-dural "), " fa ", " fibrillation auriculaire "), " ep ", " embolie pulmonaire ") )</f>
        <v>sinusite maxillaire</v>
      </c>
      <c r="AE223" t="str" cm="1">
        <f t="array" ref="AE223">_xlfn.LET(_xlpm.base, " " &amp; LOWER(TRIM($AD223))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sinusite maxillaire</v>
      </c>
      <c r="AF223" t="str" cm="1">
        <f t="array" ref="AF223">_xlfn.LET(_xlpm.base, " " &amp; LOWER(TRIM($AE223))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sinusite maxillaire</v>
      </c>
    </row>
    <row r="224" spans="1:32" ht="50.25">
      <c r="A224" s="8">
        <v>2019</v>
      </c>
      <c r="B224" s="10" t="s">
        <v>82</v>
      </c>
      <c r="C224" s="8" t="s">
        <v>33</v>
      </c>
      <c r="D224" s="20">
        <v>184</v>
      </c>
      <c r="E224" s="11" t="str">
        <f>IF(D224="","",IFERROR(INDEX(SSP!$E$2:$E$266, MATCH(D224, SSP!$F$2:$F$266, 0)),""))</f>
        <v>Croissance ou puberté anormales (ralentie ou accélérée), retard staturo-pondéral</v>
      </c>
      <c r="F224" s="11" t="str">
        <f>Feuil1!E224</f>
        <v>Retard croissance staturo-pondérale</v>
      </c>
      <c r="G224" s="12" t="s">
        <v>498</v>
      </c>
      <c r="H224" s="13" t="s">
        <v>802</v>
      </c>
      <c r="I224" s="13"/>
      <c r="J224" s="15" t="s">
        <v>803</v>
      </c>
      <c r="K224" s="9" t="s">
        <v>804</v>
      </c>
      <c r="L224" s="9" t="s">
        <v>33</v>
      </c>
      <c r="M224" s="9" t="s">
        <v>33</v>
      </c>
      <c r="N224" t="s">
        <v>802</v>
      </c>
      <c r="O224" t="str">
        <f>IFERROR(_xlfn.XLOOKUP($D224, SSP!$F:$F, SSP!$E:$E, "Inconnu"), "")</f>
        <v>Croissance ou puberté anormales (ralentie ou accélérée), retard staturo-pondéral</v>
      </c>
      <c r="P224" t="str">
        <f>IF(OR(E224="", O224=""), "", IF(LOWER(E224)=LOWER(O224), "OK", "⚠️ Libellé ≠ n°"))</f>
        <v>OK</v>
      </c>
      <c r="Q224" t="str">
        <f>IF(Feuil1!$E224="", "", IF(LOWER(Feuil1!$E224)=LOWER(E224), "Identique", "Différent"))</f>
        <v>Différent</v>
      </c>
      <c r="R224" t="str">
        <f>IF(OR(P224="⚠️ Libellé ≠ n°", O224="Inconnu"), "⚠️", IF(Q224="Différent", "ℹ️", ""))</f>
        <v>ℹ️</v>
      </c>
      <c r="S224" t="str" cm="1">
        <f t="array" ref="S224">_xlfn.LET(_xlpm.genCat,IFERROR(LOWER(TRIM(G224)),""),_xlpm.principal,IFERROR(LOWER(TRIM(H224)),""),_xlpm.orig,IFERROR(LOWER(TRIM(N224)),""),IF(OR(_xlpm.genCat="",_xlpm.principal=""),"",IF(LEFT(LOWER(G224),5)="autre","OK (Autre)",IF(OR(ISNUMBER(SEARCH(_xlpm.genCat,_xlpm.principal)),ISNUMBER(SEARCH(_xlpm.principal,_xlpm.genCat)),AND(_xlpm.orig&lt;&gt;"",OR(ISNUMBER(SEARCH(_xlpm.genCat,_xlpm.orig)),ISNUMBER(SEARCH(_xlpm.orig,_xlpm.genCat))))),"OK","⚠️ À vérifier"))))</f>
        <v>OK (Autre)</v>
      </c>
      <c r="T224" t="str">
        <f>IF(S224="","",IF(S224="OK (Autre)","Diagnostic générique = 'Autre – …'",IF(S224="OK","Concordance générique/principal","Écart entre générique et principal")))</f>
        <v>Diagnostic générique = 'Autre – …'</v>
      </c>
      <c r="U224" t="str" cm="1">
        <f t="array" ref="U224">_xlfn.LET(_xlpm.yr, A224, _xlpm.diag, IF(N224&lt;&gt;"", N224, H224), _xlpm.base, TRIM(SUBSTITUTE(SUBSTITUTE(SUBSTITUTE(SUBSTITUTE(_xlpm.diag,"•"," "),CHAR(160)," "),CHAR(10)," "),"  "," ")), LOWER(_xlpm.yr&amp;"|"&amp;_xlpm.base))</f>
        <v>2019|anamnèse nutritionnelle</v>
      </c>
      <c r="V224" t="str">
        <f>IFERROR(_xlfn.XLOOKUP($AB224,'Cas 2013-2017'!$K:$K,'Cas 2013-2017'!$D:$D,""),"")</f>
        <v/>
      </c>
      <c r="W224" t="str">
        <f>IFERROR(_xlfn.XLOOKUP($AB224,'Cas 2013-2017'!$K:$K,'Cas 2013-2017'!$E:$E,""),"")</f>
        <v/>
      </c>
      <c r="X224" t="str">
        <f>IFERROR(_xlfn.XLOOKUP($AB224,'Cas 2013-2017'!$K:$K,'Cas 2013-2017'!$F:$F,""),"")</f>
        <v/>
      </c>
      <c r="Y224" t="str">
        <f>IFERROR(_xlfn.XLOOKUP($AB224,'Cas 2013-2017'!$K:$K,'Cas 2013-2017'!$G:$G,""),"")</f>
        <v/>
      </c>
      <c r="Z224" t="str">
        <f>IFERROR(_xlfn.XLOOKUP($AB224,'Cas 2013-2017'!$K:$K,'Cas 2013-2017'!$I:$I,""),"")</f>
        <v/>
      </c>
      <c r="AA224" t="str">
        <f>IFERROR(_xlfn.XLOOKUP($AB224,'Cas 2013-2017'!$K:$K,'Cas 2013-2017'!$H:$H,""),"")</f>
        <v/>
      </c>
      <c r="AB224" t="str">
        <f>LOWER($A224 &amp; "|" &amp; $AF224)</f>
        <v>2019|anamnèse nutritionnelle</v>
      </c>
      <c r="AC224" t="str">
        <f>TRIM(SUBSTITUTE(SUBSTITUTE(SUBSTITUTE(SUBSTITUTE(" " &amp; LOWER(TRIM(IF($N224&lt;&gt;"", $N224, $H224))) &amp; " ", " aomi ", " arteriopathie des membres inferieurs "), " hta ", " hypertension arterielle "), " saos ", " syndrome d'apnees obstructives du sommeil "), " rgo ", " reflux gastro-oesophagien ") )</f>
        <v>anamnèse nutritionnelle</v>
      </c>
      <c r="AD224" t="str">
        <f>TRIM(SUBSTITUTE(SUBSTITUTE(SUBSTITUTE(SUBSTITUTE(" " &amp; LOWER(TRIM($AC224)) &amp; " ", " oacr ", " occlusion de l'artere centrale de la retine "), " hsd ", " hematome sous-dural "), " fa ", " fibrillation auriculaire "), " ep ", " embolie pulmonaire ") )</f>
        <v>anamnèse nutritionnelle</v>
      </c>
      <c r="AE224" t="str" cm="1">
        <f t="array" ref="AE224">_xlfn.LET(_xlpm.base, " " &amp; LOWER(TRIM($AD224))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anamnèse nutritionnelle</v>
      </c>
      <c r="AF224" t="str" cm="1">
        <f t="array" ref="AF224">_xlfn.LET(_xlpm.base, " " &amp; LOWER(TRIM($AE224))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anamnèse nutritionnelle</v>
      </c>
    </row>
    <row r="225" spans="1:32" ht="33.75">
      <c r="A225" s="8">
        <v>2019</v>
      </c>
      <c r="B225" s="10" t="s">
        <v>133</v>
      </c>
      <c r="C225" s="8" t="s">
        <v>33</v>
      </c>
      <c r="D225" s="20">
        <v>45</v>
      </c>
      <c r="E225" s="11" t="str">
        <f>IF(D225="","",IFERROR(INDEX(SSP!$E$2:$E$266, MATCH(D225, SSP!$F$2:$F$266, 0)),""))</f>
        <v>Toux, expectoration, hémoptysie</v>
      </c>
      <c r="F225" s="11" t="str">
        <f>Feuil1!E225</f>
        <v>Toux</v>
      </c>
      <c r="G225" s="12" t="s">
        <v>258</v>
      </c>
      <c r="H225" s="13" t="s">
        <v>259</v>
      </c>
      <c r="I225" s="13"/>
      <c r="J225" s="16" t="s">
        <v>165</v>
      </c>
      <c r="K225" s="9" t="s">
        <v>805</v>
      </c>
      <c r="L225" s="9" t="s">
        <v>33</v>
      </c>
      <c r="M225" s="9" t="s">
        <v>33</v>
      </c>
      <c r="N225" t="s">
        <v>259</v>
      </c>
      <c r="O225" t="str">
        <f>IFERROR(_xlfn.XLOOKUP($D225, SSP!$F:$F, SSP!$E:$E, "Inconnu"), "")</f>
        <v>Toux, expectoration, hémoptysie</v>
      </c>
      <c r="P225" t="str">
        <f>IF(OR(E225="", O225=""), "", IF(LOWER(E225)=LOWER(O225), "OK", "⚠️ Libellé ≠ n°"))</f>
        <v>OK</v>
      </c>
      <c r="Q225" t="str">
        <f>IF(Feuil1!$E225="", "", IF(LOWER(Feuil1!$E225)=LOWER(E225), "Identique", "Différent"))</f>
        <v>Différent</v>
      </c>
      <c r="R225" t="str">
        <f>IF(OR(P225="⚠️ Libellé ≠ n°", O225="Inconnu"), "⚠️", IF(Q225="Différent", "ℹ️", ""))</f>
        <v>ℹ️</v>
      </c>
      <c r="S225" t="str" cm="1">
        <f t="array" ref="S225">_xlfn.LET(_xlpm.genCat,IFERROR(LOWER(TRIM(G225)),""),_xlpm.principal,IFERROR(LOWER(TRIM(H225)),""),_xlpm.orig,IFERROR(LOWER(TRIM(N225)),""),IF(OR(_xlpm.genCat="",_xlpm.principal=""),"",IF(LEFT(LOWER(G225),5)="autre","OK (Autre)",IF(OR(ISNUMBER(SEARCH(_xlpm.genCat,_xlpm.principal)),ISNUMBER(SEARCH(_xlpm.principal,_xlpm.genCat)),AND(_xlpm.orig&lt;&gt;"",OR(ISNUMBER(SEARCH(_xlpm.genCat,_xlpm.orig)),ISNUMBER(SEARCH(_xlpm.orig,_xlpm.genCat))))),"OK","⚠️ À vérifier"))))</f>
        <v>⚠️ À vérifier</v>
      </c>
      <c r="T225" t="str">
        <f>IF(S225="","",IF(S225="OK (Autre)","Diagnostic générique = 'Autre – …'",IF(S225="OK","Concordance générique/principal","Écart entre générique et principal")))</f>
        <v>Écart entre générique et principal</v>
      </c>
      <c r="U225" t="str" cm="1">
        <f t="array" ref="U225">_xlfn.LET(_xlpm.yr, A225, _xlpm.diag, IF(N225&lt;&gt;"", N225, H225), _xlpm.base, TRIM(SUBSTITUTE(SUBSTITUTE(SUBSTITUTE(SUBSTITUTE(_xlpm.diag,"•"," "),CHAR(160)," "),CHAR(10)," "),"  "," ")), LOWER(_xlpm.yr&amp;"|"&amp;_xlpm.base))</f>
        <v>2019|bronchiolite</v>
      </c>
      <c r="V225" t="str">
        <f>IFERROR(_xlfn.XLOOKUP($AB225,'Cas 2013-2017'!$K:$K,'Cas 2013-2017'!$D:$D,""),"")</f>
        <v/>
      </c>
      <c r="W225" t="str">
        <f>IFERROR(_xlfn.XLOOKUP($AB225,'Cas 2013-2017'!$K:$K,'Cas 2013-2017'!$E:$E,""),"")</f>
        <v/>
      </c>
      <c r="X225" t="str">
        <f>IFERROR(_xlfn.XLOOKUP($AB225,'Cas 2013-2017'!$K:$K,'Cas 2013-2017'!$F:$F,""),"")</f>
        <v/>
      </c>
      <c r="Y225" t="str">
        <f>IFERROR(_xlfn.XLOOKUP($AB225,'Cas 2013-2017'!$K:$K,'Cas 2013-2017'!$G:$G,""),"")</f>
        <v/>
      </c>
      <c r="Z225" t="str">
        <f>IFERROR(_xlfn.XLOOKUP($AB225,'Cas 2013-2017'!$K:$K,'Cas 2013-2017'!$I:$I,""),"")</f>
        <v/>
      </c>
      <c r="AA225" t="str">
        <f>IFERROR(_xlfn.XLOOKUP($AB225,'Cas 2013-2017'!$K:$K,'Cas 2013-2017'!$H:$H,""),"")</f>
        <v/>
      </c>
      <c r="AB225" t="str">
        <f>LOWER($A225 &amp; "|" &amp; $AF225)</f>
        <v>2019|bronchiolite</v>
      </c>
      <c r="AC225" t="str">
        <f>TRIM(SUBSTITUTE(SUBSTITUTE(SUBSTITUTE(SUBSTITUTE(" " &amp; LOWER(TRIM(IF($N225&lt;&gt;"", $N225, $H225))) &amp; " ", " aomi ", " arteriopathie des membres inferieurs "), " hta ", " hypertension arterielle "), " saos ", " syndrome d'apnees obstructives du sommeil "), " rgo ", " reflux gastro-oesophagien ") )</f>
        <v>bronchiolite</v>
      </c>
      <c r="AD225" t="str">
        <f>TRIM(SUBSTITUTE(SUBSTITUTE(SUBSTITUTE(SUBSTITUTE(" " &amp; LOWER(TRIM($AC225)) &amp; " ", " oacr ", " occlusion de l'artere centrale de la retine "), " hsd ", " hematome sous-dural "), " fa ", " fibrillation auriculaire "), " ep ", " embolie pulmonaire ") )</f>
        <v>bronchiolite</v>
      </c>
      <c r="AE225" t="str" cm="1">
        <f t="array" ref="AE225">_xlfn.LET(_xlpm.base, " " &amp; LOWER(TRIM($AD225))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bronchiolite</v>
      </c>
      <c r="AF225" t="str" cm="1">
        <f t="array" ref="AF225">_xlfn.LET(_xlpm.base, " " &amp; LOWER(TRIM($AE225))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bronchiolite</v>
      </c>
    </row>
    <row r="226" spans="1:32" ht="50.25">
      <c r="A226" s="8">
        <v>2019</v>
      </c>
      <c r="B226" s="10" t="s">
        <v>60</v>
      </c>
      <c r="C226" s="8" t="s">
        <v>33</v>
      </c>
      <c r="D226" s="20">
        <v>224</v>
      </c>
      <c r="E226" s="11" t="str">
        <f>IF(D226="","",IFERROR(INDEX(SSP!$E$2:$E$266, MATCH(D226, SSP!$F$2:$F$266, 0)),""))</f>
        <v>Demande de bilan de santé, d’examens radiologiques ou biologiques</v>
      </c>
      <c r="F226" s="11" t="str">
        <f>Feuil1!E226</f>
        <v>Bilan</v>
      </c>
      <c r="G226" s="12" t="s">
        <v>806</v>
      </c>
      <c r="H226" s="13" t="s">
        <v>807</v>
      </c>
      <c r="I226" s="13"/>
      <c r="J226" s="15" t="s">
        <v>808</v>
      </c>
      <c r="K226" s="9" t="s">
        <v>809</v>
      </c>
      <c r="L226" s="9" t="s">
        <v>33</v>
      </c>
      <c r="M226" s="9" t="s">
        <v>33</v>
      </c>
      <c r="N226" t="s">
        <v>807</v>
      </c>
      <c r="O226" t="str">
        <f>IFERROR(_xlfn.XLOOKUP($D226, SSP!$F:$F, SSP!$E:$E, "Inconnu"), "")</f>
        <v>Demande de bilan de santé, d’examens radiologiques ou biologiques</v>
      </c>
      <c r="P226" t="str">
        <f>IF(OR(E226="", O226=""), "", IF(LOWER(E226)=LOWER(O226), "OK", "⚠️ Libellé ≠ n°"))</f>
        <v>OK</v>
      </c>
      <c r="Q226" t="str">
        <f>IF(Feuil1!$E226="", "", IF(LOWER(Feuil1!$E226)=LOWER(E226), "Identique", "Différent"))</f>
        <v>Différent</v>
      </c>
      <c r="R226" t="str">
        <f>IF(OR(P226="⚠️ Libellé ≠ n°", O226="Inconnu"), "⚠️", IF(Q226="Différent", "ℹ️", ""))</f>
        <v>ℹ️</v>
      </c>
      <c r="S226" t="str" cm="1">
        <f t="array" ref="S226">_xlfn.LET(_xlpm.genCat,IFERROR(LOWER(TRIM(G226)),""),_xlpm.principal,IFERROR(LOWER(TRIM(H226)),""),_xlpm.orig,IFERROR(LOWER(TRIM(N226)),""),IF(OR(_xlpm.genCat="",_xlpm.principal=""),"",IF(LEFT(LOWER(G226),5)="autre","OK (Autre)",IF(OR(ISNUMBER(SEARCH(_xlpm.genCat,_xlpm.principal)),ISNUMBER(SEARCH(_xlpm.principal,_xlpm.genCat)),AND(_xlpm.orig&lt;&gt;"",OR(ISNUMBER(SEARCH(_xlpm.genCat,_xlpm.orig)),ISNUMBER(SEARCH(_xlpm.orig,_xlpm.genCat))))),"OK","⚠️ À vérifier"))))</f>
        <v>OK</v>
      </c>
      <c r="T226" t="str">
        <f>IF(S226="","",IF(S226="OK (Autre)","Diagnostic générique = 'Autre – …'",IF(S226="OK","Concordance générique/principal","Écart entre générique et principal")))</f>
        <v>Concordance générique/principal</v>
      </c>
      <c r="U226" t="str" cm="1">
        <f t="array" ref="U226">_xlfn.LET(_xlpm.yr, A226, _xlpm.diag, IF(N226&lt;&gt;"", N226, H226), _xlpm.base, TRIM(SUBSTITUTE(SUBSTITUTE(SUBSTITUTE(SUBSTITUTE(_xlpm.diag,"•"," "),CHAR(160)," "),CHAR(10)," "),"  "," ")), LOWER(_xlpm.yr&amp;"|"&amp;_xlpm.base))</f>
        <v>2019|diabète de type 1 - bbn</v>
      </c>
      <c r="V226" t="str">
        <f>IFERROR(_xlfn.XLOOKUP($AB226,'Cas 2013-2017'!$K:$K,'Cas 2013-2017'!$D:$D,""),"")</f>
        <v/>
      </c>
      <c r="W226" t="str">
        <f>IFERROR(_xlfn.XLOOKUP($AB226,'Cas 2013-2017'!$K:$K,'Cas 2013-2017'!$E:$E,""),"")</f>
        <v/>
      </c>
      <c r="X226" t="str">
        <f>IFERROR(_xlfn.XLOOKUP($AB226,'Cas 2013-2017'!$K:$K,'Cas 2013-2017'!$F:$F,""),"")</f>
        <v/>
      </c>
      <c r="Y226" t="str">
        <f>IFERROR(_xlfn.XLOOKUP($AB226,'Cas 2013-2017'!$K:$K,'Cas 2013-2017'!$G:$G,""),"")</f>
        <v/>
      </c>
      <c r="Z226" t="str">
        <f>IFERROR(_xlfn.XLOOKUP($AB226,'Cas 2013-2017'!$K:$K,'Cas 2013-2017'!$I:$I,""),"")</f>
        <v/>
      </c>
      <c r="AA226" t="str">
        <f>IFERROR(_xlfn.XLOOKUP($AB226,'Cas 2013-2017'!$K:$K,'Cas 2013-2017'!$H:$H,""),"")</f>
        <v/>
      </c>
      <c r="AB226" t="str">
        <f>LOWER($A226 &amp; "|" &amp; $AF226)</f>
        <v>2019|diabète de type 1 - bbn</v>
      </c>
      <c r="AC226" t="str">
        <f>TRIM(SUBSTITUTE(SUBSTITUTE(SUBSTITUTE(SUBSTITUTE(" " &amp; LOWER(TRIM(IF($N226&lt;&gt;"", $N226, $H226))) &amp; " ", " aomi ", " arteriopathie des membres inferieurs "), " hta ", " hypertension arterielle "), " saos ", " syndrome d'apnees obstructives du sommeil "), " rgo ", " reflux gastro-oesophagien ") )</f>
        <v>diabète de type 1 - bbn</v>
      </c>
      <c r="AD226" t="str">
        <f>TRIM(SUBSTITUTE(SUBSTITUTE(SUBSTITUTE(SUBSTITUTE(" " &amp; LOWER(TRIM($AC226)) &amp; " ", " oacr ", " occlusion de l'artere centrale de la retine "), " hsd ", " hematome sous-dural "), " fa ", " fibrillation auriculaire "), " ep ", " embolie pulmonaire ") )</f>
        <v>diabète de type 1 - bbn</v>
      </c>
      <c r="AE226" t="str" cm="1">
        <f t="array" ref="AE226">_xlfn.LET(_xlpm.base, " " &amp; LOWER(TRIM($AD226))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diabète de type 1 - bbn</v>
      </c>
      <c r="AF226" t="str" cm="1">
        <f t="array" ref="AF226">_xlfn.LET(_xlpm.base, " " &amp; LOWER(TRIM($AE226))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diabète de type 1 - bbn</v>
      </c>
    </row>
    <row r="227" spans="1:32" ht="33.75">
      <c r="A227" s="8">
        <v>2019</v>
      </c>
      <c r="B227" s="10" t="s">
        <v>133</v>
      </c>
      <c r="C227" s="8" t="s">
        <v>33</v>
      </c>
      <c r="D227" s="20">
        <v>46</v>
      </c>
      <c r="E227" s="11" t="str">
        <f>IF(D227="","",IFERROR(INDEX(SSP!$E$2:$E$266, MATCH(D227, SSP!$F$2:$F$266, 0)),""))</f>
        <v>Dyspnée</v>
      </c>
      <c r="F227" s="11" t="str">
        <f>Feuil1!E227</f>
        <v>Dyspnée</v>
      </c>
      <c r="G227" s="12" t="s">
        <v>375</v>
      </c>
      <c r="H227" s="13" t="s">
        <v>810</v>
      </c>
      <c r="I227" s="13"/>
      <c r="J227" s="15" t="s">
        <v>811</v>
      </c>
      <c r="K227" s="9" t="s">
        <v>812</v>
      </c>
      <c r="L227" s="9" t="s">
        <v>33</v>
      </c>
      <c r="M227" s="9" t="s">
        <v>33</v>
      </c>
      <c r="N227" t="s">
        <v>810</v>
      </c>
      <c r="O227" t="str">
        <f>IFERROR(_xlfn.XLOOKUP($D227, SSP!$F:$F, SSP!$E:$E, "Inconnu"), "")</f>
        <v>Dyspnée</v>
      </c>
      <c r="P227" t="str">
        <f>IF(OR(E227="", O227=""), "", IF(LOWER(E227)=LOWER(O227), "OK", "⚠️ Libellé ≠ n°"))</f>
        <v>OK</v>
      </c>
      <c r="Q227" t="str">
        <f>IF(Feuil1!$E227="", "", IF(LOWER(Feuil1!$E227)=LOWER(E227), "Identique", "Différent"))</f>
        <v>Identique</v>
      </c>
      <c r="R227" t="str">
        <f>IF(OR(P227="⚠️ Libellé ≠ n°", O227="Inconnu"), "⚠️", IF(Q227="Différent", "ℹ️", ""))</f>
        <v/>
      </c>
      <c r="S227" t="str" cm="1">
        <f t="array" ref="S227">_xlfn.LET(_xlpm.genCat,IFERROR(LOWER(TRIM(G227)),""),_xlpm.principal,IFERROR(LOWER(TRIM(H227)),""),_xlpm.orig,IFERROR(LOWER(TRIM(N227)),""),IF(OR(_xlpm.genCat="",_xlpm.principal=""),"",IF(LEFT(LOWER(G227),5)="autre","OK (Autre)",IF(OR(ISNUMBER(SEARCH(_xlpm.genCat,_xlpm.principal)),ISNUMBER(SEARCH(_xlpm.principal,_xlpm.genCat)),AND(_xlpm.orig&lt;&gt;"",OR(ISNUMBER(SEARCH(_xlpm.genCat,_xlpm.orig)),ISNUMBER(SEARCH(_xlpm.orig,_xlpm.genCat))))),"OK","⚠️ À vérifier"))))</f>
        <v>OK</v>
      </c>
      <c r="T227" t="str">
        <f>IF(S227="","",IF(S227="OK (Autre)","Diagnostic générique = 'Autre – …'",IF(S227="OK","Concordance générique/principal","Écart entre générique et principal")))</f>
        <v>Concordance générique/principal</v>
      </c>
      <c r="U227" t="str" cm="1">
        <f t="array" ref="U227">_xlfn.LET(_xlpm.yr, A227, _xlpm.diag, IF(N227&lt;&gt;"", N227, H227), _xlpm.base, TRIM(SUBSTITUTE(SUBSTITUTE(SUBSTITUTE(SUBSTITUTE(_xlpm.diag,"•"," "),CHAR(160)," "),CHAR(10)," "),"  "," ")), LOWER(_xlpm.yr&amp;"|"&amp;_xlpm.base))</f>
        <v>2019|asthme (allergique probablement)</v>
      </c>
      <c r="V227" t="str">
        <f>IFERROR(_xlfn.XLOOKUP($AB227,'Cas 2013-2017'!$K:$K,'Cas 2013-2017'!$D:$D,""),"")</f>
        <v/>
      </c>
      <c r="W227" t="str">
        <f>IFERROR(_xlfn.XLOOKUP($AB227,'Cas 2013-2017'!$K:$K,'Cas 2013-2017'!$E:$E,""),"")</f>
        <v/>
      </c>
      <c r="X227" t="str">
        <f>IFERROR(_xlfn.XLOOKUP($AB227,'Cas 2013-2017'!$K:$K,'Cas 2013-2017'!$F:$F,""),"")</f>
        <v/>
      </c>
      <c r="Y227" t="str">
        <f>IFERROR(_xlfn.XLOOKUP($AB227,'Cas 2013-2017'!$K:$K,'Cas 2013-2017'!$G:$G,""),"")</f>
        <v/>
      </c>
      <c r="Z227" t="str">
        <f>IFERROR(_xlfn.XLOOKUP($AB227,'Cas 2013-2017'!$K:$K,'Cas 2013-2017'!$I:$I,""),"")</f>
        <v/>
      </c>
      <c r="AA227" t="str">
        <f>IFERROR(_xlfn.XLOOKUP($AB227,'Cas 2013-2017'!$K:$K,'Cas 2013-2017'!$H:$H,""),"")</f>
        <v/>
      </c>
      <c r="AB227" t="str">
        <f>LOWER($A227 &amp; "|" &amp; $AF227)</f>
        <v>2019|asthme (allergique probablement)</v>
      </c>
      <c r="AC227" t="str">
        <f>TRIM(SUBSTITUTE(SUBSTITUTE(SUBSTITUTE(SUBSTITUTE(" " &amp; LOWER(TRIM(IF($N227&lt;&gt;"", $N227, $H227))) &amp; " ", " aomi ", " arteriopathie des membres inferieurs "), " hta ", " hypertension arterielle "), " saos ", " syndrome d'apnees obstructives du sommeil "), " rgo ", " reflux gastro-oesophagien ") )</f>
        <v>asthme (allergique probablement)</v>
      </c>
      <c r="AD227" t="str">
        <f>TRIM(SUBSTITUTE(SUBSTITUTE(SUBSTITUTE(SUBSTITUTE(" " &amp; LOWER(TRIM($AC227)) &amp; " ", " oacr ", " occlusion de l'artere centrale de la retine "), " hsd ", " hematome sous-dural "), " fa ", " fibrillation auriculaire "), " ep ", " embolie pulmonaire ") )</f>
        <v>asthme (allergique probablement)</v>
      </c>
      <c r="AE227" t="str" cm="1">
        <f t="array" ref="AE227">_xlfn.LET(_xlpm.base, " " &amp; LOWER(TRIM($AD227))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asthme (allergique probablement)</v>
      </c>
      <c r="AF227" t="str" cm="1">
        <f t="array" ref="AF227">_xlfn.LET(_xlpm.base, " " &amp; LOWER(TRIM($AE227))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asthme (allergique probablement)</v>
      </c>
    </row>
    <row r="228" spans="1:32" ht="50.25">
      <c r="A228" s="8">
        <v>2019</v>
      </c>
      <c r="B228" s="10" t="s">
        <v>64</v>
      </c>
      <c r="C228" s="8" t="s">
        <v>33</v>
      </c>
      <c r="D228" s="20">
        <v>44</v>
      </c>
      <c r="E228" s="11" t="str">
        <f>IF(D228="","",IFERROR(INDEX(SSP!$E$2:$E$266, MATCH(D228, SSP!$F$2:$F$266, 0)),""))</f>
        <v>Douleur thoracique</v>
      </c>
      <c r="F228" s="11" t="str">
        <f>Feuil1!E228</f>
        <v>Douleur thoracique</v>
      </c>
      <c r="G228" s="12" t="s">
        <v>813</v>
      </c>
      <c r="H228" s="13" t="s">
        <v>814</v>
      </c>
      <c r="I228" s="13"/>
      <c r="J228" s="15" t="s">
        <v>815</v>
      </c>
      <c r="K228" s="9" t="s">
        <v>816</v>
      </c>
      <c r="L228" s="9" t="s">
        <v>33</v>
      </c>
      <c r="M228" s="9" t="s">
        <v>33</v>
      </c>
      <c r="N228" t="s">
        <v>814</v>
      </c>
      <c r="O228" t="str">
        <f>IFERROR(_xlfn.XLOOKUP($D228, SSP!$F:$F, SSP!$E:$E, "Inconnu"), "")</f>
        <v>Douleur thoracique</v>
      </c>
      <c r="P228" t="str">
        <f>IF(OR(E228="", O228=""), "", IF(LOWER(E228)=LOWER(O228), "OK", "⚠️ Libellé ≠ n°"))</f>
        <v>OK</v>
      </c>
      <c r="Q228" t="str">
        <f>IF(Feuil1!$E228="", "", IF(LOWER(Feuil1!$E228)=LOWER(E228), "Identique", "Différent"))</f>
        <v>Identique</v>
      </c>
      <c r="R228" t="str">
        <f>IF(OR(P228="⚠️ Libellé ≠ n°", O228="Inconnu"), "⚠️", IF(Q228="Différent", "ℹ️", ""))</f>
        <v/>
      </c>
      <c r="S228" t="str" cm="1">
        <f t="array" ref="S228">_xlfn.LET(_xlpm.genCat,IFERROR(LOWER(TRIM(G228)),""),_xlpm.principal,IFERROR(LOWER(TRIM(H228)),""),_xlpm.orig,IFERROR(LOWER(TRIM(N228)),""),IF(OR(_xlpm.genCat="",_xlpm.principal=""),"",IF(LEFT(LOWER(G228),5)="autre","OK (Autre)",IF(OR(ISNUMBER(SEARCH(_xlpm.genCat,_xlpm.principal)),ISNUMBER(SEARCH(_xlpm.principal,_xlpm.genCat)),AND(_xlpm.orig&lt;&gt;"",OR(ISNUMBER(SEARCH(_xlpm.genCat,_xlpm.orig)),ISNUMBER(SEARCH(_xlpm.orig,_xlpm.genCat))))),"OK","⚠️ À vérifier"))))</f>
        <v>OK</v>
      </c>
      <c r="T228" t="str">
        <f>IF(S228="","",IF(S228="OK (Autre)","Diagnostic générique = 'Autre – …'",IF(S228="OK","Concordance générique/principal","Écart entre générique et principal")))</f>
        <v>Concordance générique/principal</v>
      </c>
      <c r="U228" t="str" cm="1">
        <f t="array" ref="U228">_xlfn.LET(_xlpm.yr, A228, _xlpm.diag, IF(N228&lt;&gt;"", N228, H228), _xlpm.base, TRIM(SUBSTITUTE(SUBSTITUTE(SUBSTITUTE(SUBSTITUTE(_xlpm.diag,"•"," "),CHAR(160)," "),CHAR(10)," "),"  "," ")), LOWER(_xlpm.yr&amp;"|"&amp;_xlpm.base))</f>
        <v>2019|lymphome (probablement)</v>
      </c>
      <c r="V228" t="str">
        <f>IFERROR(_xlfn.XLOOKUP($AB228,'Cas 2013-2017'!$K:$K,'Cas 2013-2017'!$D:$D,""),"")</f>
        <v/>
      </c>
      <c r="W228" t="str">
        <f>IFERROR(_xlfn.XLOOKUP($AB228,'Cas 2013-2017'!$K:$K,'Cas 2013-2017'!$E:$E,""),"")</f>
        <v/>
      </c>
      <c r="X228" t="str">
        <f>IFERROR(_xlfn.XLOOKUP($AB228,'Cas 2013-2017'!$K:$K,'Cas 2013-2017'!$F:$F,""),"")</f>
        <v/>
      </c>
      <c r="Y228" t="str">
        <f>IFERROR(_xlfn.XLOOKUP($AB228,'Cas 2013-2017'!$K:$K,'Cas 2013-2017'!$G:$G,""),"")</f>
        <v/>
      </c>
      <c r="Z228" t="str">
        <f>IFERROR(_xlfn.XLOOKUP($AB228,'Cas 2013-2017'!$K:$K,'Cas 2013-2017'!$I:$I,""),"")</f>
        <v/>
      </c>
      <c r="AA228" t="str">
        <f>IFERROR(_xlfn.XLOOKUP($AB228,'Cas 2013-2017'!$K:$K,'Cas 2013-2017'!$H:$H,""),"")</f>
        <v/>
      </c>
      <c r="AB228" t="str">
        <f>LOWER($A228 &amp; "|" &amp; $AF228)</f>
        <v>2019|lymphome (probablement)</v>
      </c>
      <c r="AC228" t="str">
        <f>TRIM(SUBSTITUTE(SUBSTITUTE(SUBSTITUTE(SUBSTITUTE(" " &amp; LOWER(TRIM(IF($N228&lt;&gt;"", $N228, $H228))) &amp; " ", " aomi ", " arteriopathie des membres inferieurs "), " hta ", " hypertension arterielle "), " saos ", " syndrome d'apnees obstructives du sommeil "), " rgo ", " reflux gastro-oesophagien ") )</f>
        <v>lymphome (probablement)</v>
      </c>
      <c r="AD228" t="str">
        <f>TRIM(SUBSTITUTE(SUBSTITUTE(SUBSTITUTE(SUBSTITUTE(" " &amp; LOWER(TRIM($AC228)) &amp; " ", " oacr ", " occlusion de l'artere centrale de la retine "), " hsd ", " hematome sous-dural "), " fa ", " fibrillation auriculaire "), " ep ", " embolie pulmonaire ") )</f>
        <v>lymphome (probablement)</v>
      </c>
      <c r="AE228" t="str" cm="1">
        <f t="array" ref="AE228">_xlfn.LET(_xlpm.base, " " &amp; LOWER(TRIM($AD228))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lymphome (probablement)</v>
      </c>
      <c r="AF228" t="str" cm="1">
        <f t="array" ref="AF228">_xlfn.LET(_xlpm.base, " " &amp; LOWER(TRIM($AE228))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lymphome (probablement)</v>
      </c>
    </row>
    <row r="229" spans="1:32" ht="33.75">
      <c r="A229" s="8">
        <v>2019</v>
      </c>
      <c r="B229" s="10" t="s">
        <v>133</v>
      </c>
      <c r="C229" s="8" t="s">
        <v>33</v>
      </c>
      <c r="D229" s="20">
        <v>4</v>
      </c>
      <c r="E229" s="11" t="str">
        <f>IF(D229="","",IFERROR(INDEX(SSP!$E$2:$E$266, MATCH(D229, SSP!$F$2:$F$266, 0)),""))</f>
        <v>Fatigue, asthénie</v>
      </c>
      <c r="F229" s="11" t="str">
        <f>Feuil1!E229</f>
        <v>Fatigue</v>
      </c>
      <c r="G229" s="12" t="s">
        <v>137</v>
      </c>
      <c r="H229" s="13" t="s">
        <v>138</v>
      </c>
      <c r="I229" s="13"/>
      <c r="J229" s="15" t="s">
        <v>817</v>
      </c>
      <c r="K229" s="9" t="s">
        <v>33</v>
      </c>
      <c r="L229" s="9" t="s">
        <v>33</v>
      </c>
      <c r="M229" s="9" t="s">
        <v>33</v>
      </c>
      <c r="N229" t="s">
        <v>140</v>
      </c>
      <c r="O229" t="str">
        <f>IFERROR(_xlfn.XLOOKUP($D229, SSP!$F:$F, SSP!$E:$E, "Inconnu"), "")</f>
        <v>Fatigue, asthénie</v>
      </c>
      <c r="P229" t="str">
        <f>IF(OR(E229="", O229=""), "", IF(LOWER(E229)=LOWER(O229), "OK", "⚠️ Libellé ≠ n°"))</f>
        <v>OK</v>
      </c>
      <c r="Q229" t="str">
        <f>IF(Feuil1!$E229="", "", IF(LOWER(Feuil1!$E229)=LOWER(E229), "Identique", "Différent"))</f>
        <v>Différent</v>
      </c>
      <c r="R229" t="str">
        <f>IF(OR(P229="⚠️ Libellé ≠ n°", O229="Inconnu"), "⚠️", IF(Q229="Différent", "ℹ️", ""))</f>
        <v>ℹ️</v>
      </c>
      <c r="S229" t="str" cm="1">
        <f t="array" ref="S229">_xlfn.LET(_xlpm.genCat,IFERROR(LOWER(TRIM(G229)),""),_xlpm.principal,IFERROR(LOWER(TRIM(H229)),""),_xlpm.orig,IFERROR(LOWER(TRIM(N229)),""),IF(OR(_xlpm.genCat="",_xlpm.principal=""),"",IF(LEFT(LOWER(G229),5)="autre","OK (Autre)",IF(OR(ISNUMBER(SEARCH(_xlpm.genCat,_xlpm.principal)),ISNUMBER(SEARCH(_xlpm.principal,_xlpm.genCat)),AND(_xlpm.orig&lt;&gt;"",OR(ISNUMBER(SEARCH(_xlpm.genCat,_xlpm.orig)),ISNUMBER(SEARCH(_xlpm.orig,_xlpm.genCat))))),"OK","⚠️ À vérifier"))))</f>
        <v>OK (Autre)</v>
      </c>
      <c r="T229" t="str">
        <f>IF(S229="","",IF(S229="OK (Autre)","Diagnostic générique = 'Autre – …'",IF(S229="OK","Concordance générique/principal","Écart entre générique et principal")))</f>
        <v>Diagnostic générique = 'Autre – …'</v>
      </c>
      <c r="U229" t="str" cm="1">
        <f t="array" ref="U229">_xlfn.LET(_xlpm.yr, A229, _xlpm.diag, IF(N229&lt;&gt;"", N229, H229), _xlpm.base, TRIM(SUBSTITUTE(SUBSTITUTE(SUBSTITUTE(SUBSTITUTE(_xlpm.diag,"•"," "),CHAR(160)," "),CHAR(10)," "),"  "," ")), LOWER(_xlpm.yr&amp;"|"&amp;_xlpm.base))</f>
        <v>2019|saos</v>
      </c>
      <c r="V229" t="str">
        <f>IFERROR(_xlfn.XLOOKUP($AB229,'Cas 2013-2017'!$K:$K,'Cas 2013-2017'!$D:$D,""),"")</f>
        <v/>
      </c>
      <c r="W229" t="str">
        <f>IFERROR(_xlfn.XLOOKUP($AB229,'Cas 2013-2017'!$K:$K,'Cas 2013-2017'!$E:$E,""),"")</f>
        <v/>
      </c>
      <c r="X229" t="str">
        <f>IFERROR(_xlfn.XLOOKUP($AB229,'Cas 2013-2017'!$K:$K,'Cas 2013-2017'!$F:$F,""),"")</f>
        <v/>
      </c>
      <c r="Y229" t="str">
        <f>IFERROR(_xlfn.XLOOKUP($AB229,'Cas 2013-2017'!$K:$K,'Cas 2013-2017'!$G:$G,""),"")</f>
        <v/>
      </c>
      <c r="Z229" t="str">
        <f>IFERROR(_xlfn.XLOOKUP($AB229,'Cas 2013-2017'!$K:$K,'Cas 2013-2017'!$I:$I,""),"")</f>
        <v/>
      </c>
      <c r="AA229" t="str">
        <f>IFERROR(_xlfn.XLOOKUP($AB229,'Cas 2013-2017'!$K:$K,'Cas 2013-2017'!$H:$H,""),"")</f>
        <v/>
      </c>
      <c r="AB229" t="str">
        <f>LOWER($A229 &amp; "|" &amp; $AF229)</f>
        <v>2019|syndrome d'apnees obstructives du sommeil</v>
      </c>
      <c r="AC229" t="str">
        <f>TRIM(SUBSTITUTE(SUBSTITUTE(SUBSTITUTE(SUBSTITUTE(" " &amp; LOWER(TRIM(IF($N229&lt;&gt;"", $N229, $H229))) &amp; " ", " aomi ", " arteriopathie des membres inferieurs "), " hta ", " hypertension arterielle "), " saos ", " syndrome d'apnees obstructives du sommeil "), " rgo ", " reflux gastro-oesophagien ") )</f>
        <v>syndrome d'apnees obstructives du sommeil</v>
      </c>
      <c r="AD229" t="str">
        <f>TRIM(SUBSTITUTE(SUBSTITUTE(SUBSTITUTE(SUBSTITUTE(" " &amp; LOWER(TRIM($AC229)) &amp; " ", " oacr ", " occlusion de l'artere centrale de la retine "), " hsd ", " hematome sous-dural "), " fa ", " fibrillation auriculaire "), " ep ", " embolie pulmonaire ") )</f>
        <v>syndrome d'apnees obstructives du sommeil</v>
      </c>
      <c r="AE229" t="str" cm="1">
        <f t="array" ref="AE229">_xlfn.LET(_xlpm.base, " " &amp; LOWER(TRIM($AD229))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d'apnees obstructives du sommeil</v>
      </c>
      <c r="AF229" t="str" cm="1">
        <f t="array" ref="AF229">_xlfn.LET(_xlpm.base, " " &amp; LOWER(TRIM($AE229))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d'apnees obstructives du sommeil</v>
      </c>
    </row>
    <row r="230" spans="1:32" ht="33.75">
      <c r="A230" s="8">
        <v>2019</v>
      </c>
      <c r="B230" s="10" t="s">
        <v>141</v>
      </c>
      <c r="C230" s="8" t="s">
        <v>33</v>
      </c>
      <c r="D230" s="20">
        <v>4</v>
      </c>
      <c r="E230" s="11" t="str">
        <f>IF(D230="","",IFERROR(INDEX(SSP!$E$2:$E$266, MATCH(D230, SSP!$F$2:$F$266, 0)),""))</f>
        <v>Fatigue, asthénie</v>
      </c>
      <c r="F230" s="11" t="str">
        <f>Feuil1!E230</f>
        <v>Fatigue</v>
      </c>
      <c r="G230" s="12" t="s">
        <v>291</v>
      </c>
      <c r="H230" s="13" t="s">
        <v>818</v>
      </c>
      <c r="I230" s="13"/>
      <c r="J230" s="15" t="s">
        <v>819</v>
      </c>
      <c r="K230" s="9" t="s">
        <v>820</v>
      </c>
      <c r="L230" s="9" t="s">
        <v>33</v>
      </c>
      <c r="M230" s="9" t="s">
        <v>33</v>
      </c>
      <c r="N230" t="s">
        <v>818</v>
      </c>
      <c r="O230" t="str">
        <f>IFERROR(_xlfn.XLOOKUP($D230, SSP!$F:$F, SSP!$E:$E, "Inconnu"), "")</f>
        <v>Fatigue, asthénie</v>
      </c>
      <c r="P230" t="str">
        <f>IF(OR(E230="", O230=""), "", IF(LOWER(E230)=LOWER(O230), "OK", "⚠️ Libellé ≠ n°"))</f>
        <v>OK</v>
      </c>
      <c r="Q230" t="str">
        <f>IF(Feuil1!$E230="", "", IF(LOWER(Feuil1!$E230)=LOWER(E230), "Identique", "Différent"))</f>
        <v>Différent</v>
      </c>
      <c r="R230" t="str">
        <f>IF(OR(P230="⚠️ Libellé ≠ n°", O230="Inconnu"), "⚠️", IF(Q230="Différent", "ℹ️", ""))</f>
        <v>ℹ️</v>
      </c>
      <c r="S230" t="str" cm="1">
        <f t="array" ref="S230">_xlfn.LET(_xlpm.genCat,IFERROR(LOWER(TRIM(G230)),""),_xlpm.principal,IFERROR(LOWER(TRIM(H230)),""),_xlpm.orig,IFERROR(LOWER(TRIM(N230)),""),IF(OR(_xlpm.genCat="",_xlpm.principal=""),"",IF(LEFT(LOWER(G230),5)="autre","OK (Autre)",IF(OR(ISNUMBER(SEARCH(_xlpm.genCat,_xlpm.principal)),ISNUMBER(SEARCH(_xlpm.principal,_xlpm.genCat)),AND(_xlpm.orig&lt;&gt;"",OR(ISNUMBER(SEARCH(_xlpm.genCat,_xlpm.orig)),ISNUMBER(SEARCH(_xlpm.orig,_xlpm.genCat))))),"OK","⚠️ À vérifier"))))</f>
        <v>⚠️ À vérifier</v>
      </c>
      <c r="T230" t="str">
        <f>IF(S230="","",IF(S230="OK (Autre)","Diagnostic générique = 'Autre – …'",IF(S230="OK","Concordance générique/principal","Écart entre générique et principal")))</f>
        <v>Écart entre générique et principal</v>
      </c>
      <c r="U230" t="str" cm="1">
        <f t="array" ref="U230">_xlfn.LET(_xlpm.yr, A230, _xlpm.diag, IF(N230&lt;&gt;"", N230, H230), _xlpm.base, TRIM(SUBSTITUTE(SUBSTITUTE(SUBSTITUTE(SUBSTITUTE(_xlpm.diag,"•"," "),CHAR(160)," "),CHAR(10)," "),"  "," ")), LOWER(_xlpm.yr&amp;"|"&amp;_xlpm.base))</f>
        <v>2019|dépression avec risque suicidaire</v>
      </c>
      <c r="V230" t="str">
        <f>IFERROR(_xlfn.XLOOKUP($AB230,'Cas 2013-2017'!$K:$K,'Cas 2013-2017'!$D:$D,""),"")</f>
        <v/>
      </c>
      <c r="W230" t="str">
        <f>IFERROR(_xlfn.XLOOKUP($AB230,'Cas 2013-2017'!$K:$K,'Cas 2013-2017'!$E:$E,""),"")</f>
        <v/>
      </c>
      <c r="X230" t="str">
        <f>IFERROR(_xlfn.XLOOKUP($AB230,'Cas 2013-2017'!$K:$K,'Cas 2013-2017'!$F:$F,""),"")</f>
        <v/>
      </c>
      <c r="Y230" t="str">
        <f>IFERROR(_xlfn.XLOOKUP($AB230,'Cas 2013-2017'!$K:$K,'Cas 2013-2017'!$G:$G,""),"")</f>
        <v/>
      </c>
      <c r="Z230" t="str">
        <f>IFERROR(_xlfn.XLOOKUP($AB230,'Cas 2013-2017'!$K:$K,'Cas 2013-2017'!$I:$I,""),"")</f>
        <v/>
      </c>
      <c r="AA230" t="str">
        <f>IFERROR(_xlfn.XLOOKUP($AB230,'Cas 2013-2017'!$K:$K,'Cas 2013-2017'!$H:$H,""),"")</f>
        <v/>
      </c>
      <c r="AB230" t="str">
        <f>LOWER($A230 &amp; "|" &amp; $AF230)</f>
        <v>2019|dépression avec risque suicidaire</v>
      </c>
      <c r="AC230" t="str">
        <f>TRIM(SUBSTITUTE(SUBSTITUTE(SUBSTITUTE(SUBSTITUTE(" " &amp; LOWER(TRIM(IF($N230&lt;&gt;"", $N230, $H230))) &amp; " ", " aomi ", " arteriopathie des membres inferieurs "), " hta ", " hypertension arterielle "), " saos ", " syndrome d'apnees obstructives du sommeil "), " rgo ", " reflux gastro-oesophagien ") )</f>
        <v>dépression avec risque suicidaire</v>
      </c>
      <c r="AD230" t="str">
        <f>TRIM(SUBSTITUTE(SUBSTITUTE(SUBSTITUTE(SUBSTITUTE(" " &amp; LOWER(TRIM($AC230)) &amp; " ", " oacr ", " occlusion de l'artere centrale de la retine "), " hsd ", " hematome sous-dural "), " fa ", " fibrillation auriculaire "), " ep ", " embolie pulmonaire ") )</f>
        <v>dépression avec risque suicidaire</v>
      </c>
      <c r="AE230" t="str" cm="1">
        <f t="array" ref="AE230">_xlfn.LET(_xlpm.base, " " &amp; LOWER(TRIM($AD230))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dépression avec risque suicidaire</v>
      </c>
      <c r="AF230" t="str" cm="1">
        <f t="array" ref="AF230">_xlfn.LET(_xlpm.base, " " &amp; LOWER(TRIM($AE230))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dépression avec risque suicidaire</v>
      </c>
    </row>
    <row r="231" spans="1:32" ht="84">
      <c r="A231" s="8">
        <v>2019</v>
      </c>
      <c r="B231" s="10" t="s">
        <v>82</v>
      </c>
      <c r="C231" s="8" t="s">
        <v>33</v>
      </c>
      <c r="D231" s="20">
        <v>55</v>
      </c>
      <c r="E231" s="11" t="str">
        <f>IF(D231="","",IFERROR(INDEX(SSP!$E$2:$E$266, MATCH(D231, SSP!$F$2:$F$266, 0)),""))</f>
        <v>Troubles du transit intestinal, incontinence, douleur à la défécation</v>
      </c>
      <c r="F231" s="11" t="str">
        <f>Feuil1!E231</f>
        <v>ECA</v>
      </c>
      <c r="G231" s="12" t="s">
        <v>56</v>
      </c>
      <c r="H231" s="13" t="s">
        <v>821</v>
      </c>
      <c r="I231" s="13"/>
      <c r="J231" s="15" t="s">
        <v>822</v>
      </c>
      <c r="K231" s="9" t="s">
        <v>823</v>
      </c>
      <c r="L231" s="9" t="s">
        <v>33</v>
      </c>
      <c r="M231" s="9" t="s">
        <v>33</v>
      </c>
      <c r="N231" t="s">
        <v>824</v>
      </c>
      <c r="O231" t="str">
        <f>IFERROR(_xlfn.XLOOKUP($D231, SSP!$F:$F, SSP!$E:$E, "Inconnu"), "")</f>
        <v>Troubles du transit intestinal, incontinence, douleur à la défécation</v>
      </c>
      <c r="P231" t="str">
        <f>IF(OR(E231="", O231=""), "", IF(LOWER(E231)=LOWER(O231), "OK", "⚠️ Libellé ≠ n°"))</f>
        <v>OK</v>
      </c>
      <c r="Q231" t="str">
        <f>IF(Feuil1!$E231="", "", IF(LOWER(Feuil1!$E231)=LOWER(E231), "Identique", "Différent"))</f>
        <v>Différent</v>
      </c>
      <c r="R231" t="str">
        <f>IF(OR(P231="⚠️ Libellé ≠ n°", O231="Inconnu"), "⚠️", IF(Q231="Différent", "ℹ️", ""))</f>
        <v>ℹ️</v>
      </c>
      <c r="S231" t="str" cm="1">
        <f t="array" ref="S231">_xlfn.LET(_xlpm.genCat,IFERROR(LOWER(TRIM(G231)),""),_xlpm.principal,IFERROR(LOWER(TRIM(H231)),""),_xlpm.orig,IFERROR(LOWER(TRIM(N231)),""),IF(OR(_xlpm.genCat="",_xlpm.principal=""),"",IF(LEFT(LOWER(G231),5)="autre","OK (Autre)",IF(OR(ISNUMBER(SEARCH(_xlpm.genCat,_xlpm.principal)),ISNUMBER(SEARCH(_xlpm.principal,_xlpm.genCat)),AND(_xlpm.orig&lt;&gt;"",OR(ISNUMBER(SEARCH(_xlpm.genCat,_xlpm.orig)),ISNUMBER(SEARCH(_xlpm.orig,_xlpm.genCat))))),"OK","⚠️ À vérifier"))))</f>
        <v>⚠️ À vérifier</v>
      </c>
      <c r="T231" t="str">
        <f>IF(S231="","",IF(S231="OK (Autre)","Diagnostic générique = 'Autre – …'",IF(S231="OK","Concordance générique/principal","Écart entre générique et principal")))</f>
        <v>Écart entre générique et principal</v>
      </c>
      <c r="U231" t="str" cm="1">
        <f t="array" ref="U231">_xlfn.LET(_xlpm.yr, A231, _xlpm.diag, IF(N231&lt;&gt;"", N231, H231), _xlpm.base, TRIM(SUBSTITUTE(SUBSTITUTE(SUBSTITUTE(SUBSTITUTE(_xlpm.diag,"•"," "),CHAR(160)," "),CHAR(10)," "),"  "," ")), LOWER(_xlpm.yr&amp;"|"&amp;_xlpm.base))</f>
        <v>2019|eca sur delirium tremens</v>
      </c>
      <c r="V231" t="str">
        <f>IFERROR(_xlfn.XLOOKUP($AB231,'Cas 2013-2017'!$K:$K,'Cas 2013-2017'!$D:$D,""),"")</f>
        <v/>
      </c>
      <c r="W231" t="str">
        <f>IFERROR(_xlfn.XLOOKUP($AB231,'Cas 2013-2017'!$K:$K,'Cas 2013-2017'!$E:$E,""),"")</f>
        <v/>
      </c>
      <c r="X231" t="str">
        <f>IFERROR(_xlfn.XLOOKUP($AB231,'Cas 2013-2017'!$K:$K,'Cas 2013-2017'!$F:$F,""),"")</f>
        <v/>
      </c>
      <c r="Y231" t="str">
        <f>IFERROR(_xlfn.XLOOKUP($AB231,'Cas 2013-2017'!$K:$K,'Cas 2013-2017'!$G:$G,""),"")</f>
        <v/>
      </c>
      <c r="Z231" t="str">
        <f>IFERROR(_xlfn.XLOOKUP($AB231,'Cas 2013-2017'!$K:$K,'Cas 2013-2017'!$I:$I,""),"")</f>
        <v/>
      </c>
      <c r="AA231" t="str">
        <f>IFERROR(_xlfn.XLOOKUP($AB231,'Cas 2013-2017'!$K:$K,'Cas 2013-2017'!$H:$H,""),"")</f>
        <v/>
      </c>
      <c r="AB231" t="str">
        <f>LOWER($A231 &amp; "|" &amp; $AF231)</f>
        <v>2019|eca sur delirium tremens</v>
      </c>
      <c r="AC231" t="str">
        <f>TRIM(SUBSTITUTE(SUBSTITUTE(SUBSTITUTE(SUBSTITUTE(" " &amp; LOWER(TRIM(IF($N231&lt;&gt;"", $N231, $H231))) &amp; " ", " aomi ", " arteriopathie des membres inferieurs "), " hta ", " hypertension arterielle "), " saos ", " syndrome d'apnees obstructives du sommeil "), " rgo ", " reflux gastro-oesophagien ") )</f>
        <v>eca sur delirium tremens</v>
      </c>
      <c r="AD231" t="str">
        <f>TRIM(SUBSTITUTE(SUBSTITUTE(SUBSTITUTE(SUBSTITUTE(" " &amp; LOWER(TRIM($AC231)) &amp; " ", " oacr ", " occlusion de l'artere centrale de la retine "), " hsd ", " hematome sous-dural "), " fa ", " fibrillation auriculaire "), " ep ", " embolie pulmonaire ") )</f>
        <v>eca sur delirium tremens</v>
      </c>
      <c r="AE231" t="str" cm="1">
        <f t="array" ref="AE231">_xlfn.LET(_xlpm.base, " " &amp; LOWER(TRIM($AD231))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eca sur delirium tremens</v>
      </c>
      <c r="AF231" t="str" cm="1">
        <f t="array" ref="AF231">_xlfn.LET(_xlpm.base, " " &amp; LOWER(TRIM($AE231))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eca sur delirium tremens</v>
      </c>
    </row>
    <row r="232" spans="1:32" ht="33.75">
      <c r="A232" s="8">
        <v>2019</v>
      </c>
      <c r="B232" s="10" t="s">
        <v>141</v>
      </c>
      <c r="C232" s="8" t="s">
        <v>33</v>
      </c>
      <c r="D232" s="20">
        <v>121</v>
      </c>
      <c r="E232" s="11" t="str">
        <f>IF(D232="","",IFERROR(INDEX(SSP!$E$2:$E$266, MATCH(D232, SSP!$F$2:$F$266, 0)),""))</f>
        <v>Trouble du comportement alimentaire</v>
      </c>
      <c r="F232" s="11" t="str">
        <f>Feuil1!E232</f>
        <v>Vomissement</v>
      </c>
      <c r="G232" s="12" t="s">
        <v>517</v>
      </c>
      <c r="H232" s="13" t="s">
        <v>518</v>
      </c>
      <c r="I232" s="13"/>
      <c r="J232" s="15" t="s">
        <v>825</v>
      </c>
      <c r="K232" s="9" t="s">
        <v>826</v>
      </c>
      <c r="L232" s="9" t="s">
        <v>33</v>
      </c>
      <c r="M232" s="9" t="s">
        <v>33</v>
      </c>
      <c r="N232" t="s">
        <v>518</v>
      </c>
      <c r="O232" t="str">
        <f>IFERROR(_xlfn.XLOOKUP($D232, SSP!$F:$F, SSP!$E:$E, "Inconnu"), "")</f>
        <v>Trouble du comportement alimentaire</v>
      </c>
      <c r="P232" t="str">
        <f>IF(OR(E232="", O232=""), "", IF(LOWER(E232)=LOWER(O232), "OK", "⚠️ Libellé ≠ n°"))</f>
        <v>OK</v>
      </c>
      <c r="Q232" t="str">
        <f>IF(Feuil1!$E232="", "", IF(LOWER(Feuil1!$E232)=LOWER(E232), "Identique", "Différent"))</f>
        <v>Différent</v>
      </c>
      <c r="R232" t="str">
        <f>IF(OR(P232="⚠️ Libellé ≠ n°", O232="Inconnu"), "⚠️", IF(Q232="Différent", "ℹ️", ""))</f>
        <v>ℹ️</v>
      </c>
      <c r="S232" t="str" cm="1">
        <f t="array" ref="S232">_xlfn.LET(_xlpm.genCat,IFERROR(LOWER(TRIM(G232)),""),_xlpm.principal,IFERROR(LOWER(TRIM(H232)),""),_xlpm.orig,IFERROR(LOWER(TRIM(N232)),""),IF(OR(_xlpm.genCat="",_xlpm.principal=""),"",IF(LEFT(LOWER(G232),5)="autre","OK (Autre)",IF(OR(ISNUMBER(SEARCH(_xlpm.genCat,_xlpm.principal)),ISNUMBER(SEARCH(_xlpm.principal,_xlpm.genCat)),AND(_xlpm.orig&lt;&gt;"",OR(ISNUMBER(SEARCH(_xlpm.genCat,_xlpm.orig)),ISNUMBER(SEARCH(_xlpm.orig,_xlpm.genCat))))),"OK","⚠️ À vérifier"))))</f>
        <v>⚠️ À vérifier</v>
      </c>
      <c r="T232" t="str">
        <f>IF(S232="","",IF(S232="OK (Autre)","Diagnostic générique = 'Autre – …'",IF(S232="OK","Concordance générique/principal","Écart entre générique et principal")))</f>
        <v>Écart entre générique et principal</v>
      </c>
      <c r="U232" t="str" cm="1">
        <f t="array" ref="U232">_xlfn.LET(_xlpm.yr, A232, _xlpm.diag, IF(N232&lt;&gt;"", N232, H232), _xlpm.base, TRIM(SUBSTITUTE(SUBSTITUTE(SUBSTITUTE(SUBSTITUTE(_xlpm.diag,"•"," "),CHAR(160)," "),CHAR(10)," "),"  "," ")), LOWER(_xlpm.yr&amp;"|"&amp;_xlpm.base))</f>
        <v>2019|tca : boulimie</v>
      </c>
      <c r="V232" t="str">
        <f>IFERROR(_xlfn.XLOOKUP($AB232,'Cas 2013-2017'!$K:$K,'Cas 2013-2017'!$D:$D,""),"")</f>
        <v/>
      </c>
      <c r="W232" t="str">
        <f>IFERROR(_xlfn.XLOOKUP($AB232,'Cas 2013-2017'!$K:$K,'Cas 2013-2017'!$E:$E,""),"")</f>
        <v/>
      </c>
      <c r="X232" t="str">
        <f>IFERROR(_xlfn.XLOOKUP($AB232,'Cas 2013-2017'!$K:$K,'Cas 2013-2017'!$F:$F,""),"")</f>
        <v/>
      </c>
      <c r="Y232" t="str">
        <f>IFERROR(_xlfn.XLOOKUP($AB232,'Cas 2013-2017'!$K:$K,'Cas 2013-2017'!$G:$G,""),"")</f>
        <v/>
      </c>
      <c r="Z232" t="str">
        <f>IFERROR(_xlfn.XLOOKUP($AB232,'Cas 2013-2017'!$K:$K,'Cas 2013-2017'!$I:$I,""),"")</f>
        <v/>
      </c>
      <c r="AA232" t="str">
        <f>IFERROR(_xlfn.XLOOKUP($AB232,'Cas 2013-2017'!$K:$K,'Cas 2013-2017'!$H:$H,""),"")</f>
        <v/>
      </c>
      <c r="AB232" t="str">
        <f>LOWER($A232 &amp; "|" &amp; $AF232)</f>
        <v>2019|tca : boulimie</v>
      </c>
      <c r="AC232" t="str">
        <f>TRIM(SUBSTITUTE(SUBSTITUTE(SUBSTITUTE(SUBSTITUTE(" " &amp; LOWER(TRIM(IF($N232&lt;&gt;"", $N232, $H232))) &amp; " ", " aomi ", " arteriopathie des membres inferieurs "), " hta ", " hypertension arterielle "), " saos ", " syndrome d'apnees obstructives du sommeil "), " rgo ", " reflux gastro-oesophagien ") )</f>
        <v>tca : boulimie</v>
      </c>
      <c r="AD232" t="str">
        <f>TRIM(SUBSTITUTE(SUBSTITUTE(SUBSTITUTE(SUBSTITUTE(" " &amp; LOWER(TRIM($AC232)) &amp; " ", " oacr ", " occlusion de l'artere centrale de la retine "), " hsd ", " hematome sous-dural "), " fa ", " fibrillation auriculaire "), " ep ", " embolie pulmonaire ") )</f>
        <v>tca : boulimie</v>
      </c>
      <c r="AE232" t="str" cm="1">
        <f t="array" ref="AE232">_xlfn.LET(_xlpm.base, " " &amp; LOWER(TRIM($AD232))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tca : boulimie</v>
      </c>
      <c r="AF232" t="str" cm="1">
        <f t="array" ref="AF232">_xlfn.LET(_xlpm.base, " " &amp; LOWER(TRIM($AE232))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tca : boulimie</v>
      </c>
    </row>
    <row r="233" spans="1:32" ht="50.25">
      <c r="A233" s="8">
        <v>2019</v>
      </c>
      <c r="B233" s="10" t="s">
        <v>87</v>
      </c>
      <c r="C233" s="8" t="s">
        <v>33</v>
      </c>
      <c r="D233" s="20">
        <v>119</v>
      </c>
      <c r="E233" s="11" t="str">
        <f>IF(D233="","",IFERROR(INDEX(SSP!$E$2:$E$266, MATCH(D233, SSP!$F$2:$F$266, 0)),""))</f>
        <v>Trouble du déficit de l’attention</v>
      </c>
      <c r="F233" s="11" t="str">
        <f>Feuil1!E233</f>
        <v>Trouble de l'érection</v>
      </c>
      <c r="G233" s="12" t="s">
        <v>413</v>
      </c>
      <c r="H233" s="13" t="s">
        <v>414</v>
      </c>
      <c r="I233" s="13"/>
      <c r="J233" s="16" t="s">
        <v>165</v>
      </c>
      <c r="K233" s="9" t="s">
        <v>827</v>
      </c>
      <c r="L233" s="9" t="s">
        <v>33</v>
      </c>
      <c r="M233" s="9" t="s">
        <v>33</v>
      </c>
      <c r="N233" t="s">
        <v>828</v>
      </c>
      <c r="O233" t="str">
        <f>IFERROR(_xlfn.XLOOKUP($D233, SSP!$F:$F, SSP!$E:$E, "Inconnu"), "")</f>
        <v>Trouble du déficit de l’attention</v>
      </c>
      <c r="P233" t="str">
        <f>IF(OR(E233="", O233=""), "", IF(LOWER(E233)=LOWER(O233), "OK", "⚠️ Libellé ≠ n°"))</f>
        <v>OK</v>
      </c>
      <c r="Q233" t="str">
        <f>IF(Feuil1!$E233="", "", IF(LOWER(Feuil1!$E233)=LOWER(E233), "Identique", "Différent"))</f>
        <v>Différent</v>
      </c>
      <c r="R233" t="str">
        <f>IF(OR(P233="⚠️ Libellé ≠ n°", O233="Inconnu"), "⚠️", IF(Q233="Différent", "ℹ️", ""))</f>
        <v>ℹ️</v>
      </c>
      <c r="S233" t="str" cm="1">
        <f t="array" ref="S233">_xlfn.LET(_xlpm.genCat,IFERROR(LOWER(TRIM(G233)),""),_xlpm.principal,IFERROR(LOWER(TRIM(H233)),""),_xlpm.orig,IFERROR(LOWER(TRIM(N233)),""),IF(OR(_xlpm.genCat="",_xlpm.principal=""),"",IF(LEFT(LOWER(G233),5)="autre","OK (Autre)",IF(OR(ISNUMBER(SEARCH(_xlpm.genCat,_xlpm.principal)),ISNUMBER(SEARCH(_xlpm.principal,_xlpm.genCat)),AND(_xlpm.orig&lt;&gt;"",OR(ISNUMBER(SEARCH(_xlpm.genCat,_xlpm.orig)),ISNUMBER(SEARCH(_xlpm.orig,_xlpm.genCat))))),"OK","⚠️ À vérifier"))))</f>
        <v>⚠️ À vérifier</v>
      </c>
      <c r="T233" t="str">
        <f>IF(S233="","",IF(S233="OK (Autre)","Diagnostic générique = 'Autre – …'",IF(S233="OK","Concordance générique/principal","Écart entre générique et principal")))</f>
        <v>Écart entre générique et principal</v>
      </c>
      <c r="U233" t="str" cm="1">
        <f t="array" ref="U233">_xlfn.LET(_xlpm.yr, A233, _xlpm.diag, IF(N233&lt;&gt;"", N233, H233), _xlpm.base, TRIM(SUBSTITUTE(SUBSTITUTE(SUBSTITUTE(SUBSTITUTE(_xlpm.diag,"•"," "),CHAR(160)," "),CHAR(10)," "),"  "," ")), LOWER(_xlpm.yr&amp;"|"&amp;_xlpm.base))</f>
        <v>2019|dysfonction érectile.</v>
      </c>
      <c r="V233" t="str">
        <f>IFERROR(_xlfn.XLOOKUP($AB233,'Cas 2013-2017'!$K:$K,'Cas 2013-2017'!$D:$D,""),"")</f>
        <v/>
      </c>
      <c r="W233" t="str">
        <f>IFERROR(_xlfn.XLOOKUP($AB233,'Cas 2013-2017'!$K:$K,'Cas 2013-2017'!$E:$E,""),"")</f>
        <v/>
      </c>
      <c r="X233" t="str">
        <f>IFERROR(_xlfn.XLOOKUP($AB233,'Cas 2013-2017'!$K:$K,'Cas 2013-2017'!$F:$F,""),"")</f>
        <v/>
      </c>
      <c r="Y233" t="str">
        <f>IFERROR(_xlfn.XLOOKUP($AB233,'Cas 2013-2017'!$K:$K,'Cas 2013-2017'!$G:$G,""),"")</f>
        <v/>
      </c>
      <c r="Z233" t="str">
        <f>IFERROR(_xlfn.XLOOKUP($AB233,'Cas 2013-2017'!$K:$K,'Cas 2013-2017'!$I:$I,""),"")</f>
        <v/>
      </c>
      <c r="AA233" t="str">
        <f>IFERROR(_xlfn.XLOOKUP($AB233,'Cas 2013-2017'!$K:$K,'Cas 2013-2017'!$H:$H,""),"")</f>
        <v/>
      </c>
      <c r="AB233" t="str">
        <f>LOWER($A233 &amp; "|" &amp; $AF233)</f>
        <v>2019|dysfonction érectile.</v>
      </c>
      <c r="AC233" t="str">
        <f>TRIM(SUBSTITUTE(SUBSTITUTE(SUBSTITUTE(SUBSTITUTE(" " &amp; LOWER(TRIM(IF($N233&lt;&gt;"", $N233, $H233))) &amp; " ", " aomi ", " arteriopathie des membres inferieurs "), " hta ", " hypertension arterielle "), " saos ", " syndrome d'apnees obstructives du sommeil "), " rgo ", " reflux gastro-oesophagien ") )</f>
        <v>dysfonction érectile.</v>
      </c>
      <c r="AD233" t="str">
        <f>TRIM(SUBSTITUTE(SUBSTITUTE(SUBSTITUTE(SUBSTITUTE(" " &amp; LOWER(TRIM($AC233)) &amp; " ", " oacr ", " occlusion de l'artere centrale de la retine "), " hsd ", " hematome sous-dural "), " fa ", " fibrillation auriculaire "), " ep ", " embolie pulmonaire ") )</f>
        <v>dysfonction érectile.</v>
      </c>
      <c r="AE233" t="str" cm="1">
        <f t="array" ref="AE233">_xlfn.LET(_xlpm.base, " " &amp; LOWER(TRIM($AD233))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dysfonction érectile.</v>
      </c>
      <c r="AF233" t="str" cm="1">
        <f t="array" ref="AF233">_xlfn.LET(_xlpm.base, " " &amp; LOWER(TRIM($AE233))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dysfonction érectile.</v>
      </c>
    </row>
    <row r="234" spans="1:32" ht="16.5">
      <c r="A234" s="8">
        <v>2019</v>
      </c>
      <c r="B234" s="10" t="s">
        <v>91</v>
      </c>
      <c r="C234" s="8" t="s">
        <v>33</v>
      </c>
      <c r="D234" s="20">
        <v>47</v>
      </c>
      <c r="E234" s="11" t="str">
        <f>IF(D234="","",IFERROR(INDEX(SSP!$E$2:$E$266, MATCH(D234, SSP!$F$2:$F$266, 0)),""))</f>
        <v>Pyrosis (brûlures rétrosternales)</v>
      </c>
      <c r="F234" s="11" t="str">
        <f>Feuil1!E234</f>
        <v> </v>
      </c>
      <c r="G234" s="12" t="s">
        <v>160</v>
      </c>
      <c r="H234" s="13" t="s">
        <v>419</v>
      </c>
      <c r="I234" s="13"/>
      <c r="J234" s="16" t="s">
        <v>165</v>
      </c>
      <c r="K234" s="9" t="s">
        <v>33</v>
      </c>
      <c r="L234" s="9" t="s">
        <v>33</v>
      </c>
      <c r="M234" s="9" t="s">
        <v>33</v>
      </c>
      <c r="N234" t="s">
        <v>420</v>
      </c>
      <c r="O234" t="str">
        <f>IFERROR(_xlfn.XLOOKUP($D234, SSP!$F:$F, SSP!$E:$E, "Inconnu"), "")</f>
        <v>Pyrosis (brûlures rétrosternales)</v>
      </c>
      <c r="P234" t="str">
        <f>IF(OR(E234="", O234=""), "", IF(LOWER(E234)=LOWER(O234), "OK", "⚠️ Libellé ≠ n°"))</f>
        <v>OK</v>
      </c>
      <c r="Q234" t="str">
        <f>IF(Feuil1!$E234="", "", IF(LOWER(Feuil1!$E234)=LOWER(E234), "Identique", "Différent"))</f>
        <v>Différent</v>
      </c>
      <c r="R234" t="str">
        <f>IF(OR(P234="⚠️ Libellé ≠ n°", O234="Inconnu"), "⚠️", IF(Q234="Différent", "ℹ️", ""))</f>
        <v>ℹ️</v>
      </c>
      <c r="S234" t="str" cm="1">
        <f t="array" ref="S234">_xlfn.LET(_xlpm.genCat,IFERROR(LOWER(TRIM(G234)),""),_xlpm.principal,IFERROR(LOWER(TRIM(H234)),""),_xlpm.orig,IFERROR(LOWER(TRIM(N234)),""),IF(OR(_xlpm.genCat="",_xlpm.principal=""),"",IF(LEFT(LOWER(G234),5)="autre","OK (Autre)",IF(OR(ISNUMBER(SEARCH(_xlpm.genCat,_xlpm.principal)),ISNUMBER(SEARCH(_xlpm.principal,_xlpm.genCat)),AND(_xlpm.orig&lt;&gt;"",OR(ISNUMBER(SEARCH(_xlpm.genCat,_xlpm.orig)),ISNUMBER(SEARCH(_xlpm.orig,_xlpm.genCat))))),"OK","⚠️ À vérifier"))))</f>
        <v>OK (Autre)</v>
      </c>
      <c r="T234" t="str">
        <f>IF(S234="","",IF(S234="OK (Autre)","Diagnostic générique = 'Autre – …'",IF(S234="OK","Concordance générique/principal","Écart entre générique et principal")))</f>
        <v>Diagnostic générique = 'Autre – …'</v>
      </c>
      <c r="U234" t="str" cm="1">
        <f t="array" ref="U234">_xlfn.LET(_xlpm.yr, A234, _xlpm.diag, IF(N234&lt;&gt;"", N234, H234), _xlpm.base, TRIM(SUBSTITUTE(SUBSTITUTE(SUBSTITUTE(SUBSTITUTE(_xlpm.diag,"•"," "),CHAR(160)," "),CHAR(10)," "),"  "," ")), LOWER(_xlpm.yr&amp;"|"&amp;_xlpm.base))</f>
        <v>2019|pyélonéphrite.</v>
      </c>
      <c r="V234" t="str">
        <f>IFERROR(_xlfn.XLOOKUP($AB234,'Cas 2013-2017'!$K:$K,'Cas 2013-2017'!$D:$D,""),"")</f>
        <v/>
      </c>
      <c r="W234" t="str">
        <f>IFERROR(_xlfn.XLOOKUP($AB234,'Cas 2013-2017'!$K:$K,'Cas 2013-2017'!$E:$E,""),"")</f>
        <v/>
      </c>
      <c r="X234" t="str">
        <f>IFERROR(_xlfn.XLOOKUP($AB234,'Cas 2013-2017'!$K:$K,'Cas 2013-2017'!$F:$F,""),"")</f>
        <v/>
      </c>
      <c r="Y234" t="str">
        <f>IFERROR(_xlfn.XLOOKUP($AB234,'Cas 2013-2017'!$K:$K,'Cas 2013-2017'!$G:$G,""),"")</f>
        <v/>
      </c>
      <c r="Z234" t="str">
        <f>IFERROR(_xlfn.XLOOKUP($AB234,'Cas 2013-2017'!$K:$K,'Cas 2013-2017'!$I:$I,""),"")</f>
        <v/>
      </c>
      <c r="AA234" t="str">
        <f>IFERROR(_xlfn.XLOOKUP($AB234,'Cas 2013-2017'!$K:$K,'Cas 2013-2017'!$H:$H,""),"")</f>
        <v/>
      </c>
      <c r="AB234" t="str">
        <f>LOWER($A234 &amp; "|" &amp; $AF234)</f>
        <v>2019|pyélonéphrite.</v>
      </c>
      <c r="AC234" t="str">
        <f>TRIM(SUBSTITUTE(SUBSTITUTE(SUBSTITUTE(SUBSTITUTE(" " &amp; LOWER(TRIM(IF($N234&lt;&gt;"", $N234, $H234))) &amp; " ", " aomi ", " arteriopathie des membres inferieurs "), " hta ", " hypertension arterielle "), " saos ", " syndrome d'apnees obstructives du sommeil "), " rgo ", " reflux gastro-oesophagien ") )</f>
        <v>pyélonéphrite.</v>
      </c>
      <c r="AD234" t="str">
        <f>TRIM(SUBSTITUTE(SUBSTITUTE(SUBSTITUTE(SUBSTITUTE(" " &amp; LOWER(TRIM($AC234)) &amp; " ", " oacr ", " occlusion de l'artere centrale de la retine "), " hsd ", " hematome sous-dural "), " fa ", " fibrillation auriculaire "), " ep ", " embolie pulmonaire ") )</f>
        <v>pyélonéphrite.</v>
      </c>
      <c r="AE234" t="str" cm="1">
        <f t="array" ref="AE234">_xlfn.LET(_xlpm.base, " " &amp; LOWER(TRIM($AD234))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pyélonéphrite.</v>
      </c>
      <c r="AF234" t="str" cm="1">
        <f t="array" ref="AF234">_xlfn.LET(_xlpm.base, " " &amp; LOWER(TRIM($AE234))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pyélonéphrite.</v>
      </c>
    </row>
    <row r="235" spans="1:32" ht="50.25">
      <c r="A235" s="8">
        <v>2021</v>
      </c>
      <c r="B235" s="10" t="s">
        <v>32</v>
      </c>
      <c r="C235" s="8" t="s">
        <v>33</v>
      </c>
      <c r="D235" s="20">
        <v>178</v>
      </c>
      <c r="E235" s="11" t="str">
        <f>IF(D235="","",IFERROR(INDEX(SSP!$E$2:$E$266, MATCH(D235, SSP!$F$2:$F$266, 0)),""))</f>
        <v>Complications maternelles pendant la grossesse (fièvre, œdème, hypertension, travail prématuré)</v>
      </c>
      <c r="F235" s="11" t="str">
        <f>Feuil1!E235</f>
        <v>Hypertension</v>
      </c>
      <c r="G235" s="12" t="s">
        <v>46</v>
      </c>
      <c r="H235" s="13" t="s">
        <v>47</v>
      </c>
      <c r="I235" s="13"/>
      <c r="J235" s="16" t="s">
        <v>165</v>
      </c>
      <c r="K235" s="9" t="s">
        <v>829</v>
      </c>
      <c r="L235" s="9" t="s">
        <v>33</v>
      </c>
      <c r="M235" s="9" t="s">
        <v>33</v>
      </c>
      <c r="N235" t="s">
        <v>427</v>
      </c>
      <c r="O235" t="str">
        <f>IFERROR(_xlfn.XLOOKUP($D235, SSP!$F:$F, SSP!$E:$E, "Inconnu"), "")</f>
        <v>Complications maternelles pendant la grossesse (fièvre, œdème, hypertension, travail prématuré)</v>
      </c>
      <c r="P235" t="str">
        <f>IF(OR(E235="", O235=""), "", IF(LOWER(E235)=LOWER(O235), "OK", "⚠️ Libellé ≠ n°"))</f>
        <v>OK</v>
      </c>
      <c r="Q235" t="str">
        <f>IF(Feuil1!$E235="", "", IF(LOWER(Feuil1!$E235)=LOWER(E235), "Identique", "Différent"))</f>
        <v>Différent</v>
      </c>
      <c r="R235" t="str">
        <f>IF(OR(P235="⚠️ Libellé ≠ n°", O235="Inconnu"), "⚠️", IF(Q235="Différent", "ℹ️", ""))</f>
        <v>ℹ️</v>
      </c>
      <c r="S235" t="str" cm="1">
        <f t="array" ref="S235">_xlfn.LET(_xlpm.genCat,IFERROR(LOWER(TRIM(G235)),""),_xlpm.principal,IFERROR(LOWER(TRIM(H235)),""),_xlpm.orig,IFERROR(LOWER(TRIM(N235)),""),IF(OR(_xlpm.genCat="",_xlpm.principal=""),"",IF(LEFT(LOWER(G235),5)="autre","OK (Autre)",IF(OR(ISNUMBER(SEARCH(_xlpm.genCat,_xlpm.principal)),ISNUMBER(SEARCH(_xlpm.principal,_xlpm.genCat)),AND(_xlpm.orig&lt;&gt;"",OR(ISNUMBER(SEARCH(_xlpm.genCat,_xlpm.orig)),ISNUMBER(SEARCH(_xlpm.orig,_xlpm.genCat))))),"OK","⚠️ À vérifier"))))</f>
        <v>OK</v>
      </c>
      <c r="T235" t="str">
        <f>IF(S235="","",IF(S235="OK (Autre)","Diagnostic générique = 'Autre – …'",IF(S235="OK","Concordance générique/principal","Écart entre générique et principal")))</f>
        <v>Concordance générique/principal</v>
      </c>
      <c r="U235" t="str" cm="1">
        <f t="array" ref="U235">_xlfn.LET(_xlpm.yr, A235, _xlpm.diag, IF(N235&lt;&gt;"", N235, H235), _xlpm.base, TRIM(SUBSTITUTE(SUBSTITUTE(SUBSTITUTE(SUBSTITUTE(_xlpm.diag,"•"," "),CHAR(160)," "),CHAR(10)," "),"  "," ")), LOWER(_xlpm.yr&amp;"|"&amp;_xlpm.base))</f>
        <v>2021|hta nouvelle</v>
      </c>
      <c r="V235" t="str">
        <f>IFERROR(_xlfn.XLOOKUP($AB235,'Cas 2013-2017'!$K:$K,'Cas 2013-2017'!$D:$D,""),"")</f>
        <v/>
      </c>
      <c r="W235" t="str">
        <f>IFERROR(_xlfn.XLOOKUP($AB235,'Cas 2013-2017'!$K:$K,'Cas 2013-2017'!$E:$E,""),"")</f>
        <v/>
      </c>
      <c r="X235" t="str">
        <f>IFERROR(_xlfn.XLOOKUP($AB235,'Cas 2013-2017'!$K:$K,'Cas 2013-2017'!$F:$F,""),"")</f>
        <v/>
      </c>
      <c r="Y235" t="str">
        <f>IFERROR(_xlfn.XLOOKUP($AB235,'Cas 2013-2017'!$K:$K,'Cas 2013-2017'!$G:$G,""),"")</f>
        <v/>
      </c>
      <c r="Z235" t="str">
        <f>IFERROR(_xlfn.XLOOKUP($AB235,'Cas 2013-2017'!$K:$K,'Cas 2013-2017'!$I:$I,""),"")</f>
        <v/>
      </c>
      <c r="AA235" t="str">
        <f>IFERROR(_xlfn.XLOOKUP($AB235,'Cas 2013-2017'!$K:$K,'Cas 2013-2017'!$H:$H,""),"")</f>
        <v/>
      </c>
      <c r="AB235" t="str">
        <f>LOWER($A235 &amp; "|" &amp; $AF235)</f>
        <v>2021|hypertension arterielle nouvelle</v>
      </c>
      <c r="AC235" t="str">
        <f>TRIM(SUBSTITUTE(SUBSTITUTE(SUBSTITUTE(SUBSTITUTE(" " &amp; LOWER(TRIM(IF($N235&lt;&gt;"", $N235, $H235))) &amp; " ", " aomi ", " arteriopathie des membres inferieurs "), " hta ", " hypertension arterielle "), " saos ", " syndrome d'apnees obstructives du sommeil "), " rgo ", " reflux gastro-oesophagien ") )</f>
        <v>hypertension arterielle nouvelle</v>
      </c>
      <c r="AD235" t="str">
        <f>TRIM(SUBSTITUTE(SUBSTITUTE(SUBSTITUTE(SUBSTITUTE(" " &amp; LOWER(TRIM($AC235)) &amp; " ", " oacr ", " occlusion de l'artere centrale de la retine "), " hsd ", " hematome sous-dural "), " fa ", " fibrillation auriculaire "), " ep ", " embolie pulmonaire ") )</f>
        <v>hypertension arterielle nouvelle</v>
      </c>
      <c r="AE235" t="str" cm="1">
        <f t="array" ref="AE235">_xlfn.LET(_xlpm.base, " " &amp; LOWER(TRIM($AD235))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hypertension arterielle nouvelle</v>
      </c>
      <c r="AF235" t="str" cm="1">
        <f t="array" ref="AF235">_xlfn.LET(_xlpm.base, " " &amp; LOWER(TRIM($AE235))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hypertension arterielle nouvelle</v>
      </c>
    </row>
    <row r="236" spans="1:32" ht="16.5">
      <c r="A236" s="8">
        <v>2021</v>
      </c>
      <c r="B236" s="10" t="s">
        <v>32</v>
      </c>
      <c r="C236" s="8" t="s">
        <v>33</v>
      </c>
      <c r="D236" s="20">
        <v>44</v>
      </c>
      <c r="E236" s="11" t="str">
        <f>IF(D236="","",IFERROR(INDEX(SSP!$E$2:$E$266, MATCH(D236, SSP!$F$2:$F$266, 0)),""))</f>
        <v>Douleur thoracique</v>
      </c>
      <c r="F236" s="11" t="str">
        <f>Feuil1!E236</f>
        <v>Douleur thoracique</v>
      </c>
      <c r="G236" s="12" t="s">
        <v>38</v>
      </c>
      <c r="H236" s="13" t="s">
        <v>38</v>
      </c>
      <c r="I236" s="13"/>
      <c r="J236" s="16" t="s">
        <v>165</v>
      </c>
      <c r="K236" s="9" t="s">
        <v>33</v>
      </c>
      <c r="L236" s="9" t="s">
        <v>33</v>
      </c>
      <c r="M236" s="9" t="s">
        <v>33</v>
      </c>
      <c r="N236" t="s">
        <v>38</v>
      </c>
      <c r="O236" t="str">
        <f>IFERROR(_xlfn.XLOOKUP($D236, SSP!$F:$F, SSP!$E:$E, "Inconnu"), "")</f>
        <v>Douleur thoracique</v>
      </c>
      <c r="P236" t="str">
        <f>IF(OR(E236="", O236=""), "", IF(LOWER(E236)=LOWER(O236), "OK", "⚠️ Libellé ≠ n°"))</f>
        <v>OK</v>
      </c>
      <c r="Q236" t="str">
        <f>IF(Feuil1!$E236="", "", IF(LOWER(Feuil1!$E236)=LOWER(E236), "Identique", "Différent"))</f>
        <v>Identique</v>
      </c>
      <c r="R236" t="str">
        <f>IF(OR(P236="⚠️ Libellé ≠ n°", O236="Inconnu"), "⚠️", IF(Q236="Différent", "ℹ️", ""))</f>
        <v/>
      </c>
      <c r="S236" t="str" cm="1">
        <f t="array" ref="S236">_xlfn.LET(_xlpm.genCat,IFERROR(LOWER(TRIM(G236)),""),_xlpm.principal,IFERROR(LOWER(TRIM(H236)),""),_xlpm.orig,IFERROR(LOWER(TRIM(N236)),""),IF(OR(_xlpm.genCat="",_xlpm.principal=""),"",IF(LEFT(LOWER(G236),5)="autre","OK (Autre)",IF(OR(ISNUMBER(SEARCH(_xlpm.genCat,_xlpm.principal)),ISNUMBER(SEARCH(_xlpm.principal,_xlpm.genCat)),AND(_xlpm.orig&lt;&gt;"",OR(ISNUMBER(SEARCH(_xlpm.genCat,_xlpm.orig)),ISNUMBER(SEARCH(_xlpm.orig,_xlpm.genCat))))),"OK","⚠️ À vérifier"))))</f>
        <v>OK</v>
      </c>
      <c r="T236" t="str">
        <f>IF(S236="","",IF(S236="OK (Autre)","Diagnostic générique = 'Autre – …'",IF(S236="OK","Concordance générique/principal","Écart entre générique et principal")))</f>
        <v>Concordance générique/principal</v>
      </c>
      <c r="U236" t="str" cm="1">
        <f t="array" ref="U236">_xlfn.LET(_xlpm.yr, A236, _xlpm.diag, IF(N236&lt;&gt;"", N236, H236), _xlpm.base, TRIM(SUBSTITUTE(SUBSTITUTE(SUBSTITUTE(SUBSTITUTE(_xlpm.diag,"•"," "),CHAR(160)," "),CHAR(10)," "),"  "," ")), LOWER(_xlpm.yr&amp;"|"&amp;_xlpm.base))</f>
        <v>2021|péricardite</v>
      </c>
      <c r="V236" t="str">
        <f>IFERROR(_xlfn.XLOOKUP($AB236,'Cas 2013-2017'!$K:$K,'Cas 2013-2017'!$D:$D,""),"")</f>
        <v/>
      </c>
      <c r="W236" t="str">
        <f>IFERROR(_xlfn.XLOOKUP($AB236,'Cas 2013-2017'!$K:$K,'Cas 2013-2017'!$E:$E,""),"")</f>
        <v/>
      </c>
      <c r="X236" t="str">
        <f>IFERROR(_xlfn.XLOOKUP($AB236,'Cas 2013-2017'!$K:$K,'Cas 2013-2017'!$F:$F,""),"")</f>
        <v/>
      </c>
      <c r="Y236" t="str">
        <f>IFERROR(_xlfn.XLOOKUP($AB236,'Cas 2013-2017'!$K:$K,'Cas 2013-2017'!$G:$G,""),"")</f>
        <v/>
      </c>
      <c r="Z236" t="str">
        <f>IFERROR(_xlfn.XLOOKUP($AB236,'Cas 2013-2017'!$K:$K,'Cas 2013-2017'!$I:$I,""),"")</f>
        <v/>
      </c>
      <c r="AA236" t="str">
        <f>IFERROR(_xlfn.XLOOKUP($AB236,'Cas 2013-2017'!$K:$K,'Cas 2013-2017'!$H:$H,""),"")</f>
        <v/>
      </c>
      <c r="AB236" t="str">
        <f>LOWER($A236 &amp; "|" &amp; $AF236)</f>
        <v>2021|péricardite</v>
      </c>
      <c r="AC236" t="str">
        <f>TRIM(SUBSTITUTE(SUBSTITUTE(SUBSTITUTE(SUBSTITUTE(" " &amp; LOWER(TRIM(IF($N236&lt;&gt;"", $N236, $H236))) &amp; " ", " aomi ", " arteriopathie des membres inferieurs "), " hta ", " hypertension arterielle "), " saos ", " syndrome d'apnees obstructives du sommeil "), " rgo ", " reflux gastro-oesophagien ") )</f>
        <v>péricardite</v>
      </c>
      <c r="AD236" t="str">
        <f>TRIM(SUBSTITUTE(SUBSTITUTE(SUBSTITUTE(SUBSTITUTE(" " &amp; LOWER(TRIM($AC236)) &amp; " ", " oacr ", " occlusion de l'artere centrale de la retine "), " hsd ", " hematome sous-dural "), " fa ", " fibrillation auriculaire "), " ep ", " embolie pulmonaire ") )</f>
        <v>péricardite</v>
      </c>
      <c r="AE236" t="str" cm="1">
        <f t="array" ref="AE236">_xlfn.LET(_xlpm.base, " " &amp; LOWER(TRIM($AD236))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péricardite</v>
      </c>
      <c r="AF236" t="str" cm="1">
        <f t="array" ref="AF236">_xlfn.LET(_xlpm.base, " " &amp; LOWER(TRIM($AE236))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péricardite</v>
      </c>
    </row>
    <row r="237" spans="1:32" ht="16.5">
      <c r="A237" s="8">
        <v>2021</v>
      </c>
      <c r="B237" s="10" t="s">
        <v>32</v>
      </c>
      <c r="C237" s="8" t="s">
        <v>33</v>
      </c>
      <c r="D237" s="20">
        <v>44</v>
      </c>
      <c r="E237" s="11" t="str">
        <f>IF(D237="","",IFERROR(INDEX(SSP!$E$2:$E$266, MATCH(D237, SSP!$F$2:$F$266, 0)),""))</f>
        <v>Douleur thoracique</v>
      </c>
      <c r="F237" s="11" t="str">
        <f>Feuil1!E237</f>
        <v>Douleur thoracique</v>
      </c>
      <c r="G237" s="12" t="s">
        <v>166</v>
      </c>
      <c r="H237" s="13" t="s">
        <v>830</v>
      </c>
      <c r="I237" s="13"/>
      <c r="J237" s="16" t="s">
        <v>165</v>
      </c>
      <c r="K237" s="9" t="s">
        <v>33</v>
      </c>
      <c r="L237" s="9" t="s">
        <v>33</v>
      </c>
      <c r="M237" s="9" t="s">
        <v>33</v>
      </c>
      <c r="N237" t="s">
        <v>830</v>
      </c>
      <c r="O237" t="str">
        <f>IFERROR(_xlfn.XLOOKUP($D237, SSP!$F:$F, SSP!$E:$E, "Inconnu"), "")</f>
        <v>Douleur thoracique</v>
      </c>
      <c r="P237" t="str">
        <f>IF(OR(E237="", O237=""), "", IF(LOWER(E237)=LOWER(O237), "OK", "⚠️ Libellé ≠ n°"))</f>
        <v>OK</v>
      </c>
      <c r="Q237" t="str">
        <f>IF(Feuil1!$E237="", "", IF(LOWER(Feuil1!$E237)=LOWER(E237), "Identique", "Différent"))</f>
        <v>Identique</v>
      </c>
      <c r="R237" t="str">
        <f>IF(OR(P237="⚠️ Libellé ≠ n°", O237="Inconnu"), "⚠️", IF(Q237="Différent", "ℹ️", ""))</f>
        <v/>
      </c>
      <c r="S237" t="str" cm="1">
        <f t="array" ref="S237">_xlfn.LET(_xlpm.genCat,IFERROR(LOWER(TRIM(G237)),""),_xlpm.principal,IFERROR(LOWER(TRIM(H237)),""),_xlpm.orig,IFERROR(LOWER(TRIM(N237)),""),IF(OR(_xlpm.genCat="",_xlpm.principal=""),"",IF(LEFT(LOWER(G237),5)="autre","OK (Autre)",IF(OR(ISNUMBER(SEARCH(_xlpm.genCat,_xlpm.principal)),ISNUMBER(SEARCH(_xlpm.principal,_xlpm.genCat)),AND(_xlpm.orig&lt;&gt;"",OR(ISNUMBER(SEARCH(_xlpm.genCat,_xlpm.orig)),ISNUMBER(SEARCH(_xlpm.orig,_xlpm.genCat))))),"OK","⚠️ À vérifier"))))</f>
        <v>OK</v>
      </c>
      <c r="T237" t="str">
        <f>IF(S237="","",IF(S237="OK (Autre)","Diagnostic générique = 'Autre – …'",IF(S237="OK","Concordance générique/principal","Écart entre générique et principal")))</f>
        <v>Concordance générique/principal</v>
      </c>
      <c r="U237" t="str" cm="1">
        <f t="array" ref="U237">_xlfn.LET(_xlpm.yr, A237, _xlpm.diag, IF(N237&lt;&gt;"", N237, H237), _xlpm.base, TRIM(SUBSTITUTE(SUBSTITUTE(SUBSTITUTE(SUBSTITUTE(_xlpm.diag,"•"," "),CHAR(160)," "),CHAR(10)," "),"  "," ")), LOWER(_xlpm.yr&amp;"|"&amp;_xlpm.base))</f>
        <v>2021|syndrome coronarien aigu (stemi)</v>
      </c>
      <c r="V237" t="str">
        <f>IFERROR(_xlfn.XLOOKUP($AB237,'Cas 2013-2017'!$K:$K,'Cas 2013-2017'!$D:$D,""),"")</f>
        <v/>
      </c>
      <c r="W237" t="str">
        <f>IFERROR(_xlfn.XLOOKUP($AB237,'Cas 2013-2017'!$K:$K,'Cas 2013-2017'!$E:$E,""),"")</f>
        <v/>
      </c>
      <c r="X237" t="str">
        <f>IFERROR(_xlfn.XLOOKUP($AB237,'Cas 2013-2017'!$K:$K,'Cas 2013-2017'!$F:$F,""),"")</f>
        <v/>
      </c>
      <c r="Y237" t="str">
        <f>IFERROR(_xlfn.XLOOKUP($AB237,'Cas 2013-2017'!$K:$K,'Cas 2013-2017'!$G:$G,""),"")</f>
        <v/>
      </c>
      <c r="Z237" t="str">
        <f>IFERROR(_xlfn.XLOOKUP($AB237,'Cas 2013-2017'!$K:$K,'Cas 2013-2017'!$I:$I,""),"")</f>
        <v/>
      </c>
      <c r="AA237" t="str">
        <f>IFERROR(_xlfn.XLOOKUP($AB237,'Cas 2013-2017'!$K:$K,'Cas 2013-2017'!$H:$H,""),"")</f>
        <v/>
      </c>
      <c r="AB237" t="str">
        <f>LOWER($A237 &amp; "|" &amp; $AF237)</f>
        <v>2021|syndrome coronarien aigu (stemi)</v>
      </c>
      <c r="AC237" t="str">
        <f>TRIM(SUBSTITUTE(SUBSTITUTE(SUBSTITUTE(SUBSTITUTE(" " &amp; LOWER(TRIM(IF($N237&lt;&gt;"", $N237, $H237))) &amp; " ", " aomi ", " arteriopathie des membres inferieurs "), " hta ", " hypertension arterielle "), " saos ", " syndrome d'apnees obstructives du sommeil "), " rgo ", " reflux gastro-oesophagien ") )</f>
        <v>syndrome coronarien aigu (stemi)</v>
      </c>
      <c r="AD237" t="str">
        <f>TRIM(SUBSTITUTE(SUBSTITUTE(SUBSTITUTE(SUBSTITUTE(" " &amp; LOWER(TRIM($AC237)) &amp; " ", " oacr ", " occlusion de l'artere centrale de la retine "), " hsd ", " hematome sous-dural "), " fa ", " fibrillation auriculaire "), " ep ", " embolie pulmonaire ") )</f>
        <v>syndrome coronarien aigu (stemi)</v>
      </c>
      <c r="AE237" t="str" cm="1">
        <f t="array" ref="AE237">_xlfn.LET(_xlpm.base, " " &amp; LOWER(TRIM($AD237))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coronarien aigu (stemi)</v>
      </c>
      <c r="AF237" t="str" cm="1">
        <f t="array" ref="AF237">_xlfn.LET(_xlpm.base, " " &amp; LOWER(TRIM($AE237))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coronarien aigu (stemi)</v>
      </c>
    </row>
    <row r="238" spans="1:32" ht="50.25">
      <c r="A238" s="8">
        <v>2021</v>
      </c>
      <c r="B238" s="10" t="s">
        <v>51</v>
      </c>
      <c r="C238" s="8" t="s">
        <v>33</v>
      </c>
      <c r="D238" s="20">
        <v>93</v>
      </c>
      <c r="E238" s="11" t="str">
        <f>IF(D238="","",IFERROR(INDEX(SSP!$E$2:$E$266, MATCH(D238, SSP!$F$2:$F$266, 0)),""))</f>
        <v>Macules, papules, pustules, vésicules, ulcères, abcès, bulles, épaississement cutané, nécrose, tumeur cutanée</v>
      </c>
      <c r="F238" s="11" t="str">
        <f>Feuil1!E238</f>
        <v> </v>
      </c>
      <c r="G238" s="12" t="s">
        <v>442</v>
      </c>
      <c r="H238" s="13" t="s">
        <v>443</v>
      </c>
      <c r="I238" s="13"/>
      <c r="J238" s="16" t="s">
        <v>165</v>
      </c>
      <c r="K238" s="9" t="s">
        <v>831</v>
      </c>
      <c r="L238" s="9" t="s">
        <v>33</v>
      </c>
      <c r="M238" s="9" t="s">
        <v>33</v>
      </c>
      <c r="N238" t="s">
        <v>443</v>
      </c>
      <c r="O238" t="str">
        <f>IFERROR(_xlfn.XLOOKUP($D238, SSP!$F:$F, SSP!$E:$E, "Inconnu"), "")</f>
        <v>Macules, papules, pustules, vésicules, ulcères, abcès, bulles, épaississement cutané, nécrose, tumeur cutanée</v>
      </c>
      <c r="P238" t="str">
        <f>IF(OR(E238="", O238=""), "", IF(LOWER(E238)=LOWER(O238), "OK", "⚠️ Libellé ≠ n°"))</f>
        <v>OK</v>
      </c>
      <c r="Q238" t="str">
        <f>IF(Feuil1!$E238="", "", IF(LOWER(Feuil1!$E238)=LOWER(E238), "Identique", "Différent"))</f>
        <v>Différent</v>
      </c>
      <c r="R238" t="str">
        <f>IF(OR(P238="⚠️ Libellé ≠ n°", O238="Inconnu"), "⚠️", IF(Q238="Différent", "ℹ️", ""))</f>
        <v>ℹ️</v>
      </c>
      <c r="S238" t="str" cm="1">
        <f t="array" ref="S238">_xlfn.LET(_xlpm.genCat,IFERROR(LOWER(TRIM(G238)),""),_xlpm.principal,IFERROR(LOWER(TRIM(H238)),""),_xlpm.orig,IFERROR(LOWER(TRIM(N238)),""),IF(OR(_xlpm.genCat="",_xlpm.principal=""),"",IF(LEFT(LOWER(G238),5)="autre","OK (Autre)",IF(OR(ISNUMBER(SEARCH(_xlpm.genCat,_xlpm.principal)),ISNUMBER(SEARCH(_xlpm.principal,_xlpm.genCat)),AND(_xlpm.orig&lt;&gt;"",OR(ISNUMBER(SEARCH(_xlpm.genCat,_xlpm.orig)),ISNUMBER(SEARCH(_xlpm.orig,_xlpm.genCat))))),"OK","⚠️ À vérifier"))))</f>
        <v>⚠️ À vérifier</v>
      </c>
      <c r="T238" t="str">
        <f>IF(S238="","",IF(S238="OK (Autre)","Diagnostic générique = 'Autre – …'",IF(S238="OK","Concordance générique/principal","Écart entre générique et principal")))</f>
        <v>Écart entre générique et principal</v>
      </c>
      <c r="U238" t="str" cm="1">
        <f t="array" ref="U238">_xlfn.LET(_xlpm.yr, A238, _xlpm.diag, IF(N238&lt;&gt;"", N238, H238), _xlpm.base, TRIM(SUBSTITUTE(SUBSTITUTE(SUBSTITUTE(SUBSTITUTE(_xlpm.diag,"•"," "),CHAR(160)," "),CHAR(10)," "),"  "," ")), LOWER(_xlpm.yr&amp;"|"&amp;_xlpm.base))</f>
        <v>2021|pityriasis versicolor</v>
      </c>
      <c r="V238" t="str">
        <f>IFERROR(_xlfn.XLOOKUP($AB238,'Cas 2013-2017'!$K:$K,'Cas 2013-2017'!$D:$D,""),"")</f>
        <v/>
      </c>
      <c r="W238" t="str">
        <f>IFERROR(_xlfn.XLOOKUP($AB238,'Cas 2013-2017'!$K:$K,'Cas 2013-2017'!$E:$E,""),"")</f>
        <v/>
      </c>
      <c r="X238" t="str">
        <f>IFERROR(_xlfn.XLOOKUP($AB238,'Cas 2013-2017'!$K:$K,'Cas 2013-2017'!$F:$F,""),"")</f>
        <v/>
      </c>
      <c r="Y238" t="str">
        <f>IFERROR(_xlfn.XLOOKUP($AB238,'Cas 2013-2017'!$K:$K,'Cas 2013-2017'!$G:$G,""),"")</f>
        <v/>
      </c>
      <c r="Z238" t="str">
        <f>IFERROR(_xlfn.XLOOKUP($AB238,'Cas 2013-2017'!$K:$K,'Cas 2013-2017'!$I:$I,""),"")</f>
        <v/>
      </c>
      <c r="AA238" t="str">
        <f>IFERROR(_xlfn.XLOOKUP($AB238,'Cas 2013-2017'!$K:$K,'Cas 2013-2017'!$H:$H,""),"")</f>
        <v/>
      </c>
      <c r="AB238" t="str">
        <f>LOWER($A238 &amp; "|" &amp; $AF238)</f>
        <v>2021|pityriasis versicolor</v>
      </c>
      <c r="AC238" t="str">
        <f>TRIM(SUBSTITUTE(SUBSTITUTE(SUBSTITUTE(SUBSTITUTE(" " &amp; LOWER(TRIM(IF($N238&lt;&gt;"", $N238, $H238))) &amp; " ", " aomi ", " arteriopathie des membres inferieurs "), " hta ", " hypertension arterielle "), " saos ", " syndrome d'apnees obstructives du sommeil "), " rgo ", " reflux gastro-oesophagien ") )</f>
        <v>pityriasis versicolor</v>
      </c>
      <c r="AD238" t="str">
        <f>TRIM(SUBSTITUTE(SUBSTITUTE(SUBSTITUTE(SUBSTITUTE(" " &amp; LOWER(TRIM($AC238)) &amp; " ", " oacr ", " occlusion de l'artere centrale de la retine "), " hsd ", " hematome sous-dural "), " fa ", " fibrillation auriculaire "), " ep ", " embolie pulmonaire ") )</f>
        <v>pityriasis versicolor</v>
      </c>
      <c r="AE238" t="str" cm="1">
        <f t="array" ref="AE238">_xlfn.LET(_xlpm.base, " " &amp; LOWER(TRIM($AD238))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pityriasis versicolor</v>
      </c>
      <c r="AF238" t="str" cm="1">
        <f t="array" ref="AF238">_xlfn.LET(_xlpm.base, " " &amp; LOWER(TRIM($AE238))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pityriasis versicolor</v>
      </c>
    </row>
    <row r="239" spans="1:32" ht="16.5">
      <c r="A239" s="8">
        <v>2021</v>
      </c>
      <c r="B239" s="10" t="s">
        <v>68</v>
      </c>
      <c r="C239" s="8" t="s">
        <v>33</v>
      </c>
      <c r="D239" s="20">
        <v>58</v>
      </c>
      <c r="E239" s="11" t="str">
        <f>IF(D239="","",IFERROR(INDEX(SSP!$E$2:$E$266, MATCH(D239, SSP!$F$2:$F$266, 0)),""))</f>
        <v>Constipation</v>
      </c>
      <c r="F239" s="11" t="str">
        <f>Feuil1!E239</f>
        <v>Constipation</v>
      </c>
      <c r="G239" s="12" t="s">
        <v>832</v>
      </c>
      <c r="H239" s="13" t="s">
        <v>833</v>
      </c>
      <c r="I239" s="13"/>
      <c r="J239" s="15" t="s">
        <v>834</v>
      </c>
      <c r="K239" s="9" t="s">
        <v>33</v>
      </c>
      <c r="L239" s="9" t="s">
        <v>33</v>
      </c>
      <c r="M239" s="9" t="s">
        <v>33</v>
      </c>
      <c r="N239" t="s">
        <v>833</v>
      </c>
      <c r="O239" t="str">
        <f>IFERROR(_xlfn.XLOOKUP($D239, SSP!$F:$F, SSP!$E:$E, "Inconnu"), "")</f>
        <v>Constipation</v>
      </c>
      <c r="P239" t="str">
        <f>IF(OR(E239="", O239=""), "", IF(LOWER(E239)=LOWER(O239), "OK", "⚠️ Libellé ≠ n°"))</f>
        <v>OK</v>
      </c>
      <c r="Q239" t="str">
        <f>IF(Feuil1!$E239="", "", IF(LOWER(Feuil1!$E239)=LOWER(E239), "Identique", "Différent"))</f>
        <v>Identique</v>
      </c>
      <c r="R239" t="str">
        <f>IF(OR(P239="⚠️ Libellé ≠ n°", O239="Inconnu"), "⚠️", IF(Q239="Différent", "ℹ️", ""))</f>
        <v/>
      </c>
      <c r="S239" t="str" cm="1">
        <f t="array" ref="S239">_xlfn.LET(_xlpm.genCat,IFERROR(LOWER(TRIM(G239)),""),_xlpm.principal,IFERROR(LOWER(TRIM(H239)),""),_xlpm.orig,IFERROR(LOWER(TRIM(N239)),""),IF(OR(_xlpm.genCat="",_xlpm.principal=""),"",IF(LEFT(LOWER(G239),5)="autre","OK (Autre)",IF(OR(ISNUMBER(SEARCH(_xlpm.genCat,_xlpm.principal)),ISNUMBER(SEARCH(_xlpm.principal,_xlpm.genCat)),AND(_xlpm.orig&lt;&gt;"",OR(ISNUMBER(SEARCH(_xlpm.genCat,_xlpm.orig)),ISNUMBER(SEARCH(_xlpm.orig,_xlpm.genCat))))),"OK","⚠️ À vérifier"))))</f>
        <v>⚠️ À vérifier</v>
      </c>
      <c r="T239" t="str">
        <f>IF(S239="","",IF(S239="OK (Autre)","Diagnostic générique = 'Autre – …'",IF(S239="OK","Concordance générique/principal","Écart entre générique et principal")))</f>
        <v>Écart entre générique et principal</v>
      </c>
      <c r="U239" t="str" cm="1">
        <f t="array" ref="U239">_xlfn.LET(_xlpm.yr, A239, _xlpm.diag, IF(N239&lt;&gt;"", N239, H239), _xlpm.base, TRIM(SUBSTITUTE(SUBSTITUTE(SUBSTITUTE(SUBSTITUTE(_xlpm.diag,"•"," "),CHAR(160)," "),CHAR(10)," "),"  "," ")), LOWER(_xlpm.yr&amp;"|"&amp;_xlpm.base))</f>
        <v>2021|fécalome</v>
      </c>
      <c r="V239" t="str">
        <f>IFERROR(_xlfn.XLOOKUP($AB239,'Cas 2013-2017'!$K:$K,'Cas 2013-2017'!$D:$D,""),"")</f>
        <v/>
      </c>
      <c r="W239" t="str">
        <f>IFERROR(_xlfn.XLOOKUP($AB239,'Cas 2013-2017'!$K:$K,'Cas 2013-2017'!$E:$E,""),"")</f>
        <v/>
      </c>
      <c r="X239" t="str">
        <f>IFERROR(_xlfn.XLOOKUP($AB239,'Cas 2013-2017'!$K:$K,'Cas 2013-2017'!$F:$F,""),"")</f>
        <v/>
      </c>
      <c r="Y239" t="str">
        <f>IFERROR(_xlfn.XLOOKUP($AB239,'Cas 2013-2017'!$K:$K,'Cas 2013-2017'!$G:$G,""),"")</f>
        <v/>
      </c>
      <c r="Z239" t="str">
        <f>IFERROR(_xlfn.XLOOKUP($AB239,'Cas 2013-2017'!$K:$K,'Cas 2013-2017'!$I:$I,""),"")</f>
        <v/>
      </c>
      <c r="AA239" t="str">
        <f>IFERROR(_xlfn.XLOOKUP($AB239,'Cas 2013-2017'!$K:$K,'Cas 2013-2017'!$H:$H,""),"")</f>
        <v/>
      </c>
      <c r="AB239" t="str">
        <f>LOWER($A239 &amp; "|" &amp; $AF239)</f>
        <v>2021|fécalome</v>
      </c>
      <c r="AC239" t="str">
        <f>TRIM(SUBSTITUTE(SUBSTITUTE(SUBSTITUTE(SUBSTITUTE(" " &amp; LOWER(TRIM(IF($N239&lt;&gt;"", $N239, $H239))) &amp; " ", " aomi ", " arteriopathie des membres inferieurs "), " hta ", " hypertension arterielle "), " saos ", " syndrome d'apnees obstructives du sommeil "), " rgo ", " reflux gastro-oesophagien ") )</f>
        <v>fécalome</v>
      </c>
      <c r="AD239" t="str">
        <f>TRIM(SUBSTITUTE(SUBSTITUTE(SUBSTITUTE(SUBSTITUTE(" " &amp; LOWER(TRIM($AC239)) &amp; " ", " oacr ", " occlusion de l'artere centrale de la retine "), " hsd ", " hematome sous-dural "), " fa ", " fibrillation auriculaire "), " ep ", " embolie pulmonaire ") )</f>
        <v>fécalome</v>
      </c>
      <c r="AE239" t="str" cm="1">
        <f t="array" ref="AE239">_xlfn.LET(_xlpm.base, " " &amp; LOWER(TRIM($AD239))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fécalome</v>
      </c>
      <c r="AF239" t="str" cm="1">
        <f t="array" ref="AF239">_xlfn.LET(_xlpm.base, " " &amp; LOWER(TRIM($AE239))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fécalome</v>
      </c>
    </row>
    <row r="240" spans="1:32" ht="33.75">
      <c r="A240" s="8">
        <v>2021</v>
      </c>
      <c r="B240" s="10" t="s">
        <v>68</v>
      </c>
      <c r="C240" s="8" t="s">
        <v>33</v>
      </c>
      <c r="D240" s="20">
        <v>59</v>
      </c>
      <c r="E240" s="11" t="str">
        <f>IF(D240="","",IFERROR(INDEX(SSP!$E$2:$E$266, MATCH(D240, SSP!$F$2:$F$266, 0)),""))</f>
        <v>Diarrhée</v>
      </c>
      <c r="F240" s="11" t="str">
        <f>Feuil1!E240</f>
        <v> </v>
      </c>
      <c r="G240" s="12" t="s">
        <v>670</v>
      </c>
      <c r="H240" s="13" t="s">
        <v>835</v>
      </c>
      <c r="I240" s="13"/>
      <c r="J240" s="16" t="s">
        <v>165</v>
      </c>
      <c r="K240" s="9" t="s">
        <v>33</v>
      </c>
      <c r="L240" s="9" t="s">
        <v>33</v>
      </c>
      <c r="M240" s="9" t="s">
        <v>33</v>
      </c>
      <c r="N240" t="s">
        <v>670</v>
      </c>
      <c r="O240" t="str">
        <f>IFERROR(_xlfn.XLOOKUP($D240, SSP!$F:$F, SSP!$E:$E, "Inconnu"), "")</f>
        <v>Diarrhée</v>
      </c>
      <c r="P240" t="str">
        <f>IF(OR(E240="", O240=""), "", IF(LOWER(E240)=LOWER(O240), "OK", "⚠️ Libellé ≠ n°"))</f>
        <v>OK</v>
      </c>
      <c r="Q240" t="str">
        <f>IF(Feuil1!$E240="", "", IF(LOWER(Feuil1!$E240)=LOWER(E240), "Identique", "Différent"))</f>
        <v>Différent</v>
      </c>
      <c r="R240" t="str">
        <f>IF(OR(P240="⚠️ Libellé ≠ n°", O240="Inconnu"), "⚠️", IF(Q240="Différent", "ℹ️", ""))</f>
        <v>ℹ️</v>
      </c>
      <c r="S240" t="str" cm="1">
        <f t="array" ref="S240">_xlfn.LET(_xlpm.genCat,IFERROR(LOWER(TRIM(G240)),""),_xlpm.principal,IFERROR(LOWER(TRIM(H240)),""),_xlpm.orig,IFERROR(LOWER(TRIM(N240)),""),IF(OR(_xlpm.genCat="",_xlpm.principal=""),"",IF(LEFT(LOWER(G240),5)="autre","OK (Autre)",IF(OR(ISNUMBER(SEARCH(_xlpm.genCat,_xlpm.principal)),ISNUMBER(SEARCH(_xlpm.principal,_xlpm.genCat)),AND(_xlpm.orig&lt;&gt;"",OR(ISNUMBER(SEARCH(_xlpm.genCat,_xlpm.orig)),ISNUMBER(SEARCH(_xlpm.orig,_xlpm.genCat))))),"OK","⚠️ À vérifier"))))</f>
        <v>OK</v>
      </c>
      <c r="T240" t="str">
        <f>IF(S240="","",IF(S240="OK (Autre)","Diagnostic générique = 'Autre – …'",IF(S240="OK","Concordance générique/principal","Écart entre générique et principal")))</f>
        <v>Concordance générique/principal</v>
      </c>
      <c r="U240" t="str" cm="1">
        <f t="array" ref="U240">_xlfn.LET(_xlpm.yr, A240, _xlpm.diag, IF(N240&lt;&gt;"", N240, H240), _xlpm.base, TRIM(SUBSTITUTE(SUBSTITUTE(SUBSTITUTE(SUBSTITUTE(_xlpm.diag,"•"," "),CHAR(160)," "),CHAR(10)," "),"  "," ")), LOWER(_xlpm.yr&amp;"|"&amp;_xlpm.base))</f>
        <v>2021|mici</v>
      </c>
      <c r="V240" t="str">
        <f>IFERROR(_xlfn.XLOOKUP($AB240,'Cas 2013-2017'!$K:$K,'Cas 2013-2017'!$D:$D,""),"")</f>
        <v/>
      </c>
      <c r="W240" t="str">
        <f>IFERROR(_xlfn.XLOOKUP($AB240,'Cas 2013-2017'!$K:$K,'Cas 2013-2017'!$E:$E,""),"")</f>
        <v/>
      </c>
      <c r="X240" t="str">
        <f>IFERROR(_xlfn.XLOOKUP($AB240,'Cas 2013-2017'!$K:$K,'Cas 2013-2017'!$F:$F,""),"")</f>
        <v/>
      </c>
      <c r="Y240" t="str">
        <f>IFERROR(_xlfn.XLOOKUP($AB240,'Cas 2013-2017'!$K:$K,'Cas 2013-2017'!$G:$G,""),"")</f>
        <v/>
      </c>
      <c r="Z240" t="str">
        <f>IFERROR(_xlfn.XLOOKUP($AB240,'Cas 2013-2017'!$K:$K,'Cas 2013-2017'!$I:$I,""),"")</f>
        <v/>
      </c>
      <c r="AA240" t="str">
        <f>IFERROR(_xlfn.XLOOKUP($AB240,'Cas 2013-2017'!$K:$K,'Cas 2013-2017'!$H:$H,""),"")</f>
        <v/>
      </c>
      <c r="AB240" t="str">
        <f>LOWER($A240 &amp; "|" &amp; $AF240)</f>
        <v>2021|mici</v>
      </c>
      <c r="AC240" t="str">
        <f>TRIM(SUBSTITUTE(SUBSTITUTE(SUBSTITUTE(SUBSTITUTE(" " &amp; LOWER(TRIM(IF($N240&lt;&gt;"", $N240, $H240))) &amp; " ", " aomi ", " arteriopathie des membres inferieurs "), " hta ", " hypertension arterielle "), " saos ", " syndrome d'apnees obstructives du sommeil "), " rgo ", " reflux gastro-oesophagien ") )</f>
        <v>mici</v>
      </c>
      <c r="AD240" t="str">
        <f>TRIM(SUBSTITUTE(SUBSTITUTE(SUBSTITUTE(SUBSTITUTE(" " &amp; LOWER(TRIM($AC240)) &amp; " ", " oacr ", " occlusion de l'artere centrale de la retine "), " hsd ", " hematome sous-dural "), " fa ", " fibrillation auriculaire "), " ep ", " embolie pulmonaire ") )</f>
        <v>mici</v>
      </c>
      <c r="AE240" t="str" cm="1">
        <f t="array" ref="AE240">_xlfn.LET(_xlpm.base, " " &amp; LOWER(TRIM($AD240))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mici</v>
      </c>
      <c r="AF240" t="str" cm="1">
        <f t="array" ref="AF240">_xlfn.LET(_xlpm.base, " " &amp; LOWER(TRIM($AE240))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mici</v>
      </c>
    </row>
    <row r="241" spans="1:32" ht="16.5">
      <c r="A241" s="8">
        <v>2021</v>
      </c>
      <c r="B241" s="10" t="s">
        <v>68</v>
      </c>
      <c r="C241" s="8" t="s">
        <v>33</v>
      </c>
      <c r="D241" s="20">
        <v>210</v>
      </c>
      <c r="E241" s="11" t="str">
        <f>IF(D241="","",IFERROR(INDEX(SSP!$E$2:$E$266, MATCH(D241, SSP!$F$2:$F$266, 0)),""))</f>
        <v>Hématémèse</v>
      </c>
      <c r="F241" s="11" t="str">
        <f>Feuil1!E241</f>
        <v>Hématémèse</v>
      </c>
      <c r="G241" s="12" t="s">
        <v>836</v>
      </c>
      <c r="H241" s="13" t="s">
        <v>837</v>
      </c>
      <c r="I241" s="13"/>
      <c r="J241" s="15" t="s">
        <v>838</v>
      </c>
      <c r="K241" s="9" t="s">
        <v>33</v>
      </c>
      <c r="L241" s="9" t="s">
        <v>33</v>
      </c>
      <c r="M241" s="9" t="s">
        <v>33</v>
      </c>
      <c r="N241" t="s">
        <v>839</v>
      </c>
      <c r="O241" t="str">
        <f>IFERROR(_xlfn.XLOOKUP($D241, SSP!$F:$F, SSP!$E:$E, "Inconnu"), "")</f>
        <v>Hématémèse</v>
      </c>
      <c r="P241" t="str">
        <f>IF(OR(E241="", O241=""), "", IF(LOWER(E241)=LOWER(O241), "OK", "⚠️ Libellé ≠ n°"))</f>
        <v>OK</v>
      </c>
      <c r="Q241" t="str">
        <f>IF(Feuil1!$E241="", "", IF(LOWER(Feuil1!$E241)=LOWER(E241), "Identique", "Différent"))</f>
        <v>Identique</v>
      </c>
      <c r="R241" t="str">
        <f>IF(OR(P241="⚠️ Libellé ≠ n°", O241="Inconnu"), "⚠️", IF(Q241="Différent", "ℹ️", ""))</f>
        <v/>
      </c>
      <c r="S241" t="str" cm="1">
        <f t="array" ref="S241">_xlfn.LET(_xlpm.genCat,IFERROR(LOWER(TRIM(G241)),""),_xlpm.principal,IFERROR(LOWER(TRIM(H241)),""),_xlpm.orig,IFERROR(LOWER(TRIM(N241)),""),IF(OR(_xlpm.genCat="",_xlpm.principal=""),"",IF(LEFT(LOWER(G241),5)="autre","OK (Autre)",IF(OR(ISNUMBER(SEARCH(_xlpm.genCat,_xlpm.principal)),ISNUMBER(SEARCH(_xlpm.principal,_xlpm.genCat)),AND(_xlpm.orig&lt;&gt;"",OR(ISNUMBER(SEARCH(_xlpm.genCat,_xlpm.orig)),ISNUMBER(SEARCH(_xlpm.orig,_xlpm.genCat))))),"OK","⚠️ À vérifier"))))</f>
        <v>⚠️ À vérifier</v>
      </c>
      <c r="T241" t="str">
        <f>IF(S241="","",IF(S241="OK (Autre)","Diagnostic générique = 'Autre – …'",IF(S241="OK","Concordance générique/principal","Écart entre générique et principal")))</f>
        <v>Écart entre générique et principal</v>
      </c>
      <c r="U241" t="str" cm="1">
        <f t="array" ref="U241">_xlfn.LET(_xlpm.yr, A241, _xlpm.diag, IF(N241&lt;&gt;"", N241, H241), _xlpm.base, TRIM(SUBSTITUTE(SUBSTITUTE(SUBSTITUTE(SUBSTITUTE(_xlpm.diag,"•"," "),CHAR(160)," "),CHAR(10)," "),"  "," ")), LOWER(_xlpm.yr&amp;"|"&amp;_xlpm.base))</f>
        <v>2021|rupture de varices œsophagiennes.</v>
      </c>
      <c r="V241" t="str">
        <f>IFERROR(_xlfn.XLOOKUP($AB241,'Cas 2013-2017'!$K:$K,'Cas 2013-2017'!$D:$D,""),"")</f>
        <v/>
      </c>
      <c r="W241" t="str">
        <f>IFERROR(_xlfn.XLOOKUP($AB241,'Cas 2013-2017'!$K:$K,'Cas 2013-2017'!$E:$E,""),"")</f>
        <v/>
      </c>
      <c r="X241" t="str">
        <f>IFERROR(_xlfn.XLOOKUP($AB241,'Cas 2013-2017'!$K:$K,'Cas 2013-2017'!$F:$F,""),"")</f>
        <v/>
      </c>
      <c r="Y241" t="str">
        <f>IFERROR(_xlfn.XLOOKUP($AB241,'Cas 2013-2017'!$K:$K,'Cas 2013-2017'!$G:$G,""),"")</f>
        <v/>
      </c>
      <c r="Z241" t="str">
        <f>IFERROR(_xlfn.XLOOKUP($AB241,'Cas 2013-2017'!$K:$K,'Cas 2013-2017'!$I:$I,""),"")</f>
        <v/>
      </c>
      <c r="AA241" t="str">
        <f>IFERROR(_xlfn.XLOOKUP($AB241,'Cas 2013-2017'!$K:$K,'Cas 2013-2017'!$H:$H,""),"")</f>
        <v/>
      </c>
      <c r="AB241" t="str">
        <f>LOWER($A241 &amp; "|" &amp; $AF241)</f>
        <v>2021|rupture de varices œsophagiennes.</v>
      </c>
      <c r="AC241" t="str">
        <f>TRIM(SUBSTITUTE(SUBSTITUTE(SUBSTITUTE(SUBSTITUTE(" " &amp; LOWER(TRIM(IF($N241&lt;&gt;"", $N241, $H241))) &amp; " ", " aomi ", " arteriopathie des membres inferieurs "), " hta ", " hypertension arterielle "), " saos ", " syndrome d'apnees obstructives du sommeil "), " rgo ", " reflux gastro-oesophagien ") )</f>
        <v>rupture de varices œsophagiennes.</v>
      </c>
      <c r="AD241" t="str">
        <f>TRIM(SUBSTITUTE(SUBSTITUTE(SUBSTITUTE(SUBSTITUTE(" " &amp; LOWER(TRIM($AC241)) &amp; " ", " oacr ", " occlusion de l'artere centrale de la retine "), " hsd ", " hematome sous-dural "), " fa ", " fibrillation auriculaire "), " ep ", " embolie pulmonaire ") )</f>
        <v>rupture de varices œsophagiennes.</v>
      </c>
      <c r="AE241" t="str" cm="1">
        <f t="array" ref="AE241">_xlfn.LET(_xlpm.base, " " &amp; LOWER(TRIM($AD241))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rupture de varices œsophagiennes.</v>
      </c>
      <c r="AF241" t="str" cm="1">
        <f t="array" ref="AF241">_xlfn.LET(_xlpm.base, " " &amp; LOWER(TRIM($AE241))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rupture de varices œsophagiennes.</v>
      </c>
    </row>
    <row r="242" spans="1:32" ht="33.75">
      <c r="A242" s="8">
        <v>2021</v>
      </c>
      <c r="B242" s="10" t="s">
        <v>141</v>
      </c>
      <c r="C242" s="8" t="s">
        <v>33</v>
      </c>
      <c r="D242" s="20">
        <v>122</v>
      </c>
      <c r="E242" s="11" t="str">
        <f>IF(D242="","",IFERROR(INDEX(SSP!$E$2:$E$266, MATCH(D242, SSP!$F$2:$F$266, 0)),""))</f>
        <v>Changement d’humeur</v>
      </c>
      <c r="F242" s="11" t="str">
        <f>Feuil1!E242</f>
        <v> </v>
      </c>
      <c r="G242" s="12" t="s">
        <v>840</v>
      </c>
      <c r="H242" s="13" t="s">
        <v>841</v>
      </c>
      <c r="I242" s="13"/>
      <c r="J242" s="15" t="s">
        <v>842</v>
      </c>
      <c r="K242" s="9" t="s">
        <v>33</v>
      </c>
      <c r="L242" s="9" t="s">
        <v>33</v>
      </c>
      <c r="M242" s="9" t="s">
        <v>33</v>
      </c>
      <c r="N242" t="s">
        <v>841</v>
      </c>
      <c r="O242" t="str">
        <f>IFERROR(_xlfn.XLOOKUP($D242, SSP!$F:$F, SSP!$E:$E, "Inconnu"), "")</f>
        <v>Changement d’humeur</v>
      </c>
      <c r="P242" t="str">
        <f>IF(OR(E242="", O242=""), "", IF(LOWER(E242)=LOWER(O242), "OK", "⚠️ Libellé ≠ n°"))</f>
        <v>OK</v>
      </c>
      <c r="Q242" t="str">
        <f>IF(Feuil1!$E242="", "", IF(LOWER(Feuil1!$E242)=LOWER(E242), "Identique", "Différent"))</f>
        <v>Différent</v>
      </c>
      <c r="R242" t="str">
        <f>IF(OR(P242="⚠️ Libellé ≠ n°", O242="Inconnu"), "⚠️", IF(Q242="Différent", "ℹ️", ""))</f>
        <v>ℹ️</v>
      </c>
      <c r="S242" t="str" cm="1">
        <f t="array" ref="S242">_xlfn.LET(_xlpm.genCat,IFERROR(LOWER(TRIM(G242)),""),_xlpm.principal,IFERROR(LOWER(TRIM(H242)),""),_xlpm.orig,IFERROR(LOWER(TRIM(N242)),""),IF(OR(_xlpm.genCat="",_xlpm.principal=""),"",IF(LEFT(LOWER(G242),5)="autre","OK (Autre)",IF(OR(ISNUMBER(SEARCH(_xlpm.genCat,_xlpm.principal)),ISNUMBER(SEARCH(_xlpm.principal,_xlpm.genCat)),AND(_xlpm.orig&lt;&gt;"",OR(ISNUMBER(SEARCH(_xlpm.genCat,_xlpm.orig)),ISNUMBER(SEARCH(_xlpm.orig,_xlpm.genCat))))),"OK","⚠️ À vérifier"))))</f>
        <v>⚠️ À vérifier</v>
      </c>
      <c r="T242" t="str">
        <f>IF(S242="","",IF(S242="OK (Autre)","Diagnostic générique = 'Autre – …'",IF(S242="OK","Concordance générique/principal","Écart entre générique et principal")))</f>
        <v>Écart entre générique et principal</v>
      </c>
      <c r="U242" t="str" cm="1">
        <f t="array" ref="U242">_xlfn.LET(_xlpm.yr, A242, _xlpm.diag, IF(N242&lt;&gt;"", N242, H242), _xlpm.base, TRIM(SUBSTITUTE(SUBSTITUTE(SUBSTITUTE(SUBSTITUTE(_xlpm.diag,"•"," "),CHAR(160)," "),CHAR(10)," "),"  "," ")), LOWER(_xlpm.yr&amp;"|"&amp;_xlpm.base))</f>
        <v>2021|anémie (post-partum)</v>
      </c>
      <c r="V242" t="str">
        <f>IFERROR(_xlfn.XLOOKUP($AB242,'Cas 2013-2017'!$K:$K,'Cas 2013-2017'!$D:$D,""),"")</f>
        <v/>
      </c>
      <c r="W242" t="str">
        <f>IFERROR(_xlfn.XLOOKUP($AB242,'Cas 2013-2017'!$K:$K,'Cas 2013-2017'!$E:$E,""),"")</f>
        <v/>
      </c>
      <c r="X242" t="str">
        <f>IFERROR(_xlfn.XLOOKUP($AB242,'Cas 2013-2017'!$K:$K,'Cas 2013-2017'!$F:$F,""),"")</f>
        <v/>
      </c>
      <c r="Y242" t="str">
        <f>IFERROR(_xlfn.XLOOKUP($AB242,'Cas 2013-2017'!$K:$K,'Cas 2013-2017'!$G:$G,""),"")</f>
        <v/>
      </c>
      <c r="Z242" t="str">
        <f>IFERROR(_xlfn.XLOOKUP($AB242,'Cas 2013-2017'!$K:$K,'Cas 2013-2017'!$I:$I,""),"")</f>
        <v/>
      </c>
      <c r="AA242" t="str">
        <f>IFERROR(_xlfn.XLOOKUP($AB242,'Cas 2013-2017'!$K:$K,'Cas 2013-2017'!$H:$H,""),"")</f>
        <v/>
      </c>
      <c r="AB242" t="str">
        <f>LOWER($A242 &amp; "|" &amp; $AF242)</f>
        <v>2021|anémie (post-partum)</v>
      </c>
      <c r="AC242" t="str">
        <f>TRIM(SUBSTITUTE(SUBSTITUTE(SUBSTITUTE(SUBSTITUTE(" " &amp; LOWER(TRIM(IF($N242&lt;&gt;"", $N242, $H242))) &amp; " ", " aomi ", " arteriopathie des membres inferieurs "), " hta ", " hypertension arterielle "), " saos ", " syndrome d'apnees obstructives du sommeil "), " rgo ", " reflux gastro-oesophagien ") )</f>
        <v>anémie (post-partum)</v>
      </c>
      <c r="AD242" t="str">
        <f>TRIM(SUBSTITUTE(SUBSTITUTE(SUBSTITUTE(SUBSTITUTE(" " &amp; LOWER(TRIM($AC242)) &amp; " ", " oacr ", " occlusion de l'artere centrale de la retine "), " hsd ", " hematome sous-dural "), " fa ", " fibrillation auriculaire "), " ep ", " embolie pulmonaire ") )</f>
        <v>anémie (post-partum)</v>
      </c>
      <c r="AE242" t="str" cm="1">
        <f t="array" ref="AE242">_xlfn.LET(_xlpm.base, " " &amp; LOWER(TRIM($AD242))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anémie (post-partum)</v>
      </c>
      <c r="AF242" t="str" cm="1">
        <f t="array" ref="AF242">_xlfn.LET(_xlpm.base, " " &amp; LOWER(TRIM($AE242))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anémie (post-partum)</v>
      </c>
    </row>
    <row r="243" spans="1:32" ht="33.75">
      <c r="A243" s="8">
        <v>2021</v>
      </c>
      <c r="B243" s="10" t="s">
        <v>100</v>
      </c>
      <c r="C243" s="8" t="s">
        <v>33</v>
      </c>
      <c r="D243" s="20">
        <v>207</v>
      </c>
      <c r="E243" s="11" t="str">
        <f>IF(D243="","",IFERROR(INDEX(SSP!$E$2:$E$266, MATCH(D243, SSP!$F$2:$F$266, 0)),""))</f>
        <v>Céphalée aiguë intense, syndrome méningé</v>
      </c>
      <c r="F243" s="11" t="str">
        <f>Feuil1!E243</f>
        <v>Céphalée</v>
      </c>
      <c r="G243" s="12" t="s">
        <v>233</v>
      </c>
      <c r="H243" s="13" t="s">
        <v>213</v>
      </c>
      <c r="I243" s="13" t="s">
        <v>677</v>
      </c>
      <c r="J243" s="15" t="s">
        <v>214</v>
      </c>
      <c r="K243" s="9" t="s">
        <v>33</v>
      </c>
      <c r="L243" s="9" t="s">
        <v>33</v>
      </c>
      <c r="M243" s="9" t="s">
        <v>33</v>
      </c>
      <c r="N243" t="s">
        <v>680</v>
      </c>
      <c r="O243" t="str">
        <f>IFERROR(_xlfn.XLOOKUP($D243, SSP!$F:$F, SSP!$E:$E, "Inconnu"), "")</f>
        <v>Céphalée aiguë intense, syndrome méningé</v>
      </c>
      <c r="P243" t="str">
        <f>IF(OR(E243="", O243=""), "", IF(LOWER(E243)=LOWER(O243), "OK", "⚠️ Libellé ≠ n°"))</f>
        <v>OK</v>
      </c>
      <c r="Q243" t="str">
        <f>IF(Feuil1!$E243="", "", IF(LOWER(Feuil1!$E243)=LOWER(E243), "Identique", "Différent"))</f>
        <v>Différent</v>
      </c>
      <c r="R243" t="str">
        <f>IF(OR(P243="⚠️ Libellé ≠ n°", O243="Inconnu"), "⚠️", IF(Q243="Différent", "ℹ️", ""))</f>
        <v>ℹ️</v>
      </c>
      <c r="S243" t="str" cm="1">
        <f t="array" ref="S243">_xlfn.LET(_xlpm.genCat,IFERROR(LOWER(TRIM(G243)),""),_xlpm.principal,IFERROR(LOWER(TRIM(H243)),""),_xlpm.orig,IFERROR(LOWER(TRIM(N243)),""),IF(OR(_xlpm.genCat="",_xlpm.principal=""),"",IF(LEFT(LOWER(G243),5)="autre","OK (Autre)",IF(OR(ISNUMBER(SEARCH(_xlpm.genCat,_xlpm.principal)),ISNUMBER(SEARCH(_xlpm.principal,_xlpm.genCat)),AND(_xlpm.orig&lt;&gt;"",OR(ISNUMBER(SEARCH(_xlpm.genCat,_xlpm.orig)),ISNUMBER(SEARCH(_xlpm.orig,_xlpm.genCat))))),"OK","⚠️ À vérifier"))))</f>
        <v>OK (Autre)</v>
      </c>
      <c r="T243" t="str">
        <f>IF(S243="","",IF(S243="OK (Autre)","Diagnostic générique = 'Autre – …'",IF(S243="OK","Concordance générique/principal","Écart entre générique et principal")))</f>
        <v>Diagnostic générique = 'Autre – …'</v>
      </c>
      <c r="U243" t="str" cm="1">
        <f t="array" ref="U243">_xlfn.LET(_xlpm.yr, A243, _xlpm.diag, IF(N243&lt;&gt;"", N243, H243), _xlpm.base, TRIM(SUBSTITUTE(SUBSTITUTE(SUBSTITUTE(SUBSTITUTE(_xlpm.diag,"•"," "),CHAR(160)," "),CHAR(10)," "),"  "," ")), LOWER(_xlpm.yr&amp;"|"&amp;_xlpm.base))</f>
        <v>2021|prééclampsie / céphalées (urg)</v>
      </c>
      <c r="V243" t="str">
        <f>IFERROR(_xlfn.XLOOKUP($AB243,'Cas 2013-2017'!$K:$K,'Cas 2013-2017'!$D:$D,""),"")</f>
        <v/>
      </c>
      <c r="W243" t="str">
        <f>IFERROR(_xlfn.XLOOKUP($AB243,'Cas 2013-2017'!$K:$K,'Cas 2013-2017'!$E:$E,""),"")</f>
        <v/>
      </c>
      <c r="X243" t="str">
        <f>IFERROR(_xlfn.XLOOKUP($AB243,'Cas 2013-2017'!$K:$K,'Cas 2013-2017'!$F:$F,""),"")</f>
        <v/>
      </c>
      <c r="Y243" t="str">
        <f>IFERROR(_xlfn.XLOOKUP($AB243,'Cas 2013-2017'!$K:$K,'Cas 2013-2017'!$G:$G,""),"")</f>
        <v/>
      </c>
      <c r="Z243" t="str">
        <f>IFERROR(_xlfn.XLOOKUP($AB243,'Cas 2013-2017'!$K:$K,'Cas 2013-2017'!$I:$I,""),"")</f>
        <v/>
      </c>
      <c r="AA243" t="str">
        <f>IFERROR(_xlfn.XLOOKUP($AB243,'Cas 2013-2017'!$K:$K,'Cas 2013-2017'!$H:$H,""),"")</f>
        <v/>
      </c>
      <c r="AB243" t="str">
        <f>LOWER($A243 &amp; "|" &amp; $AF243)</f>
        <v>2021|prééclampsie / céphalées (urg)</v>
      </c>
      <c r="AC243" t="str">
        <f>TRIM(SUBSTITUTE(SUBSTITUTE(SUBSTITUTE(SUBSTITUTE(" " &amp; LOWER(TRIM(IF($N243&lt;&gt;"", $N243, $H243))) &amp; " ", " aomi ", " arteriopathie des membres inferieurs "), " hta ", " hypertension arterielle "), " saos ", " syndrome d'apnees obstructives du sommeil "), " rgo ", " reflux gastro-oesophagien ") )</f>
        <v>prééclampsie / céphalées (urg)</v>
      </c>
      <c r="AD243" t="str">
        <f>TRIM(SUBSTITUTE(SUBSTITUTE(SUBSTITUTE(SUBSTITUTE(" " &amp; LOWER(TRIM($AC243)) &amp; " ", " oacr ", " occlusion de l'artere centrale de la retine "), " hsd ", " hematome sous-dural "), " fa ", " fibrillation auriculaire "), " ep ", " embolie pulmonaire ") )</f>
        <v>prééclampsie / céphalées (urg)</v>
      </c>
      <c r="AE243" t="str" cm="1">
        <f t="array" ref="AE243">_xlfn.LET(_xlpm.base, " " &amp; LOWER(TRIM($AD243))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prééclampsie / céphalées (urg)</v>
      </c>
      <c r="AF243" t="str" cm="1">
        <f t="array" ref="AF243">_xlfn.LET(_xlpm.base, " " &amp; LOWER(TRIM($AE243))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prééclampsie / céphalées (urg)</v>
      </c>
    </row>
    <row r="244" spans="1:32" ht="33.75">
      <c r="A244" s="8">
        <v>2021</v>
      </c>
      <c r="B244" s="10" t="s">
        <v>91</v>
      </c>
      <c r="C244" s="8" t="s">
        <v>33</v>
      </c>
      <c r="D244" s="20">
        <v>6</v>
      </c>
      <c r="E244" s="11" t="str">
        <f>IF(D244="","",IFERROR(INDEX(SSP!$E$2:$E$266, MATCH(D244, SSP!$F$2:$F$266, 0)),""))</f>
        <v>Fièvre, frissons, hyperthermie</v>
      </c>
      <c r="F244" s="11" t="str">
        <f>Feuil1!E244</f>
        <v>Fièvre</v>
      </c>
      <c r="G244" s="12" t="s">
        <v>96</v>
      </c>
      <c r="H244" s="13" t="s">
        <v>843</v>
      </c>
      <c r="I244" s="13"/>
      <c r="J244" s="15" t="s">
        <v>844</v>
      </c>
      <c r="K244" s="9" t="s">
        <v>845</v>
      </c>
      <c r="L244" s="9" t="s">
        <v>33</v>
      </c>
      <c r="M244" s="9" t="s">
        <v>33</v>
      </c>
      <c r="N244" t="s">
        <v>843</v>
      </c>
      <c r="O244" t="str">
        <f>IFERROR(_xlfn.XLOOKUP($D244, SSP!$F:$F, SSP!$E:$E, "Inconnu"), "")</f>
        <v>Fièvre, frissons, hyperthermie</v>
      </c>
      <c r="P244" t="str">
        <f>IF(OR(E244="", O244=""), "", IF(LOWER(E244)=LOWER(O244), "OK", "⚠️ Libellé ≠ n°"))</f>
        <v>OK</v>
      </c>
      <c r="Q244" t="str">
        <f>IF(Feuil1!$E244="", "", IF(LOWER(Feuil1!$E244)=LOWER(E244), "Identique", "Différent"))</f>
        <v>Différent</v>
      </c>
      <c r="R244" t="str">
        <f>IF(OR(P244="⚠️ Libellé ≠ n°", O244="Inconnu"), "⚠️", IF(Q244="Différent", "ℹ️", ""))</f>
        <v>ℹ️</v>
      </c>
      <c r="S244" t="str" cm="1">
        <f t="array" ref="S244">_xlfn.LET(_xlpm.genCat,IFERROR(LOWER(TRIM(G244)),""),_xlpm.principal,IFERROR(LOWER(TRIM(H244)),""),_xlpm.orig,IFERROR(LOWER(TRIM(N244)),""),IF(OR(_xlpm.genCat="",_xlpm.principal=""),"",IF(LEFT(LOWER(G244),5)="autre","OK (Autre)",IF(OR(ISNUMBER(SEARCH(_xlpm.genCat,_xlpm.principal)),ISNUMBER(SEARCH(_xlpm.principal,_xlpm.genCat)),AND(_xlpm.orig&lt;&gt;"",OR(ISNUMBER(SEARCH(_xlpm.genCat,_xlpm.orig)),ISNUMBER(SEARCH(_xlpm.orig,_xlpm.genCat))))),"OK","⚠️ À vérifier"))))</f>
        <v>⚠️ À vérifier</v>
      </c>
      <c r="T244" t="str">
        <f>IF(S244="","",IF(S244="OK (Autre)","Diagnostic générique = 'Autre – …'",IF(S244="OK","Concordance générique/principal","Écart entre générique et principal")))</f>
        <v>Écart entre générique et principal</v>
      </c>
      <c r="U244" t="str" cm="1">
        <f t="array" ref="U244">_xlfn.LET(_xlpm.yr, A244, _xlpm.diag, IF(N244&lt;&gt;"", N244, H244), _xlpm.base, TRIM(SUBSTITUTE(SUBSTITUTE(SUBSTITUTE(SUBSTITUTE(_xlpm.diag,"•"," "),CHAR(160)," "),CHAR(10)," "),"  "," ")), LOWER(_xlpm.yr&amp;"|"&amp;_xlpm.base))</f>
        <v>2021|fuo + neutropénie</v>
      </c>
      <c r="V244" t="str">
        <f>IFERROR(_xlfn.XLOOKUP($AB244,'Cas 2013-2017'!$K:$K,'Cas 2013-2017'!$D:$D,""),"")</f>
        <v/>
      </c>
      <c r="W244" t="str">
        <f>IFERROR(_xlfn.XLOOKUP($AB244,'Cas 2013-2017'!$K:$K,'Cas 2013-2017'!$E:$E,""),"")</f>
        <v/>
      </c>
      <c r="X244" t="str">
        <f>IFERROR(_xlfn.XLOOKUP($AB244,'Cas 2013-2017'!$K:$K,'Cas 2013-2017'!$F:$F,""),"")</f>
        <v/>
      </c>
      <c r="Y244" t="str">
        <f>IFERROR(_xlfn.XLOOKUP($AB244,'Cas 2013-2017'!$K:$K,'Cas 2013-2017'!$G:$G,""),"")</f>
        <v/>
      </c>
      <c r="Z244" t="str">
        <f>IFERROR(_xlfn.XLOOKUP($AB244,'Cas 2013-2017'!$K:$K,'Cas 2013-2017'!$I:$I,""),"")</f>
        <v/>
      </c>
      <c r="AA244" t="str">
        <f>IFERROR(_xlfn.XLOOKUP($AB244,'Cas 2013-2017'!$K:$K,'Cas 2013-2017'!$H:$H,""),"")</f>
        <v/>
      </c>
      <c r="AB244" t="str">
        <f>LOWER($A244 &amp; "|" &amp; $AF244)</f>
        <v>2021|fievre d origine indeterminee + neutropénie</v>
      </c>
      <c r="AC244" t="str">
        <f>TRIM(SUBSTITUTE(SUBSTITUTE(SUBSTITUTE(SUBSTITUTE(" " &amp; LOWER(TRIM(IF($N244&lt;&gt;"", $N244, $H244))) &amp; " ", " aomi ", " arteriopathie des membres inferieurs "), " hta ", " hypertension arterielle "), " saos ", " syndrome d'apnees obstructives du sommeil "), " rgo ", " reflux gastro-oesophagien ") )</f>
        <v>fuo + neutropénie</v>
      </c>
      <c r="AD244" t="str">
        <f>TRIM(SUBSTITUTE(SUBSTITUTE(SUBSTITUTE(SUBSTITUTE(" " &amp; LOWER(TRIM($AC244)) &amp; " ", " oacr ", " occlusion de l'artere centrale de la retine "), " hsd ", " hematome sous-dural "), " fa ", " fibrillation auriculaire "), " ep ", " embolie pulmonaire ") )</f>
        <v>fuo + neutropénie</v>
      </c>
      <c r="AE244" t="str" cm="1">
        <f t="array" ref="AE244">_xlfn.LET(_xlpm.base, " " &amp; LOWER(TRIM($AD244))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fuo + neutropénie</v>
      </c>
      <c r="AF244" t="str" cm="1">
        <f t="array" ref="AF244">_xlfn.LET(_xlpm.base, " " &amp; LOWER(TRIM($AE244))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fievre d origine indeterminee + neutropénie</v>
      </c>
    </row>
    <row r="245" spans="1:32" ht="50.25">
      <c r="A245" s="8">
        <v>2021</v>
      </c>
      <c r="B245" s="10" t="s">
        <v>91</v>
      </c>
      <c r="C245" s="8" t="s">
        <v>33</v>
      </c>
      <c r="D245" s="20">
        <v>93</v>
      </c>
      <c r="E245" s="11" t="str">
        <f>IF(D245="","",IFERROR(INDEX(SSP!$E$2:$E$266, MATCH(D245, SSP!$F$2:$F$266, 0)),""))</f>
        <v>Macules, papules, pustules, vésicules, ulcères, abcès, bulles, épaississement cutané, nécrose, tumeur cutanée</v>
      </c>
      <c r="F245" s="11" t="str">
        <f>Feuil1!E245</f>
        <v>Éruption cutanée</v>
      </c>
      <c r="G245" s="12" t="s">
        <v>846</v>
      </c>
      <c r="H245" s="13" t="s">
        <v>847</v>
      </c>
      <c r="I245" s="13"/>
      <c r="J245" s="16" t="s">
        <v>165</v>
      </c>
      <c r="K245" s="9" t="s">
        <v>848</v>
      </c>
      <c r="L245" s="9" t="s">
        <v>33</v>
      </c>
      <c r="M245" s="9" t="s">
        <v>33</v>
      </c>
      <c r="N245" t="s">
        <v>847</v>
      </c>
      <c r="O245" t="str">
        <f>IFERROR(_xlfn.XLOOKUP($D245, SSP!$F:$F, SSP!$E:$E, "Inconnu"), "")</f>
        <v>Macules, papules, pustules, vésicules, ulcères, abcès, bulles, épaississement cutané, nécrose, tumeur cutanée</v>
      </c>
      <c r="P245" t="str">
        <f>IF(OR(E245="", O245=""), "", IF(LOWER(E245)=LOWER(O245), "OK", "⚠️ Libellé ≠ n°"))</f>
        <v>OK</v>
      </c>
      <c r="Q245" t="str">
        <f>IF(Feuil1!$E245="", "", IF(LOWER(Feuil1!$E245)=LOWER(E245), "Identique", "Différent"))</f>
        <v>Différent</v>
      </c>
      <c r="R245" t="str">
        <f>IF(OR(P245="⚠️ Libellé ≠ n°", O245="Inconnu"), "⚠️", IF(Q245="Différent", "ℹ️", ""))</f>
        <v>ℹ️</v>
      </c>
      <c r="S245" t="str" cm="1">
        <f t="array" ref="S245">_xlfn.LET(_xlpm.genCat,IFERROR(LOWER(TRIM(G245)),""),_xlpm.principal,IFERROR(LOWER(TRIM(H245)),""),_xlpm.orig,IFERROR(LOWER(TRIM(N245)),""),IF(OR(_xlpm.genCat="",_xlpm.principal=""),"",IF(LEFT(LOWER(G245),5)="autre","OK (Autre)",IF(OR(ISNUMBER(SEARCH(_xlpm.genCat,_xlpm.principal)),ISNUMBER(SEARCH(_xlpm.principal,_xlpm.genCat)),AND(_xlpm.orig&lt;&gt;"",OR(ISNUMBER(SEARCH(_xlpm.genCat,_xlpm.orig)),ISNUMBER(SEARCH(_xlpm.orig,_xlpm.genCat))))),"OK","⚠️ À vérifier"))))</f>
        <v>⚠️ À vérifier</v>
      </c>
      <c r="T245" t="str">
        <f>IF(S245="","",IF(S245="OK (Autre)","Diagnostic générique = 'Autre – …'",IF(S245="OK","Concordance générique/principal","Écart entre générique et principal")))</f>
        <v>Écart entre générique et principal</v>
      </c>
      <c r="U245" t="str" cm="1">
        <f t="array" ref="U245">_xlfn.LET(_xlpm.yr, A245, _xlpm.diag, IF(N245&lt;&gt;"", N245, H245), _xlpm.base, TRIM(SUBSTITUTE(SUBSTITUTE(SUBSTITUTE(SUBSTITUTE(_xlpm.diag,"•"," "),CHAR(160)," "),CHAR(10)," "),"  "," ")), LOWER(_xlpm.yr&amp;"|"&amp;_xlpm.base))</f>
        <v>2021|gale</v>
      </c>
      <c r="V245" t="str">
        <f>IFERROR(_xlfn.XLOOKUP($AB245,'Cas 2013-2017'!$K:$K,'Cas 2013-2017'!$D:$D,""),"")</f>
        <v/>
      </c>
      <c r="W245" t="str">
        <f>IFERROR(_xlfn.XLOOKUP($AB245,'Cas 2013-2017'!$K:$K,'Cas 2013-2017'!$E:$E,""),"")</f>
        <v/>
      </c>
      <c r="X245" t="str">
        <f>IFERROR(_xlfn.XLOOKUP($AB245,'Cas 2013-2017'!$K:$K,'Cas 2013-2017'!$F:$F,""),"")</f>
        <v/>
      </c>
      <c r="Y245" t="str">
        <f>IFERROR(_xlfn.XLOOKUP($AB245,'Cas 2013-2017'!$K:$K,'Cas 2013-2017'!$G:$G,""),"")</f>
        <v/>
      </c>
      <c r="Z245" t="str">
        <f>IFERROR(_xlfn.XLOOKUP($AB245,'Cas 2013-2017'!$K:$K,'Cas 2013-2017'!$I:$I,""),"")</f>
        <v/>
      </c>
      <c r="AA245" t="str">
        <f>IFERROR(_xlfn.XLOOKUP($AB245,'Cas 2013-2017'!$K:$K,'Cas 2013-2017'!$H:$H,""),"")</f>
        <v/>
      </c>
      <c r="AB245" t="str">
        <f>LOWER($A245 &amp; "|" &amp; $AF245)</f>
        <v>2021|gale</v>
      </c>
      <c r="AC245" t="str">
        <f>TRIM(SUBSTITUTE(SUBSTITUTE(SUBSTITUTE(SUBSTITUTE(" " &amp; LOWER(TRIM(IF($N245&lt;&gt;"", $N245, $H245))) &amp; " ", " aomi ", " arteriopathie des membres inferieurs "), " hta ", " hypertension arterielle "), " saos ", " syndrome d'apnees obstructives du sommeil "), " rgo ", " reflux gastro-oesophagien ") )</f>
        <v>gale</v>
      </c>
      <c r="AD245" t="str">
        <f>TRIM(SUBSTITUTE(SUBSTITUTE(SUBSTITUTE(SUBSTITUTE(" " &amp; LOWER(TRIM($AC245)) &amp; " ", " oacr ", " occlusion de l'artere centrale de la retine "), " hsd ", " hematome sous-dural "), " fa ", " fibrillation auriculaire "), " ep ", " embolie pulmonaire ") )</f>
        <v>gale</v>
      </c>
      <c r="AE245" t="str" cm="1">
        <f t="array" ref="AE245">_xlfn.LET(_xlpm.base, " " &amp; LOWER(TRIM($AD245))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gale</v>
      </c>
      <c r="AF245" t="str" cm="1">
        <f t="array" ref="AF245">_xlfn.LET(_xlpm.base, " " &amp; LOWER(TRIM($AE245))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gale</v>
      </c>
    </row>
    <row r="246" spans="1:32" ht="33.75">
      <c r="A246" s="8">
        <v>2021</v>
      </c>
      <c r="B246" s="10" t="s">
        <v>91</v>
      </c>
      <c r="C246" s="8" t="s">
        <v>33</v>
      </c>
      <c r="D246" s="20">
        <v>6</v>
      </c>
      <c r="E246" s="11" t="str">
        <f>IF(D246="","",IFERROR(INDEX(SSP!$E$2:$E$266, MATCH(D246, SSP!$F$2:$F$266, 0)),""))</f>
        <v>Fièvre, frissons, hyperthermie</v>
      </c>
      <c r="F246" s="11" t="str">
        <f>Feuil1!E246</f>
        <v>Fièvre</v>
      </c>
      <c r="G246" s="12" t="s">
        <v>849</v>
      </c>
      <c r="H246" s="13" t="s">
        <v>850</v>
      </c>
      <c r="I246" s="13"/>
      <c r="J246" s="15" t="s">
        <v>851</v>
      </c>
      <c r="K246" s="9" t="s">
        <v>852</v>
      </c>
      <c r="L246" s="9" t="s">
        <v>33</v>
      </c>
      <c r="M246" s="9" t="s">
        <v>33</v>
      </c>
      <c r="N246" t="s">
        <v>850</v>
      </c>
      <c r="O246" t="str">
        <f>IFERROR(_xlfn.XLOOKUP($D246, SSP!$F:$F, SSP!$E:$E, "Inconnu"), "")</f>
        <v>Fièvre, frissons, hyperthermie</v>
      </c>
      <c r="P246" t="str">
        <f>IF(OR(E246="", O246=""), "", IF(LOWER(E246)=LOWER(O246), "OK", "⚠️ Libellé ≠ n°"))</f>
        <v>OK</v>
      </c>
      <c r="Q246" t="str">
        <f>IF(Feuil1!$E246="", "", IF(LOWER(Feuil1!$E246)=LOWER(E246), "Identique", "Différent"))</f>
        <v>Différent</v>
      </c>
      <c r="R246" t="str">
        <f>IF(OR(P246="⚠️ Libellé ≠ n°", O246="Inconnu"), "⚠️", IF(Q246="Différent", "ℹ️", ""))</f>
        <v>ℹ️</v>
      </c>
      <c r="S246" t="str" cm="1">
        <f t="array" ref="S246">_xlfn.LET(_xlpm.genCat,IFERROR(LOWER(TRIM(G246)),""),_xlpm.principal,IFERROR(LOWER(TRIM(H246)),""),_xlpm.orig,IFERROR(LOWER(TRIM(N246)),""),IF(OR(_xlpm.genCat="",_xlpm.principal=""),"",IF(LEFT(LOWER(G246),5)="autre","OK (Autre)",IF(OR(ISNUMBER(SEARCH(_xlpm.genCat,_xlpm.principal)),ISNUMBER(SEARCH(_xlpm.principal,_xlpm.genCat)),AND(_xlpm.orig&lt;&gt;"",OR(ISNUMBER(SEARCH(_xlpm.genCat,_xlpm.orig)),ISNUMBER(SEARCH(_xlpm.orig,_xlpm.genCat))))),"OK","⚠️ À vérifier"))))</f>
        <v>⚠️ À vérifier</v>
      </c>
      <c r="T246" t="str">
        <f>IF(S246="","",IF(S246="OK (Autre)","Diagnostic générique = 'Autre – …'",IF(S246="OK","Concordance générique/principal","Écart entre générique et principal")))</f>
        <v>Écart entre générique et principal</v>
      </c>
      <c r="U246" t="str" cm="1">
        <f t="array" ref="U246">_xlfn.LET(_xlpm.yr, A246, _xlpm.diag, IF(N246&lt;&gt;"", N246, H246), _xlpm.base, TRIM(SUBSTITUTE(SUBSTITUTE(SUBSTITUTE(SUBSTITUTE(_xlpm.diag,"•"," "),CHAR(160)," "),CHAR(10)," "),"  "," ")), LOWER(_xlpm.yr&amp;"|"&amp;_xlpm.base))</f>
        <v>2021|malaria</v>
      </c>
      <c r="V246" t="str">
        <f>IFERROR(_xlfn.XLOOKUP($AB246,'Cas 2013-2017'!$K:$K,'Cas 2013-2017'!$D:$D,""),"")</f>
        <v/>
      </c>
      <c r="W246" t="str">
        <f>IFERROR(_xlfn.XLOOKUP($AB246,'Cas 2013-2017'!$K:$K,'Cas 2013-2017'!$E:$E,""),"")</f>
        <v/>
      </c>
      <c r="X246" t="str">
        <f>IFERROR(_xlfn.XLOOKUP($AB246,'Cas 2013-2017'!$K:$K,'Cas 2013-2017'!$F:$F,""),"")</f>
        <v/>
      </c>
      <c r="Y246" t="str">
        <f>IFERROR(_xlfn.XLOOKUP($AB246,'Cas 2013-2017'!$K:$K,'Cas 2013-2017'!$G:$G,""),"")</f>
        <v/>
      </c>
      <c r="Z246" t="str">
        <f>IFERROR(_xlfn.XLOOKUP($AB246,'Cas 2013-2017'!$K:$K,'Cas 2013-2017'!$I:$I,""),"")</f>
        <v/>
      </c>
      <c r="AA246" t="str">
        <f>IFERROR(_xlfn.XLOOKUP($AB246,'Cas 2013-2017'!$K:$K,'Cas 2013-2017'!$H:$H,""),"")</f>
        <v/>
      </c>
      <c r="AB246" t="str">
        <f>LOWER($A246 &amp; "|" &amp; $AF246)</f>
        <v>2021|malaria</v>
      </c>
      <c r="AC246" t="str">
        <f>TRIM(SUBSTITUTE(SUBSTITUTE(SUBSTITUTE(SUBSTITUTE(" " &amp; LOWER(TRIM(IF($N246&lt;&gt;"", $N246, $H246))) &amp; " ", " aomi ", " arteriopathie des membres inferieurs "), " hta ", " hypertension arterielle "), " saos ", " syndrome d'apnees obstructives du sommeil "), " rgo ", " reflux gastro-oesophagien ") )</f>
        <v>malaria</v>
      </c>
      <c r="AD246" t="str">
        <f>TRIM(SUBSTITUTE(SUBSTITUTE(SUBSTITUTE(SUBSTITUTE(" " &amp; LOWER(TRIM($AC246)) &amp; " ", " oacr ", " occlusion de l'artere centrale de la retine "), " hsd ", " hematome sous-dural "), " fa ", " fibrillation auriculaire "), " ep ", " embolie pulmonaire ") )</f>
        <v>malaria</v>
      </c>
      <c r="AE246" t="str" cm="1">
        <f t="array" ref="AE246">_xlfn.LET(_xlpm.base, " " &amp; LOWER(TRIM($AD246))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malaria</v>
      </c>
      <c r="AF246" t="str" cm="1">
        <f t="array" ref="AF246">_xlfn.LET(_xlpm.base, " " &amp; LOWER(TRIM($AE246))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malaria</v>
      </c>
    </row>
    <row r="247" spans="1:32" ht="16.5">
      <c r="A247" s="8">
        <v>2021</v>
      </c>
      <c r="B247" s="10" t="s">
        <v>91</v>
      </c>
      <c r="C247" s="8" t="s">
        <v>33</v>
      </c>
      <c r="D247" s="20">
        <v>6</v>
      </c>
      <c r="E247" s="11" t="str">
        <f>IF(D247="","",IFERROR(INDEX(SSP!$E$2:$E$266, MATCH(D247, SSP!$F$2:$F$266, 0)),""))</f>
        <v>Fièvre, frissons, hyperthermie</v>
      </c>
      <c r="F247" s="11" t="str">
        <f>Feuil1!E247</f>
        <v> </v>
      </c>
      <c r="G247" s="12" t="s">
        <v>567</v>
      </c>
      <c r="H247" s="13" t="s">
        <v>568</v>
      </c>
      <c r="I247" s="13"/>
      <c r="J247" s="15" t="s">
        <v>33</v>
      </c>
      <c r="K247" s="9" t="s">
        <v>33</v>
      </c>
      <c r="L247" s="9" t="s">
        <v>33</v>
      </c>
      <c r="M247" s="9" t="s">
        <v>33</v>
      </c>
      <c r="N247" t="s">
        <v>853</v>
      </c>
      <c r="O247" t="str">
        <f>IFERROR(_xlfn.XLOOKUP($D247, SSP!$F:$F, SSP!$E:$E, "Inconnu"), "")</f>
        <v>Fièvre, frissons, hyperthermie</v>
      </c>
      <c r="P247" t="str">
        <f>IF(OR(E247="", O247=""), "", IF(LOWER(E247)=LOWER(O247), "OK", "⚠️ Libellé ≠ n°"))</f>
        <v>OK</v>
      </c>
      <c r="Q247" t="str">
        <f>IF(Feuil1!$E247="", "", IF(LOWER(Feuil1!$E247)=LOWER(E247), "Identique", "Différent"))</f>
        <v>Différent</v>
      </c>
      <c r="R247" t="str">
        <f>IF(OR(P247="⚠️ Libellé ≠ n°", O247="Inconnu"), "⚠️", IF(Q247="Différent", "ℹ️", ""))</f>
        <v>ℹ️</v>
      </c>
      <c r="S247" t="str" cm="1">
        <f t="array" ref="S247">_xlfn.LET(_xlpm.genCat,IFERROR(LOWER(TRIM(G247)),""),_xlpm.principal,IFERROR(LOWER(TRIM(H247)),""),_xlpm.orig,IFERROR(LOWER(TRIM(N247)),""),IF(OR(_xlpm.genCat="",_xlpm.principal=""),"",IF(LEFT(LOWER(G247),5)="autre","OK (Autre)",IF(OR(ISNUMBER(SEARCH(_xlpm.genCat,_xlpm.principal)),ISNUMBER(SEARCH(_xlpm.principal,_xlpm.genCat)),AND(_xlpm.orig&lt;&gt;"",OR(ISNUMBER(SEARCH(_xlpm.genCat,_xlpm.orig)),ISNUMBER(SEARCH(_xlpm.orig,_xlpm.genCat))))),"OK","⚠️ À vérifier"))))</f>
        <v>OK</v>
      </c>
      <c r="T247" t="str">
        <f>IF(S247="","",IF(S247="OK (Autre)","Diagnostic générique = 'Autre – …'",IF(S247="OK","Concordance générique/principal","Écart entre générique et principal")))</f>
        <v>Concordance générique/principal</v>
      </c>
      <c r="U247" t="str" cm="1">
        <f t="array" ref="U247">_xlfn.LET(_xlpm.yr, A247, _xlpm.diag, IF(N247&lt;&gt;"", N247, H247), _xlpm.base, TRIM(SUBSTITUTE(SUBSTITUTE(SUBSTITUTE(SUBSTITUTE(_xlpm.diag,"•"," "),CHAR(160)," "),CHAR(10)," "),"  "," ")), LOWER(_xlpm.yr&amp;"|"&amp;_xlpm.base))</f>
        <v>2021|mononucleose</v>
      </c>
      <c r="V247" t="str">
        <f>IFERROR(_xlfn.XLOOKUP($AB247,'Cas 2013-2017'!$K:$K,'Cas 2013-2017'!$D:$D,""),"")</f>
        <v/>
      </c>
      <c r="W247" t="str">
        <f>IFERROR(_xlfn.XLOOKUP($AB247,'Cas 2013-2017'!$K:$K,'Cas 2013-2017'!$E:$E,""),"")</f>
        <v/>
      </c>
      <c r="X247" t="str">
        <f>IFERROR(_xlfn.XLOOKUP($AB247,'Cas 2013-2017'!$K:$K,'Cas 2013-2017'!$F:$F,""),"")</f>
        <v/>
      </c>
      <c r="Y247" t="str">
        <f>IFERROR(_xlfn.XLOOKUP($AB247,'Cas 2013-2017'!$K:$K,'Cas 2013-2017'!$G:$G,""),"")</f>
        <v/>
      </c>
      <c r="Z247" t="str">
        <f>IFERROR(_xlfn.XLOOKUP($AB247,'Cas 2013-2017'!$K:$K,'Cas 2013-2017'!$I:$I,""),"")</f>
        <v/>
      </c>
      <c r="AA247" t="str">
        <f>IFERROR(_xlfn.XLOOKUP($AB247,'Cas 2013-2017'!$K:$K,'Cas 2013-2017'!$H:$H,""),"")</f>
        <v/>
      </c>
      <c r="AB247" t="str">
        <f>LOWER($A247 &amp; "|" &amp; $AF247)</f>
        <v>2021|mononucleose</v>
      </c>
      <c r="AC247" t="str">
        <f>TRIM(SUBSTITUTE(SUBSTITUTE(SUBSTITUTE(SUBSTITUTE(" " &amp; LOWER(TRIM(IF($N247&lt;&gt;"", $N247, $H247))) &amp; " ", " aomi ", " arteriopathie des membres inferieurs "), " hta ", " hypertension arterielle "), " saos ", " syndrome d'apnees obstructives du sommeil "), " rgo ", " reflux gastro-oesophagien ") )</f>
        <v>mononucleose</v>
      </c>
      <c r="AD247" t="str">
        <f>TRIM(SUBSTITUTE(SUBSTITUTE(SUBSTITUTE(SUBSTITUTE(" " &amp; LOWER(TRIM($AC247)) &amp; " ", " oacr ", " occlusion de l'artere centrale de la retine "), " hsd ", " hematome sous-dural "), " fa ", " fibrillation auriculaire "), " ep ", " embolie pulmonaire ") )</f>
        <v>mononucleose</v>
      </c>
      <c r="AE247" t="str" cm="1">
        <f t="array" ref="AE247">_xlfn.LET(_xlpm.base, " " &amp; LOWER(TRIM($AD247))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mononucleose</v>
      </c>
      <c r="AF247" t="str" cm="1">
        <f t="array" ref="AF247">_xlfn.LET(_xlpm.base, " " &amp; LOWER(TRIM($AE247))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mononucleose</v>
      </c>
    </row>
    <row r="248" spans="1:32" ht="33.75">
      <c r="A248" s="8">
        <v>2021</v>
      </c>
      <c r="B248" s="10" t="s">
        <v>91</v>
      </c>
      <c r="C248" s="8" t="s">
        <v>33</v>
      </c>
      <c r="D248" s="20">
        <v>5</v>
      </c>
      <c r="E248" s="11" t="str">
        <f>IF(D248="","",IFERROR(INDEX(SSP!$E$2:$E$266, MATCH(D248, SSP!$F$2:$F$266, 0)),""))</f>
        <v>Sensation de malaise, altération de l’état général</v>
      </c>
      <c r="F248" s="11" t="str">
        <f>Feuil1!E248</f>
        <v> </v>
      </c>
      <c r="G248" s="12" t="s">
        <v>765</v>
      </c>
      <c r="H248" s="13" t="s">
        <v>854</v>
      </c>
      <c r="I248" s="13"/>
      <c r="J248" s="15" t="s">
        <v>855</v>
      </c>
      <c r="K248" s="9" t="s">
        <v>856</v>
      </c>
      <c r="L248" s="9" t="s">
        <v>33</v>
      </c>
      <c r="M248" s="9" t="s">
        <v>33</v>
      </c>
      <c r="N248" t="s">
        <v>857</v>
      </c>
      <c r="O248" t="str">
        <f>IFERROR(_xlfn.XLOOKUP($D248, SSP!$F:$F, SSP!$E:$E, "Inconnu"), "")</f>
        <v>Sensation de malaise, altération de l’état général</v>
      </c>
      <c r="P248" t="str">
        <f>IF(OR(E248="", O248=""), "", IF(LOWER(E248)=LOWER(O248), "OK", "⚠️ Libellé ≠ n°"))</f>
        <v>OK</v>
      </c>
      <c r="Q248" t="str">
        <f>IF(Feuil1!$E248="", "", IF(LOWER(Feuil1!$E248)=LOWER(E248), "Identique", "Différent"))</f>
        <v>Différent</v>
      </c>
      <c r="R248" t="str">
        <f>IF(OR(P248="⚠️ Libellé ≠ n°", O248="Inconnu"), "⚠️", IF(Q248="Différent", "ℹ️", ""))</f>
        <v>ℹ️</v>
      </c>
      <c r="S248" t="str" cm="1">
        <f t="array" ref="S248">_xlfn.LET(_xlpm.genCat,IFERROR(LOWER(TRIM(G248)),""),_xlpm.principal,IFERROR(LOWER(TRIM(H248)),""),_xlpm.orig,IFERROR(LOWER(TRIM(N248)),""),IF(OR(_xlpm.genCat="",_xlpm.principal=""),"",IF(LEFT(LOWER(G248),5)="autre","OK (Autre)",IF(OR(ISNUMBER(SEARCH(_xlpm.genCat,_xlpm.principal)),ISNUMBER(SEARCH(_xlpm.principal,_xlpm.genCat)),AND(_xlpm.orig&lt;&gt;"",OR(ISNUMBER(SEARCH(_xlpm.genCat,_xlpm.orig)),ISNUMBER(SEARCH(_xlpm.orig,_xlpm.genCat))))),"OK","⚠️ À vérifier"))))</f>
        <v>OK</v>
      </c>
      <c r="T248" t="str">
        <f>IF(S248="","",IF(S248="OK (Autre)","Diagnostic générique = 'Autre – …'",IF(S248="OK","Concordance générique/principal","Écart entre générique et principal")))</f>
        <v>Concordance générique/principal</v>
      </c>
      <c r="U248" t="str" cm="1">
        <f t="array" ref="U248">_xlfn.LET(_xlpm.yr, A248, _xlpm.diag, IF(N248&lt;&gt;"", N248, H248), _xlpm.base, TRIM(SUBSTITUTE(SUBSTITUTE(SUBSTITUTE(SUBSTITUTE(_xlpm.diag,"•"," "),CHAR(160)," "),CHAR(10)," "),"  "," ")), LOWER(_xlpm.yr&amp;"|"&amp;_xlpm.base))</f>
        <v>2021|vih</v>
      </c>
      <c r="V248" t="str">
        <f>IFERROR(_xlfn.XLOOKUP($AB248,'Cas 2013-2017'!$K:$K,'Cas 2013-2017'!$D:$D,""),"")</f>
        <v/>
      </c>
      <c r="W248" t="str">
        <f>IFERROR(_xlfn.XLOOKUP($AB248,'Cas 2013-2017'!$K:$K,'Cas 2013-2017'!$E:$E,""),"")</f>
        <v/>
      </c>
      <c r="X248" t="str">
        <f>IFERROR(_xlfn.XLOOKUP($AB248,'Cas 2013-2017'!$K:$K,'Cas 2013-2017'!$F:$F,""),"")</f>
        <v/>
      </c>
      <c r="Y248" t="str">
        <f>IFERROR(_xlfn.XLOOKUP($AB248,'Cas 2013-2017'!$K:$K,'Cas 2013-2017'!$G:$G,""),"")</f>
        <v/>
      </c>
      <c r="Z248" t="str">
        <f>IFERROR(_xlfn.XLOOKUP($AB248,'Cas 2013-2017'!$K:$K,'Cas 2013-2017'!$I:$I,""),"")</f>
        <v/>
      </c>
      <c r="AA248" t="str">
        <f>IFERROR(_xlfn.XLOOKUP($AB248,'Cas 2013-2017'!$K:$K,'Cas 2013-2017'!$H:$H,""),"")</f>
        <v/>
      </c>
      <c r="AB248" t="str">
        <f>LOWER($A248 &amp; "|" &amp; $AF248)</f>
        <v>2021|vih</v>
      </c>
      <c r="AC248" t="str">
        <f>TRIM(SUBSTITUTE(SUBSTITUTE(SUBSTITUTE(SUBSTITUTE(" " &amp; LOWER(TRIM(IF($N248&lt;&gt;"", $N248, $H248))) &amp; " ", " aomi ", " arteriopathie des membres inferieurs "), " hta ", " hypertension arterielle "), " saos ", " syndrome d'apnees obstructives du sommeil "), " rgo ", " reflux gastro-oesophagien ") )</f>
        <v>vih</v>
      </c>
      <c r="AD248" t="str">
        <f>TRIM(SUBSTITUTE(SUBSTITUTE(SUBSTITUTE(SUBSTITUTE(" " &amp; LOWER(TRIM($AC248)) &amp; " ", " oacr ", " occlusion de l'artere centrale de la retine "), " hsd ", " hematome sous-dural "), " fa ", " fibrillation auriculaire "), " ep ", " embolie pulmonaire ") )</f>
        <v>vih</v>
      </c>
      <c r="AE248" t="str" cm="1">
        <f t="array" ref="AE248">_xlfn.LET(_xlpm.base, " " &amp; LOWER(TRIM($AD248))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vih</v>
      </c>
      <c r="AF248" t="str" cm="1">
        <f t="array" ref="AF248">_xlfn.LET(_xlpm.base, " " &amp; LOWER(TRIM($AE248))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vih</v>
      </c>
    </row>
    <row r="249" spans="1:32" ht="33.75">
      <c r="A249" s="8">
        <v>2021</v>
      </c>
      <c r="B249" s="10" t="s">
        <v>221</v>
      </c>
      <c r="C249" s="8" t="s">
        <v>33</v>
      </c>
      <c r="D249" s="20">
        <v>10</v>
      </c>
      <c r="E249" s="11" t="str">
        <f>IF(D249="","",IFERROR(INDEX(SSP!$E$2:$E$266, MATCH(D249, SSP!$F$2:$F$266, 0)),""))</f>
        <v>Douleur (toutes localisations et types confondus)</v>
      </c>
      <c r="F249" s="11" t="str">
        <f>Feuil1!E249</f>
        <v>Douleur hanche</v>
      </c>
      <c r="G249" s="12" t="s">
        <v>858</v>
      </c>
      <c r="H249" s="13" t="s">
        <v>859</v>
      </c>
      <c r="I249" s="13"/>
      <c r="J249" s="16" t="s">
        <v>165</v>
      </c>
      <c r="K249" s="9" t="s">
        <v>33</v>
      </c>
      <c r="L249" s="9" t="s">
        <v>33</v>
      </c>
      <c r="M249" s="9" t="s">
        <v>33</v>
      </c>
      <c r="N249" t="s">
        <v>859</v>
      </c>
      <c r="O249" t="str">
        <f>IFERROR(_xlfn.XLOOKUP($D249, SSP!$F:$F, SSP!$E:$E, "Inconnu"), "")</f>
        <v>Douleur (toutes localisations et types confondus)</v>
      </c>
      <c r="P249" t="str">
        <f>IF(OR(E249="", O249=""), "", IF(LOWER(E249)=LOWER(O249), "OK", "⚠️ Libellé ≠ n°"))</f>
        <v>OK</v>
      </c>
      <c r="Q249" t="str">
        <f>IF(Feuil1!$E249="", "", IF(LOWER(Feuil1!$E249)=LOWER(E249), "Identique", "Différent"))</f>
        <v>Différent</v>
      </c>
      <c r="R249" t="str">
        <f>IF(OR(P249="⚠️ Libellé ≠ n°", O249="Inconnu"), "⚠️", IF(Q249="Différent", "ℹ️", ""))</f>
        <v>ℹ️</v>
      </c>
      <c r="S249" t="str" cm="1">
        <f t="array" ref="S249">_xlfn.LET(_xlpm.genCat,IFERROR(LOWER(TRIM(G249)),""),_xlpm.principal,IFERROR(LOWER(TRIM(H249)),""),_xlpm.orig,IFERROR(LOWER(TRIM(N249)),""),IF(OR(_xlpm.genCat="",_xlpm.principal=""),"",IF(LEFT(LOWER(G249),5)="autre","OK (Autre)",IF(OR(ISNUMBER(SEARCH(_xlpm.genCat,_xlpm.principal)),ISNUMBER(SEARCH(_xlpm.principal,_xlpm.genCat)),AND(_xlpm.orig&lt;&gt;"",OR(ISNUMBER(SEARCH(_xlpm.genCat,_xlpm.orig)),ISNUMBER(SEARCH(_xlpm.orig,_xlpm.genCat))))),"OK","⚠️ À vérifier"))))</f>
        <v>OK</v>
      </c>
      <c r="T249" t="str">
        <f>IF(S249="","",IF(S249="OK (Autre)","Diagnostic générique = 'Autre – …'",IF(S249="OK","Concordance générique/principal","Écart entre générique et principal")))</f>
        <v>Concordance générique/principal</v>
      </c>
      <c r="U249" t="str" cm="1">
        <f t="array" ref="U249">_xlfn.LET(_xlpm.yr, A249, _xlpm.diag, IF(N249&lt;&gt;"", N249, H249), _xlpm.base, TRIM(SUBSTITUTE(SUBSTITUTE(SUBSTITUTE(SUBSTITUTE(_xlpm.diag,"•"," "),CHAR(160)," "),CHAR(10)," "),"  "," ")), LOWER(_xlpm.yr&amp;"|"&amp;_xlpm.base))</f>
        <v>2021|coxarthrose</v>
      </c>
      <c r="V249" t="str">
        <f>IFERROR(_xlfn.XLOOKUP($AB249,'Cas 2013-2017'!$K:$K,'Cas 2013-2017'!$D:$D,""),"")</f>
        <v/>
      </c>
      <c r="W249" t="str">
        <f>IFERROR(_xlfn.XLOOKUP($AB249,'Cas 2013-2017'!$K:$K,'Cas 2013-2017'!$E:$E,""),"")</f>
        <v/>
      </c>
      <c r="X249" t="str">
        <f>IFERROR(_xlfn.XLOOKUP($AB249,'Cas 2013-2017'!$K:$K,'Cas 2013-2017'!$F:$F,""),"")</f>
        <v/>
      </c>
      <c r="Y249" t="str">
        <f>IFERROR(_xlfn.XLOOKUP($AB249,'Cas 2013-2017'!$K:$K,'Cas 2013-2017'!$G:$G,""),"")</f>
        <v/>
      </c>
      <c r="Z249" t="str">
        <f>IFERROR(_xlfn.XLOOKUP($AB249,'Cas 2013-2017'!$K:$K,'Cas 2013-2017'!$I:$I,""),"")</f>
        <v/>
      </c>
      <c r="AA249" t="str">
        <f>IFERROR(_xlfn.XLOOKUP($AB249,'Cas 2013-2017'!$K:$K,'Cas 2013-2017'!$H:$H,""),"")</f>
        <v/>
      </c>
      <c r="AB249" t="str">
        <f>LOWER($A249 &amp; "|" &amp; $AF249)</f>
        <v>2021|coxarthrose</v>
      </c>
      <c r="AC249" t="str">
        <f>TRIM(SUBSTITUTE(SUBSTITUTE(SUBSTITUTE(SUBSTITUTE(" " &amp; LOWER(TRIM(IF($N249&lt;&gt;"", $N249, $H249))) &amp; " ", " aomi ", " arteriopathie des membres inferieurs "), " hta ", " hypertension arterielle "), " saos ", " syndrome d'apnees obstructives du sommeil "), " rgo ", " reflux gastro-oesophagien ") )</f>
        <v>coxarthrose</v>
      </c>
      <c r="AD249" t="str">
        <f>TRIM(SUBSTITUTE(SUBSTITUTE(SUBSTITUTE(SUBSTITUTE(" " &amp; LOWER(TRIM($AC249)) &amp; " ", " oacr ", " occlusion de l'artere centrale de la retine "), " hsd ", " hematome sous-dural "), " fa ", " fibrillation auriculaire "), " ep ", " embolie pulmonaire ") )</f>
        <v>coxarthrose</v>
      </c>
      <c r="AE249" t="str" cm="1">
        <f t="array" ref="AE249">_xlfn.LET(_xlpm.base, " " &amp; LOWER(TRIM($AD249))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coxarthrose</v>
      </c>
      <c r="AF249" t="str" cm="1">
        <f t="array" ref="AF249">_xlfn.LET(_xlpm.base, " " &amp; LOWER(TRIM($AE249))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coxarthrose</v>
      </c>
    </row>
    <row r="250" spans="1:32" ht="33.75">
      <c r="A250" s="8">
        <v>2021</v>
      </c>
      <c r="B250" s="10" t="s">
        <v>221</v>
      </c>
      <c r="C250" s="8" t="s">
        <v>33</v>
      </c>
      <c r="D250" s="20">
        <v>10</v>
      </c>
      <c r="E250" s="11" t="str">
        <f>IF(D250="","",IFERROR(INDEX(SSP!$E$2:$E$266, MATCH(D250, SSP!$F$2:$F$266, 0)),""))</f>
        <v>Douleur (toutes localisations et types confondus)</v>
      </c>
      <c r="F250" s="11" t="str">
        <f>Feuil1!E250</f>
        <v>Douleur dorsale</v>
      </c>
      <c r="G250" s="12" t="s">
        <v>470</v>
      </c>
      <c r="H250" s="13" t="s">
        <v>860</v>
      </c>
      <c r="I250" s="13" t="s">
        <v>35</v>
      </c>
      <c r="J250" s="15" t="s">
        <v>33</v>
      </c>
      <c r="K250" s="9" t="s">
        <v>33</v>
      </c>
      <c r="L250" s="9" t="s">
        <v>33</v>
      </c>
      <c r="M250" s="9" t="s">
        <v>33</v>
      </c>
      <c r="N250" t="s">
        <v>861</v>
      </c>
      <c r="O250" t="str">
        <f>IFERROR(_xlfn.XLOOKUP($D250, SSP!$F:$F, SSP!$E:$E, "Inconnu"), "")</f>
        <v>Douleur (toutes localisations et types confondus)</v>
      </c>
      <c r="P250" t="str">
        <f>IF(OR(E250="", O250=""), "", IF(LOWER(E250)=LOWER(O250), "OK", "⚠️ Libellé ≠ n°"))</f>
        <v>OK</v>
      </c>
      <c r="Q250" t="str">
        <f>IF(Feuil1!$E250="", "", IF(LOWER(Feuil1!$E250)=LOWER(E250), "Identique", "Différent"))</f>
        <v>Différent</v>
      </c>
      <c r="R250" t="str">
        <f>IF(OR(P250="⚠️ Libellé ≠ n°", O250="Inconnu"), "⚠️", IF(Q250="Différent", "ℹ️", ""))</f>
        <v>ℹ️</v>
      </c>
      <c r="S250" t="str" cm="1">
        <f t="array" ref="S250">_xlfn.LET(_xlpm.genCat,IFERROR(LOWER(TRIM(G250)),""),_xlpm.principal,IFERROR(LOWER(TRIM(H250)),""),_xlpm.orig,IFERROR(LOWER(TRIM(N250)),""),IF(OR(_xlpm.genCat="",_xlpm.principal=""),"",IF(LEFT(LOWER(G250),5)="autre","OK (Autre)",IF(OR(ISNUMBER(SEARCH(_xlpm.genCat,_xlpm.principal)),ISNUMBER(SEARCH(_xlpm.principal,_xlpm.genCat)),AND(_xlpm.orig&lt;&gt;"",OR(ISNUMBER(SEARCH(_xlpm.genCat,_xlpm.orig)),ISNUMBER(SEARCH(_xlpm.orig,_xlpm.genCat))))),"OK","⚠️ À vérifier"))))</f>
        <v>⚠️ À vérifier</v>
      </c>
      <c r="T250" t="str">
        <f>IF(S250="","",IF(S250="OK (Autre)","Diagnostic générique = 'Autre – …'",IF(S250="OK","Concordance générique/principal","Écart entre générique et principal")))</f>
        <v>Écart entre générique et principal</v>
      </c>
      <c r="U250" t="str" cm="1">
        <f t="array" ref="U250">_xlfn.LET(_xlpm.yr, A250, _xlpm.diag, IF(N250&lt;&gt;"", N250, H250), _xlpm.base, TRIM(SUBSTITUTE(SUBSTITUTE(SUBSTITUTE(SUBSTITUTE(_xlpm.diag,"•"," "),CHAR(160)," "),CHAR(10)," "),"  "," ")), LOWER(_xlpm.yr&amp;"|"&amp;_xlpm.base))</f>
        <v>2021|canal lombaire etroit vs aomi</v>
      </c>
      <c r="V250" t="str">
        <f>IFERROR(_xlfn.XLOOKUP($AB250,'Cas 2013-2017'!$K:$K,'Cas 2013-2017'!$D:$D,""),"")</f>
        <v/>
      </c>
      <c r="W250" t="str">
        <f>IFERROR(_xlfn.XLOOKUP($AB250,'Cas 2013-2017'!$K:$K,'Cas 2013-2017'!$E:$E,""),"")</f>
        <v/>
      </c>
      <c r="X250" t="str">
        <f>IFERROR(_xlfn.XLOOKUP($AB250,'Cas 2013-2017'!$K:$K,'Cas 2013-2017'!$F:$F,""),"")</f>
        <v/>
      </c>
      <c r="Y250" t="str">
        <f>IFERROR(_xlfn.XLOOKUP($AB250,'Cas 2013-2017'!$K:$K,'Cas 2013-2017'!$G:$G,""),"")</f>
        <v/>
      </c>
      <c r="Z250" t="str">
        <f>IFERROR(_xlfn.XLOOKUP($AB250,'Cas 2013-2017'!$K:$K,'Cas 2013-2017'!$I:$I,""),"")</f>
        <v/>
      </c>
      <c r="AA250" t="str">
        <f>IFERROR(_xlfn.XLOOKUP($AB250,'Cas 2013-2017'!$K:$K,'Cas 2013-2017'!$H:$H,""),"")</f>
        <v/>
      </c>
      <c r="AB250" t="str">
        <f>LOWER($A250 &amp; "|" &amp; $AF250)</f>
        <v>2021|canal lombaire etroit vs arteriopathie des membres inferieurs</v>
      </c>
      <c r="AC250" t="str">
        <f>TRIM(SUBSTITUTE(SUBSTITUTE(SUBSTITUTE(SUBSTITUTE(" " &amp; LOWER(TRIM(IF($N250&lt;&gt;"", $N250, $H250))) &amp; " ", " aomi ", " arteriopathie des membres inferieurs "), " hta ", " hypertension arterielle "), " saos ", " syndrome d'apnees obstructives du sommeil "), " rgo ", " reflux gastro-oesophagien ") )</f>
        <v>canal lombaire etroit vs arteriopathie des membres inferieurs</v>
      </c>
      <c r="AD250" t="str">
        <f>TRIM(SUBSTITUTE(SUBSTITUTE(SUBSTITUTE(SUBSTITUTE(" " &amp; LOWER(TRIM($AC250)) &amp; " ", " oacr ", " occlusion de l'artere centrale de la retine "), " hsd ", " hematome sous-dural "), " fa ", " fibrillation auriculaire "), " ep ", " embolie pulmonaire ") )</f>
        <v>canal lombaire etroit vs arteriopathie des membres inferieurs</v>
      </c>
      <c r="AE250" t="str" cm="1">
        <f t="array" ref="AE250">_xlfn.LET(_xlpm.base, " " &amp; LOWER(TRIM($AD250))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canal lombaire etroit vs arteriopathie des membres inferieurs</v>
      </c>
      <c r="AF250" t="str" cm="1">
        <f t="array" ref="AF250">_xlfn.LET(_xlpm.base, " " &amp; LOWER(TRIM($AE250))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canal lombaire etroit vs arteriopathie des membres inferieurs</v>
      </c>
    </row>
    <row r="251" spans="1:32" ht="33.75">
      <c r="A251" s="8">
        <v>2021</v>
      </c>
      <c r="B251" s="10" t="s">
        <v>100</v>
      </c>
      <c r="C251" s="8" t="s">
        <v>33</v>
      </c>
      <c r="D251" s="20">
        <v>207</v>
      </c>
      <c r="E251" s="11" t="str">
        <f>IF(D251="","",IFERROR(INDEX(SSP!$E$2:$E$266, MATCH(D251, SSP!$F$2:$F$266, 0)),""))</f>
        <v>Céphalée aiguë intense, syndrome méningé</v>
      </c>
      <c r="F251" s="11" t="str">
        <f>Feuil1!E251</f>
        <v>Céphalée</v>
      </c>
      <c r="G251" s="12" t="s">
        <v>106</v>
      </c>
      <c r="H251" s="13" t="s">
        <v>107</v>
      </c>
      <c r="I251" s="13"/>
      <c r="J251" s="15" t="s">
        <v>108</v>
      </c>
      <c r="K251" s="9" t="s">
        <v>33</v>
      </c>
      <c r="L251" s="9" t="s">
        <v>33</v>
      </c>
      <c r="M251" s="9" t="s">
        <v>33</v>
      </c>
      <c r="N251" t="s">
        <v>107</v>
      </c>
      <c r="O251" t="str">
        <f>IFERROR(_xlfn.XLOOKUP($D251, SSP!$F:$F, SSP!$E:$E, "Inconnu"), "")</f>
        <v>Céphalée aiguë intense, syndrome méningé</v>
      </c>
      <c r="P251" t="str">
        <f>IF(OR(E251="", O251=""), "", IF(LOWER(E251)=LOWER(O251), "OK", "⚠️ Libellé ≠ n°"))</f>
        <v>OK</v>
      </c>
      <c r="Q251" t="str">
        <f>IF(Feuil1!$E251="", "", IF(LOWER(Feuil1!$E251)=LOWER(E251), "Identique", "Différent"))</f>
        <v>Différent</v>
      </c>
      <c r="R251" t="str">
        <f>IF(OR(P251="⚠️ Libellé ≠ n°", O251="Inconnu"), "⚠️", IF(Q251="Différent", "ℹ️", ""))</f>
        <v>ℹ️</v>
      </c>
      <c r="S251" t="str" cm="1">
        <f t="array" ref="S251">_xlfn.LET(_xlpm.genCat,IFERROR(LOWER(TRIM(G251)),""),_xlpm.principal,IFERROR(LOWER(TRIM(H251)),""),_xlpm.orig,IFERROR(LOWER(TRIM(N251)),""),IF(OR(_xlpm.genCat="",_xlpm.principal=""),"",IF(LEFT(LOWER(G251),5)="autre","OK (Autre)",IF(OR(ISNUMBER(SEARCH(_xlpm.genCat,_xlpm.principal)),ISNUMBER(SEARCH(_xlpm.principal,_xlpm.genCat)),AND(_xlpm.orig&lt;&gt;"",OR(ISNUMBER(SEARCH(_xlpm.genCat,_xlpm.orig)),ISNUMBER(SEARCH(_xlpm.orig,_xlpm.genCat))))),"OK","⚠️ À vérifier"))))</f>
        <v>⚠️ À vérifier</v>
      </c>
      <c r="T251" t="str">
        <f>IF(S251="","",IF(S251="OK (Autre)","Diagnostic générique = 'Autre – …'",IF(S251="OK","Concordance générique/principal","Écart entre générique et principal")))</f>
        <v>Écart entre générique et principal</v>
      </c>
      <c r="U251" t="str" cm="1">
        <f t="array" ref="U251">_xlfn.LET(_xlpm.yr, A251, _xlpm.diag, IF(N251&lt;&gt;"", N251, H251), _xlpm.base, TRIM(SUBSTITUTE(SUBSTITUTE(SUBSTITUTE(SUBSTITUTE(_xlpm.diag,"•"," "),CHAR(160)," "),CHAR(10)," "),"  "," ")), LOWER(_xlpm.yr&amp;"|"&amp;_xlpm.base))</f>
        <v>2021|céphalées de tension</v>
      </c>
      <c r="V251" t="str">
        <f>IFERROR(_xlfn.XLOOKUP($AB251,'Cas 2013-2017'!$K:$K,'Cas 2013-2017'!$D:$D,""),"")</f>
        <v/>
      </c>
      <c r="W251" t="str">
        <f>IFERROR(_xlfn.XLOOKUP($AB251,'Cas 2013-2017'!$K:$K,'Cas 2013-2017'!$E:$E,""),"")</f>
        <v/>
      </c>
      <c r="X251" t="str">
        <f>IFERROR(_xlfn.XLOOKUP($AB251,'Cas 2013-2017'!$K:$K,'Cas 2013-2017'!$F:$F,""),"")</f>
        <v/>
      </c>
      <c r="Y251" t="str">
        <f>IFERROR(_xlfn.XLOOKUP($AB251,'Cas 2013-2017'!$K:$K,'Cas 2013-2017'!$G:$G,""),"")</f>
        <v/>
      </c>
      <c r="Z251" t="str">
        <f>IFERROR(_xlfn.XLOOKUP($AB251,'Cas 2013-2017'!$K:$K,'Cas 2013-2017'!$I:$I,""),"")</f>
        <v/>
      </c>
      <c r="AA251" t="str">
        <f>IFERROR(_xlfn.XLOOKUP($AB251,'Cas 2013-2017'!$K:$K,'Cas 2013-2017'!$H:$H,""),"")</f>
        <v/>
      </c>
      <c r="AB251" t="str">
        <f>LOWER($A251 &amp; "|" &amp; $AF251)</f>
        <v>2021|céphalées de tension</v>
      </c>
      <c r="AC251" t="str">
        <f>TRIM(SUBSTITUTE(SUBSTITUTE(SUBSTITUTE(SUBSTITUTE(" " &amp; LOWER(TRIM(IF($N251&lt;&gt;"", $N251, $H251))) &amp; " ", " aomi ", " arteriopathie des membres inferieurs "), " hta ", " hypertension arterielle "), " saos ", " syndrome d'apnees obstructives du sommeil "), " rgo ", " reflux gastro-oesophagien ") )</f>
        <v>céphalées de tension</v>
      </c>
      <c r="AD251" t="str">
        <f>TRIM(SUBSTITUTE(SUBSTITUTE(SUBSTITUTE(SUBSTITUTE(" " &amp; LOWER(TRIM($AC251)) &amp; " ", " oacr ", " occlusion de l'artere centrale de la retine "), " hsd ", " hematome sous-dural "), " fa ", " fibrillation auriculaire "), " ep ", " embolie pulmonaire ") )</f>
        <v>céphalées de tension</v>
      </c>
      <c r="AE251" t="str" cm="1">
        <f t="array" ref="AE251">_xlfn.LET(_xlpm.base, " " &amp; LOWER(TRIM($AD251))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céphalées de tension</v>
      </c>
      <c r="AF251" t="str" cm="1">
        <f t="array" ref="AF251">_xlfn.LET(_xlpm.base, " " &amp; LOWER(TRIM($AE251))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céphalées de tension</v>
      </c>
    </row>
    <row r="252" spans="1:32" ht="16.5">
      <c r="A252" s="8">
        <v>2021</v>
      </c>
      <c r="B252" s="10" t="s">
        <v>100</v>
      </c>
      <c r="C252" s="8" t="s">
        <v>33</v>
      </c>
      <c r="D252" s="20">
        <v>46</v>
      </c>
      <c r="E252" s="11" t="str">
        <f>IF(D252="","",IFERROR(INDEX(SSP!$E$2:$E$266, MATCH(D252, SSP!$F$2:$F$266, 0)),""))</f>
        <v>Dyspnée</v>
      </c>
      <c r="F252" s="11" t="str">
        <f>Feuil1!E252</f>
        <v> </v>
      </c>
      <c r="G252" s="12" t="s">
        <v>606</v>
      </c>
      <c r="H252" s="13" t="s">
        <v>606</v>
      </c>
      <c r="I252" s="13"/>
      <c r="J252" s="15" t="s">
        <v>33</v>
      </c>
      <c r="K252" s="9" t="s">
        <v>33</v>
      </c>
      <c r="L252" s="9" t="s">
        <v>33</v>
      </c>
      <c r="M252" s="9" t="s">
        <v>33</v>
      </c>
      <c r="N252" t="s">
        <v>608</v>
      </c>
      <c r="O252" t="str">
        <f>IFERROR(_xlfn.XLOOKUP($D252, SSP!$F:$F, SSP!$E:$E, "Inconnu"), "")</f>
        <v>Dyspnée</v>
      </c>
      <c r="P252" t="str">
        <f>IF(OR(E252="", O252=""), "", IF(LOWER(E252)=LOWER(O252), "OK", "⚠️ Libellé ≠ n°"))</f>
        <v>OK</v>
      </c>
      <c r="Q252" t="str">
        <f>IF(Feuil1!$E252="", "", IF(LOWER(Feuil1!$E252)=LOWER(E252), "Identique", "Différent"))</f>
        <v>Différent</v>
      </c>
      <c r="R252" t="str">
        <f>IF(OR(P252="⚠️ Libellé ≠ n°", O252="Inconnu"), "⚠️", IF(Q252="Différent", "ℹ️", ""))</f>
        <v>ℹ️</v>
      </c>
      <c r="S252" t="str" cm="1">
        <f t="array" ref="S252">_xlfn.LET(_xlpm.genCat,IFERROR(LOWER(TRIM(G252)),""),_xlpm.principal,IFERROR(LOWER(TRIM(H252)),""),_xlpm.orig,IFERROR(LOWER(TRIM(N252)),""),IF(OR(_xlpm.genCat="",_xlpm.principal=""),"",IF(LEFT(LOWER(G252),5)="autre","OK (Autre)",IF(OR(ISNUMBER(SEARCH(_xlpm.genCat,_xlpm.principal)),ISNUMBER(SEARCH(_xlpm.principal,_xlpm.genCat)),AND(_xlpm.orig&lt;&gt;"",OR(ISNUMBER(SEARCH(_xlpm.genCat,_xlpm.orig)),ISNUMBER(SEARCH(_xlpm.orig,_xlpm.genCat))))),"OK","⚠️ À vérifier"))))</f>
        <v>OK</v>
      </c>
      <c r="T252" t="str">
        <f>IF(S252="","",IF(S252="OK (Autre)","Diagnostic générique = 'Autre – …'",IF(S252="OK","Concordance générique/principal","Écart entre générique et principal")))</f>
        <v>Concordance générique/principal</v>
      </c>
      <c r="U252" t="str" cm="1">
        <f t="array" ref="U252">_xlfn.LET(_xlpm.yr, A252, _xlpm.diag, IF(N252&lt;&gt;"", N252, H252), _xlpm.base, TRIM(SUBSTITUTE(SUBSTITUTE(SUBSTITUTE(SUBSTITUTE(_xlpm.diag,"•"," "),CHAR(160)," "),CHAR(10)," "),"  "," ")), LOWER(_xlpm.yr&amp;"|"&amp;_xlpm.base))</f>
        <v>2021|hydrocephalie à pression normale</v>
      </c>
      <c r="V252" t="str">
        <f>IFERROR(_xlfn.XLOOKUP($AB252,'Cas 2013-2017'!$K:$K,'Cas 2013-2017'!$D:$D,""),"")</f>
        <v/>
      </c>
      <c r="W252" t="str">
        <f>IFERROR(_xlfn.XLOOKUP($AB252,'Cas 2013-2017'!$K:$K,'Cas 2013-2017'!$E:$E,""),"")</f>
        <v/>
      </c>
      <c r="X252" t="str">
        <f>IFERROR(_xlfn.XLOOKUP($AB252,'Cas 2013-2017'!$K:$K,'Cas 2013-2017'!$F:$F,""),"")</f>
        <v/>
      </c>
      <c r="Y252" t="str">
        <f>IFERROR(_xlfn.XLOOKUP($AB252,'Cas 2013-2017'!$K:$K,'Cas 2013-2017'!$G:$G,""),"")</f>
        <v/>
      </c>
      <c r="Z252" t="str">
        <f>IFERROR(_xlfn.XLOOKUP($AB252,'Cas 2013-2017'!$K:$K,'Cas 2013-2017'!$I:$I,""),"")</f>
        <v/>
      </c>
      <c r="AA252" t="str">
        <f>IFERROR(_xlfn.XLOOKUP($AB252,'Cas 2013-2017'!$K:$K,'Cas 2013-2017'!$H:$H,""),"")</f>
        <v/>
      </c>
      <c r="AB252" t="str">
        <f>LOWER($A252 &amp; "|" &amp; $AF252)</f>
        <v>2021|hydrocephalie à pression normale</v>
      </c>
      <c r="AC252" t="str">
        <f>TRIM(SUBSTITUTE(SUBSTITUTE(SUBSTITUTE(SUBSTITUTE(" " &amp; LOWER(TRIM(IF($N252&lt;&gt;"", $N252, $H252))) &amp; " ", " aomi ", " arteriopathie des membres inferieurs "), " hta ", " hypertension arterielle "), " saos ", " syndrome d'apnees obstructives du sommeil "), " rgo ", " reflux gastro-oesophagien ") )</f>
        <v>hydrocephalie à pression normale</v>
      </c>
      <c r="AD252" t="str">
        <f>TRIM(SUBSTITUTE(SUBSTITUTE(SUBSTITUTE(SUBSTITUTE(" " &amp; LOWER(TRIM($AC252)) &amp; " ", " oacr ", " occlusion de l'artere centrale de la retine "), " hsd ", " hematome sous-dural "), " fa ", " fibrillation auriculaire "), " ep ", " embolie pulmonaire ") )</f>
        <v>hydrocephalie à pression normale</v>
      </c>
      <c r="AE252" t="str" cm="1">
        <f t="array" ref="AE252">_xlfn.LET(_xlpm.base, " " &amp; LOWER(TRIM($AD252))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hydrocephalie à pression normale</v>
      </c>
      <c r="AF252" t="str" cm="1">
        <f t="array" ref="AF252">_xlfn.LET(_xlpm.base, " " &amp; LOWER(TRIM($AE252))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hydrocephalie à pression normale</v>
      </c>
    </row>
    <row r="253" spans="1:32" ht="33.75">
      <c r="A253" s="8">
        <v>2021</v>
      </c>
      <c r="B253" s="10" t="s">
        <v>82</v>
      </c>
      <c r="C253" s="8" t="s">
        <v>451</v>
      </c>
      <c r="D253" s="20">
        <v>18</v>
      </c>
      <c r="E253" s="11" t="str">
        <f>IF(D253="","",IFERROR(INDEX(SSP!$E$2:$E$266, MATCH(D253, SSP!$F$2:$F$266, 0)),""))</f>
        <v>Perte de vision aiguë ou progressive (brutale, lente, transitoire, partielle)</v>
      </c>
      <c r="F253" s="11" t="str">
        <f>Feuil1!E253</f>
        <v>Trouble de la vision</v>
      </c>
      <c r="G253" s="12" t="s">
        <v>83</v>
      </c>
      <c r="H253" s="13" t="s">
        <v>363</v>
      </c>
      <c r="I253" s="13"/>
      <c r="J253" s="15" t="s">
        <v>33</v>
      </c>
      <c r="K253" s="9" t="s">
        <v>33</v>
      </c>
      <c r="L253" s="9" t="s">
        <v>33</v>
      </c>
      <c r="M253" s="9" t="s">
        <v>33</v>
      </c>
      <c r="N253" t="s">
        <v>364</v>
      </c>
      <c r="O253" t="str">
        <f>IFERROR(_xlfn.XLOOKUP($D253, SSP!$F:$F, SSP!$E:$E, "Inconnu"), "")</f>
        <v>Perte de vision aiguë ou progressive (brutale, lente, transitoire, partielle)</v>
      </c>
      <c r="P253" t="str">
        <f>IF(OR(E253="", O253=""), "", IF(LOWER(E253)=LOWER(O253), "OK", "⚠️ Libellé ≠ n°"))</f>
        <v>OK</v>
      </c>
      <c r="Q253" t="str">
        <f>IF(Feuil1!$E253="", "", IF(LOWER(Feuil1!$E253)=LOWER(E253), "Identique", "Différent"))</f>
        <v>Différent</v>
      </c>
      <c r="R253" t="str">
        <f>IF(OR(P253="⚠️ Libellé ≠ n°", O253="Inconnu"), "⚠️", IF(Q253="Différent", "ℹ️", ""))</f>
        <v>ℹ️</v>
      </c>
      <c r="S253" t="str" cm="1">
        <f t="array" ref="S253">_xlfn.LET(_xlpm.genCat,IFERROR(LOWER(TRIM(G253)),""),_xlpm.principal,IFERROR(LOWER(TRIM(H253)),""),_xlpm.orig,IFERROR(LOWER(TRIM(N253)),""),IF(OR(_xlpm.genCat="",_xlpm.principal=""),"",IF(LEFT(LOWER(G253),5)="autre","OK (Autre)",IF(OR(ISNUMBER(SEARCH(_xlpm.genCat,_xlpm.principal)),ISNUMBER(SEARCH(_xlpm.principal,_xlpm.genCat)),AND(_xlpm.orig&lt;&gt;"",OR(ISNUMBER(SEARCH(_xlpm.genCat,_xlpm.orig)),ISNUMBER(SEARCH(_xlpm.orig,_xlpm.genCat))))),"OK","⚠️ À vérifier"))))</f>
        <v>OK (Autre)</v>
      </c>
      <c r="T253" t="str">
        <f>IF(S253="","",IF(S253="OK (Autre)","Diagnostic générique = 'Autre – …'",IF(S253="OK","Concordance générique/principal","Écart entre générique et principal")))</f>
        <v>Diagnostic générique = 'Autre – …'</v>
      </c>
      <c r="U253" t="str" cm="1">
        <f t="array" ref="U253">_xlfn.LET(_xlpm.yr, A253, _xlpm.diag, IF(N253&lt;&gt;"", N253, H253), _xlpm.base, TRIM(SUBSTITUTE(SUBSTITUTE(SUBSTITUTE(SUBSTITUTE(_xlpm.diag,"•"," "),CHAR(160)," "),CHAR(10)," "),"  "," ")), LOWER(_xlpm.yr&amp;"|"&amp;_xlpm.base))</f>
        <v>2021|sep</v>
      </c>
      <c r="V253" t="str">
        <f>IFERROR(_xlfn.XLOOKUP($AB253,'Cas 2013-2017'!$K:$K,'Cas 2013-2017'!$D:$D,""),"")</f>
        <v/>
      </c>
      <c r="W253" t="str">
        <f>IFERROR(_xlfn.XLOOKUP($AB253,'Cas 2013-2017'!$K:$K,'Cas 2013-2017'!$E:$E,""),"")</f>
        <v/>
      </c>
      <c r="X253" t="str">
        <f>IFERROR(_xlfn.XLOOKUP($AB253,'Cas 2013-2017'!$K:$K,'Cas 2013-2017'!$F:$F,""),"")</f>
        <v/>
      </c>
      <c r="Y253" t="str">
        <f>IFERROR(_xlfn.XLOOKUP($AB253,'Cas 2013-2017'!$K:$K,'Cas 2013-2017'!$G:$G,""),"")</f>
        <v/>
      </c>
      <c r="Z253" t="str">
        <f>IFERROR(_xlfn.XLOOKUP($AB253,'Cas 2013-2017'!$K:$K,'Cas 2013-2017'!$I:$I,""),"")</f>
        <v/>
      </c>
      <c r="AA253" t="str">
        <f>IFERROR(_xlfn.XLOOKUP($AB253,'Cas 2013-2017'!$K:$K,'Cas 2013-2017'!$H:$H,""),"")</f>
        <v/>
      </c>
      <c r="AB253" t="str">
        <f>LOWER($A253 &amp; "|" &amp; $AF253)</f>
        <v>2021|sep</v>
      </c>
      <c r="AC253" t="str">
        <f>TRIM(SUBSTITUTE(SUBSTITUTE(SUBSTITUTE(SUBSTITUTE(" " &amp; LOWER(TRIM(IF($N253&lt;&gt;"", $N253, $H253))) &amp; " ", " aomi ", " arteriopathie des membres inferieurs "), " hta ", " hypertension arterielle "), " saos ", " syndrome d'apnees obstructives du sommeil "), " rgo ", " reflux gastro-oesophagien ") )</f>
        <v>sep</v>
      </c>
      <c r="AD253" t="str">
        <f>TRIM(SUBSTITUTE(SUBSTITUTE(SUBSTITUTE(SUBSTITUTE(" " &amp; LOWER(TRIM($AC253)) &amp; " ", " oacr ", " occlusion de l'artere centrale de la retine "), " hsd ", " hematome sous-dural "), " fa ", " fibrillation auriculaire "), " ep ", " embolie pulmonaire ") )</f>
        <v>sep</v>
      </c>
      <c r="AE253" t="str" cm="1">
        <f t="array" ref="AE253">_xlfn.LET(_xlpm.base, " " &amp; LOWER(TRIM($AD253))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sep</v>
      </c>
      <c r="AF253" t="str" cm="1">
        <f t="array" ref="AF253">_xlfn.LET(_xlpm.base, " " &amp; LOWER(TRIM($AE253))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sep</v>
      </c>
    </row>
    <row r="254" spans="1:32" ht="33.75">
      <c r="A254" s="8">
        <v>2021</v>
      </c>
      <c r="B254" s="10" t="s">
        <v>115</v>
      </c>
      <c r="C254" s="8" t="s">
        <v>33</v>
      </c>
      <c r="D254" s="20">
        <v>33</v>
      </c>
      <c r="E254" s="11" t="str">
        <f>IF(D254="","",IFERROR(INDEX(SSP!$E$2:$E$266, MATCH(D254, SSP!$F$2:$F$266, 0)),""))</f>
        <v>Douleur, rougeur, prurit oculaire ; écoulement oculaire</v>
      </c>
      <c r="F254" s="11" t="str">
        <f>Feuil1!E254</f>
        <v> </v>
      </c>
      <c r="G254" s="12" t="s">
        <v>244</v>
      </c>
      <c r="H254" s="13" t="s">
        <v>359</v>
      </c>
      <c r="I254" s="13"/>
      <c r="J254" s="15" t="s">
        <v>33</v>
      </c>
      <c r="K254" s="9" t="s">
        <v>33</v>
      </c>
      <c r="L254" s="9" t="s">
        <v>33</v>
      </c>
      <c r="M254" s="9" t="s">
        <v>33</v>
      </c>
      <c r="N254" t="s">
        <v>359</v>
      </c>
      <c r="O254" t="str">
        <f>IFERROR(_xlfn.XLOOKUP($D254, SSP!$F:$F, SSP!$E:$E, "Inconnu"), "")</f>
        <v>Douleur, rougeur, prurit oculaire ; écoulement oculaire</v>
      </c>
      <c r="P254" t="str">
        <f>IF(OR(E254="", O254=""), "", IF(LOWER(E254)=LOWER(O254), "OK", "⚠️ Libellé ≠ n°"))</f>
        <v>OK</v>
      </c>
      <c r="Q254" t="str">
        <f>IF(Feuil1!$E254="", "", IF(LOWER(Feuil1!$E254)=LOWER(E254), "Identique", "Différent"))</f>
        <v>Différent</v>
      </c>
      <c r="R254" t="str">
        <f>IF(OR(P254="⚠️ Libellé ≠ n°", O254="Inconnu"), "⚠️", IF(Q254="Différent", "ℹ️", ""))</f>
        <v>ℹ️</v>
      </c>
      <c r="S254" t="str" cm="1">
        <f t="array" ref="S254">_xlfn.LET(_xlpm.genCat,IFERROR(LOWER(TRIM(G254)),""),_xlpm.principal,IFERROR(LOWER(TRIM(H254)),""),_xlpm.orig,IFERROR(LOWER(TRIM(N254)),""),IF(OR(_xlpm.genCat="",_xlpm.principal=""),"",IF(LEFT(LOWER(G254),5)="autre","OK (Autre)",IF(OR(ISNUMBER(SEARCH(_xlpm.genCat,_xlpm.principal)),ISNUMBER(SEARCH(_xlpm.principal,_xlpm.genCat)),AND(_xlpm.orig&lt;&gt;"",OR(ISNUMBER(SEARCH(_xlpm.genCat,_xlpm.orig)),ISNUMBER(SEARCH(_xlpm.orig,_xlpm.genCat))))),"OK","⚠️ À vérifier"))))</f>
        <v>OK</v>
      </c>
      <c r="T254" t="str">
        <f>IF(S254="","",IF(S254="OK (Autre)","Diagnostic générique = 'Autre – …'",IF(S254="OK","Concordance générique/principal","Écart entre générique et principal")))</f>
        <v>Concordance générique/principal</v>
      </c>
      <c r="U254" t="str" cm="1">
        <f t="array" ref="U254">_xlfn.LET(_xlpm.yr, A254, _xlpm.diag, IF(N254&lt;&gt;"", N254, H254), _xlpm.base, TRIM(SUBSTITUTE(SUBSTITUTE(SUBSTITUTE(SUBSTITUTE(_xlpm.diag,"•"," "),CHAR(160)," "),CHAR(10)," "),"  "," ")), LOWER(_xlpm.yr&amp;"|"&amp;_xlpm.base))</f>
        <v>2021|glaucome aigu</v>
      </c>
      <c r="V254" t="str">
        <f>IFERROR(_xlfn.XLOOKUP($AB254,'Cas 2013-2017'!$K:$K,'Cas 2013-2017'!$D:$D,""),"")</f>
        <v/>
      </c>
      <c r="W254" t="str">
        <f>IFERROR(_xlfn.XLOOKUP($AB254,'Cas 2013-2017'!$K:$K,'Cas 2013-2017'!$E:$E,""),"")</f>
        <v/>
      </c>
      <c r="X254" t="str">
        <f>IFERROR(_xlfn.XLOOKUP($AB254,'Cas 2013-2017'!$K:$K,'Cas 2013-2017'!$F:$F,""),"")</f>
        <v/>
      </c>
      <c r="Y254" t="str">
        <f>IFERROR(_xlfn.XLOOKUP($AB254,'Cas 2013-2017'!$K:$K,'Cas 2013-2017'!$G:$G,""),"")</f>
        <v/>
      </c>
      <c r="Z254" t="str">
        <f>IFERROR(_xlfn.XLOOKUP($AB254,'Cas 2013-2017'!$K:$K,'Cas 2013-2017'!$I:$I,""),"")</f>
        <v/>
      </c>
      <c r="AA254" t="str">
        <f>IFERROR(_xlfn.XLOOKUP($AB254,'Cas 2013-2017'!$K:$K,'Cas 2013-2017'!$H:$H,""),"")</f>
        <v/>
      </c>
      <c r="AB254" t="str">
        <f>LOWER($A254 &amp; "|" &amp; $AF254)</f>
        <v>2021|glaucome aigu</v>
      </c>
      <c r="AC254" t="str">
        <f>TRIM(SUBSTITUTE(SUBSTITUTE(SUBSTITUTE(SUBSTITUTE(" " &amp; LOWER(TRIM(IF($N254&lt;&gt;"", $N254, $H254))) &amp; " ", " aomi ", " arteriopathie des membres inferieurs "), " hta ", " hypertension arterielle "), " saos ", " syndrome d'apnees obstructives du sommeil "), " rgo ", " reflux gastro-oesophagien ") )</f>
        <v>glaucome aigu</v>
      </c>
      <c r="AD254" t="str">
        <f>TRIM(SUBSTITUTE(SUBSTITUTE(SUBSTITUTE(SUBSTITUTE(" " &amp; LOWER(TRIM($AC254)) &amp; " ", " oacr ", " occlusion de l'artere centrale de la retine "), " hsd ", " hematome sous-dural "), " fa ", " fibrillation auriculaire "), " ep ", " embolie pulmonaire ") )</f>
        <v>glaucome aigu</v>
      </c>
      <c r="AE254" t="str" cm="1">
        <f t="array" ref="AE254">_xlfn.LET(_xlpm.base, " " &amp; LOWER(TRIM($AD254))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glaucome aigu</v>
      </c>
      <c r="AF254" t="str" cm="1">
        <f t="array" ref="AF254">_xlfn.LET(_xlpm.base, " " &amp; LOWER(TRIM($AE254))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glaucome aigu</v>
      </c>
    </row>
    <row r="255" spans="1:32" ht="16.5">
      <c r="A255" s="8">
        <v>2021</v>
      </c>
      <c r="B255" s="10" t="s">
        <v>100</v>
      </c>
      <c r="C255" s="8" t="s">
        <v>33</v>
      </c>
      <c r="D255" s="20">
        <v>100</v>
      </c>
      <c r="E255" s="11" t="str">
        <f>IF(D255="","",IFERROR(INDEX(SSP!$E$2:$E$266, MATCH(D255, SSP!$F$2:$F$266, 0)),""))</f>
        <v>Vertiges, étourdissements</v>
      </c>
      <c r="F255" s="11" t="str">
        <f>Feuil1!E255</f>
        <v>Vertige</v>
      </c>
      <c r="G255" s="12" t="s">
        <v>493</v>
      </c>
      <c r="H255" s="13" t="s">
        <v>862</v>
      </c>
      <c r="I255" s="13"/>
      <c r="J255" s="15" t="s">
        <v>611</v>
      </c>
      <c r="K255" s="9" t="s">
        <v>33</v>
      </c>
      <c r="L255" s="9" t="s">
        <v>33</v>
      </c>
      <c r="M255" s="9" t="s">
        <v>33</v>
      </c>
      <c r="N255" t="s">
        <v>862</v>
      </c>
      <c r="O255" t="str">
        <f>IFERROR(_xlfn.XLOOKUP($D255, SSP!$F:$F, SSP!$E:$E, "Inconnu"), "")</f>
        <v>Vertiges, étourdissements</v>
      </c>
      <c r="P255" t="str">
        <f>IF(OR(E255="", O255=""), "", IF(LOWER(E255)=LOWER(O255), "OK", "⚠️ Libellé ≠ n°"))</f>
        <v>OK</v>
      </c>
      <c r="Q255" t="str">
        <f>IF(Feuil1!$E255="", "", IF(LOWER(Feuil1!$E255)=LOWER(E255), "Identique", "Différent"))</f>
        <v>Différent</v>
      </c>
      <c r="R255" t="str">
        <f>IF(OR(P255="⚠️ Libellé ≠ n°", O255="Inconnu"), "⚠️", IF(Q255="Différent", "ℹ️", ""))</f>
        <v>ℹ️</v>
      </c>
      <c r="S255" t="str" cm="1">
        <f t="array" ref="S255">_xlfn.LET(_xlpm.genCat,IFERROR(LOWER(TRIM(G255)),""),_xlpm.principal,IFERROR(LOWER(TRIM(H255)),""),_xlpm.orig,IFERROR(LOWER(TRIM(N255)),""),IF(OR(_xlpm.genCat="",_xlpm.principal=""),"",IF(LEFT(LOWER(G255),5)="autre","OK (Autre)",IF(OR(ISNUMBER(SEARCH(_xlpm.genCat,_xlpm.principal)),ISNUMBER(SEARCH(_xlpm.principal,_xlpm.genCat)),AND(_xlpm.orig&lt;&gt;"",OR(ISNUMBER(SEARCH(_xlpm.genCat,_xlpm.orig)),ISNUMBER(SEARCH(_xlpm.orig,_xlpm.genCat))))),"OK","⚠️ À vérifier"))))</f>
        <v>⚠️ À vérifier</v>
      </c>
      <c r="T255" t="str">
        <f>IF(S255="","",IF(S255="OK (Autre)","Diagnostic générique = 'Autre – …'",IF(S255="OK","Concordance générique/principal","Écart entre générique et principal")))</f>
        <v>Écart entre générique et principal</v>
      </c>
      <c r="U255" t="str" cm="1">
        <f t="array" ref="U255">_xlfn.LET(_xlpm.yr, A255, _xlpm.diag, IF(N255&lt;&gt;"", N255, H255), _xlpm.base, TRIM(SUBSTITUTE(SUBSTITUTE(SUBSTITUTE(SUBSTITUTE(_xlpm.diag,"•"," "),CHAR(160)," "),CHAR(10)," "),"  "," ")), LOWER(_xlpm.yr&amp;"|"&amp;_xlpm.base))</f>
        <v>2021|vertige vestibulaire</v>
      </c>
      <c r="V255" t="str">
        <f>IFERROR(_xlfn.XLOOKUP($AB255,'Cas 2013-2017'!$K:$K,'Cas 2013-2017'!$D:$D,""),"")</f>
        <v/>
      </c>
      <c r="W255" t="str">
        <f>IFERROR(_xlfn.XLOOKUP($AB255,'Cas 2013-2017'!$K:$K,'Cas 2013-2017'!$E:$E,""),"")</f>
        <v/>
      </c>
      <c r="X255" t="str">
        <f>IFERROR(_xlfn.XLOOKUP($AB255,'Cas 2013-2017'!$K:$K,'Cas 2013-2017'!$F:$F,""),"")</f>
        <v/>
      </c>
      <c r="Y255" t="str">
        <f>IFERROR(_xlfn.XLOOKUP($AB255,'Cas 2013-2017'!$K:$K,'Cas 2013-2017'!$G:$G,""),"")</f>
        <v/>
      </c>
      <c r="Z255" t="str">
        <f>IFERROR(_xlfn.XLOOKUP($AB255,'Cas 2013-2017'!$K:$K,'Cas 2013-2017'!$I:$I,""),"")</f>
        <v/>
      </c>
      <c r="AA255" t="str">
        <f>IFERROR(_xlfn.XLOOKUP($AB255,'Cas 2013-2017'!$K:$K,'Cas 2013-2017'!$H:$H,""),"")</f>
        <v/>
      </c>
      <c r="AB255" t="str">
        <f>LOWER($A255 &amp; "|" &amp; $AF255)</f>
        <v>2021|vertige vestibulaire</v>
      </c>
      <c r="AC255" t="str">
        <f>TRIM(SUBSTITUTE(SUBSTITUTE(SUBSTITUTE(SUBSTITUTE(" " &amp; LOWER(TRIM(IF($N255&lt;&gt;"", $N255, $H255))) &amp; " ", " aomi ", " arteriopathie des membres inferieurs "), " hta ", " hypertension arterielle "), " saos ", " syndrome d'apnees obstructives du sommeil "), " rgo ", " reflux gastro-oesophagien ") )</f>
        <v>vertige vestibulaire</v>
      </c>
      <c r="AD255" t="str">
        <f>TRIM(SUBSTITUTE(SUBSTITUTE(SUBSTITUTE(SUBSTITUTE(" " &amp; LOWER(TRIM($AC255)) &amp; " ", " oacr ", " occlusion de l'artere centrale de la retine "), " hsd ", " hematome sous-dural "), " fa ", " fibrillation auriculaire "), " ep ", " embolie pulmonaire ") )</f>
        <v>vertige vestibulaire</v>
      </c>
      <c r="AE255" t="str" cm="1">
        <f t="array" ref="AE255">_xlfn.LET(_xlpm.base, " " &amp; LOWER(TRIM($AD255))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vertige vestibulaire</v>
      </c>
      <c r="AF255" t="str" cm="1">
        <f t="array" ref="AF255">_xlfn.LET(_xlpm.base, " " &amp; LOWER(TRIM($AE255))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vertige vestibulaire</v>
      </c>
    </row>
    <row r="256" spans="1:32" ht="33.75">
      <c r="A256" s="8">
        <v>2021</v>
      </c>
      <c r="B256" s="10" t="s">
        <v>82</v>
      </c>
      <c r="C256" s="8" t="s">
        <v>33</v>
      </c>
      <c r="D256" s="20">
        <v>47</v>
      </c>
      <c r="E256" s="11" t="str">
        <f>IF(D256="","",IFERROR(INDEX(SSP!$E$2:$E$266, MATCH(D256, SSP!$F$2:$F$266, 0)),""))</f>
        <v>Pyrosis (brûlures rétrosternales)</v>
      </c>
      <c r="F256" s="11" t="str">
        <f>Feuil1!E256</f>
        <v> </v>
      </c>
      <c r="G256" s="12" t="s">
        <v>630</v>
      </c>
      <c r="H256" s="13" t="s">
        <v>863</v>
      </c>
      <c r="I256" s="13"/>
      <c r="J256" s="15" t="s">
        <v>864</v>
      </c>
      <c r="K256" s="9" t="s">
        <v>865</v>
      </c>
      <c r="L256" s="9" t="s">
        <v>33</v>
      </c>
      <c r="M256" s="9" t="s">
        <v>33</v>
      </c>
      <c r="N256" t="s">
        <v>863</v>
      </c>
      <c r="O256" t="str">
        <f>IFERROR(_xlfn.XLOOKUP($D256, SSP!$F:$F, SSP!$E:$E, "Inconnu"), "")</f>
        <v>Pyrosis (brûlures rétrosternales)</v>
      </c>
      <c r="P256" t="str">
        <f>IF(OR(E256="", O256=""), "", IF(LOWER(E256)=LOWER(O256), "OK", "⚠️ Libellé ≠ n°"))</f>
        <v>OK</v>
      </c>
      <c r="Q256" t="str">
        <f>IF(Feuil1!$E256="", "", IF(LOWER(Feuil1!$E256)=LOWER(E256), "Identique", "Différent"))</f>
        <v>Différent</v>
      </c>
      <c r="R256" t="str">
        <f>IF(OR(P256="⚠️ Libellé ≠ n°", O256="Inconnu"), "⚠️", IF(Q256="Différent", "ℹ️", ""))</f>
        <v>ℹ️</v>
      </c>
      <c r="S256" t="str" cm="1">
        <f t="array" ref="S256">_xlfn.LET(_xlpm.genCat,IFERROR(LOWER(TRIM(G256)),""),_xlpm.principal,IFERROR(LOWER(TRIM(H256)),""),_xlpm.orig,IFERROR(LOWER(TRIM(N256)),""),IF(OR(_xlpm.genCat="",_xlpm.principal=""),"",IF(LEFT(LOWER(G256),5)="autre","OK (Autre)",IF(OR(ISNUMBER(SEARCH(_xlpm.genCat,_xlpm.principal)),ISNUMBER(SEARCH(_xlpm.principal,_xlpm.genCat)),AND(_xlpm.orig&lt;&gt;"",OR(ISNUMBER(SEARCH(_xlpm.genCat,_xlpm.orig)),ISNUMBER(SEARCH(_xlpm.orig,_xlpm.genCat))))),"OK","⚠️ À vérifier"))))</f>
        <v>⚠️ À vérifier</v>
      </c>
      <c r="T256" t="str">
        <f>IF(S256="","",IF(S256="OK (Autre)","Diagnostic générique = 'Autre – …'",IF(S256="OK","Concordance générique/principal","Écart entre générique et principal")))</f>
        <v>Écart entre générique et principal</v>
      </c>
      <c r="U256" t="str" cm="1">
        <f t="array" ref="U256">_xlfn.LET(_xlpm.yr, A256, _xlpm.diag, IF(N256&lt;&gt;"", N256, H256), _xlpm.base, TRIM(SUBSTITUTE(SUBSTITUTE(SUBSTITUTE(SUBSTITUTE(_xlpm.diag,"•"," "),CHAR(160)," "),CHAR(10)," "),"  "," ")), LOWER(_xlpm.yr&amp;"|"&amp;_xlpm.base))</f>
        <v>2021|consentement pour pl</v>
      </c>
      <c r="V256" t="str">
        <f>IFERROR(_xlfn.XLOOKUP($AB256,'Cas 2013-2017'!$K:$K,'Cas 2013-2017'!$D:$D,""),"")</f>
        <v/>
      </c>
      <c r="W256" t="str">
        <f>IFERROR(_xlfn.XLOOKUP($AB256,'Cas 2013-2017'!$K:$K,'Cas 2013-2017'!$E:$E,""),"")</f>
        <v/>
      </c>
      <c r="X256" t="str">
        <f>IFERROR(_xlfn.XLOOKUP($AB256,'Cas 2013-2017'!$K:$K,'Cas 2013-2017'!$F:$F,""),"")</f>
        <v/>
      </c>
      <c r="Y256" t="str">
        <f>IFERROR(_xlfn.XLOOKUP($AB256,'Cas 2013-2017'!$K:$K,'Cas 2013-2017'!$G:$G,""),"")</f>
        <v/>
      </c>
      <c r="Z256" t="str">
        <f>IFERROR(_xlfn.XLOOKUP($AB256,'Cas 2013-2017'!$K:$K,'Cas 2013-2017'!$I:$I,""),"")</f>
        <v/>
      </c>
      <c r="AA256" t="str">
        <f>IFERROR(_xlfn.XLOOKUP($AB256,'Cas 2013-2017'!$K:$K,'Cas 2013-2017'!$H:$H,""),"")</f>
        <v/>
      </c>
      <c r="AB256" t="str">
        <f>LOWER($A256 &amp; "|" &amp; $AF256)</f>
        <v>2021|consentement pour pl</v>
      </c>
      <c r="AC256" t="str">
        <f>TRIM(SUBSTITUTE(SUBSTITUTE(SUBSTITUTE(SUBSTITUTE(" " &amp; LOWER(TRIM(IF($N256&lt;&gt;"", $N256, $H256))) &amp; " ", " aomi ", " arteriopathie des membres inferieurs "), " hta ", " hypertension arterielle "), " saos ", " syndrome d'apnees obstructives du sommeil "), " rgo ", " reflux gastro-oesophagien ") )</f>
        <v>consentement pour pl</v>
      </c>
      <c r="AD256" t="str">
        <f>TRIM(SUBSTITUTE(SUBSTITUTE(SUBSTITUTE(SUBSTITUTE(" " &amp; LOWER(TRIM($AC256)) &amp; " ", " oacr ", " occlusion de l'artere centrale de la retine "), " hsd ", " hematome sous-dural "), " fa ", " fibrillation auriculaire "), " ep ", " embolie pulmonaire ") )</f>
        <v>consentement pour pl</v>
      </c>
      <c r="AE256" t="str" cm="1">
        <f t="array" ref="AE256">_xlfn.LET(_xlpm.base, " " &amp; LOWER(TRIM($AD256))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consentement pour pl</v>
      </c>
      <c r="AF256" t="str" cm="1">
        <f t="array" ref="AF256">_xlfn.LET(_xlpm.base, " " &amp; LOWER(TRIM($AE256))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consentement pour pl</v>
      </c>
    </row>
    <row r="257" spans="1:32" ht="33.75">
      <c r="A257" s="8">
        <v>2021</v>
      </c>
      <c r="B257" s="10" t="s">
        <v>82</v>
      </c>
      <c r="C257" s="8" t="s">
        <v>33</v>
      </c>
      <c r="D257" s="20">
        <v>187</v>
      </c>
      <c r="E257" s="11" t="str">
        <f>IF(D257="","",IFERROR(INDEX(SSP!$E$2:$E$266, MATCH(D257, SSP!$F$2:$F$266, 0)),""))</f>
        <v>Vaccination de l’enfant</v>
      </c>
      <c r="F257" s="11" t="str">
        <f>Feuil1!E257</f>
        <v>Vaccination / voyage</v>
      </c>
      <c r="G257" s="12" t="s">
        <v>83</v>
      </c>
      <c r="H257" s="13" t="s">
        <v>725</v>
      </c>
      <c r="I257" s="13"/>
      <c r="J257" s="15" t="s">
        <v>866</v>
      </c>
      <c r="K257" s="9" t="s">
        <v>867</v>
      </c>
      <c r="L257" s="9" t="s">
        <v>33</v>
      </c>
      <c r="M257" s="9" t="s">
        <v>33</v>
      </c>
      <c r="N257" t="s">
        <v>725</v>
      </c>
      <c r="O257" t="str">
        <f>IFERROR(_xlfn.XLOOKUP($D257, SSP!$F:$F, SSP!$E:$E, "Inconnu"), "")</f>
        <v>Vaccination de l’enfant</v>
      </c>
      <c r="P257" t="str">
        <f>IF(OR(E257="", O257=""), "", IF(LOWER(E257)=LOWER(O257), "OK", "⚠️ Libellé ≠ n°"))</f>
        <v>OK</v>
      </c>
      <c r="Q257" t="str">
        <f>IF(Feuil1!$E257="", "", IF(LOWER(Feuil1!$E257)=LOWER(E257), "Identique", "Différent"))</f>
        <v>Différent</v>
      </c>
      <c r="R257" t="str">
        <f>IF(OR(P257="⚠️ Libellé ≠ n°", O257="Inconnu"), "⚠️", IF(Q257="Différent", "ℹ️", ""))</f>
        <v>ℹ️</v>
      </c>
      <c r="S257" t="str" cm="1">
        <f t="array" ref="S257">_xlfn.LET(_xlpm.genCat,IFERROR(LOWER(TRIM(G257)),""),_xlpm.principal,IFERROR(LOWER(TRIM(H257)),""),_xlpm.orig,IFERROR(LOWER(TRIM(N257)),""),IF(OR(_xlpm.genCat="",_xlpm.principal=""),"",IF(LEFT(LOWER(G257),5)="autre","OK (Autre)",IF(OR(ISNUMBER(SEARCH(_xlpm.genCat,_xlpm.principal)),ISNUMBER(SEARCH(_xlpm.principal,_xlpm.genCat)),AND(_xlpm.orig&lt;&gt;"",OR(ISNUMBER(SEARCH(_xlpm.genCat,_xlpm.orig)),ISNUMBER(SEARCH(_xlpm.orig,_xlpm.genCat))))),"OK","⚠️ À vérifier"))))</f>
        <v>OK (Autre)</v>
      </c>
      <c r="T257" t="str">
        <f>IF(S257="","",IF(S257="OK (Autre)","Diagnostic générique = 'Autre – …'",IF(S257="OK","Concordance générique/principal","Écart entre générique et principal")))</f>
        <v>Diagnostic générique = 'Autre – …'</v>
      </c>
      <c r="U257" t="str" cm="1">
        <f t="array" ref="U257">_xlfn.LET(_xlpm.yr, A257, _xlpm.diag, IF(N257&lt;&gt;"", N257, H257), _xlpm.base, TRIM(SUBSTITUTE(SUBSTITUTE(SUBSTITUTE(SUBSTITUTE(_xlpm.diag,"•"," "),CHAR(160)," "),CHAR(10)," "),"  "," ")), LOWER(_xlpm.yr&amp;"|"&amp;_xlpm.base))</f>
        <v>2021|vaccinations</v>
      </c>
      <c r="V257" t="str">
        <f>IFERROR(_xlfn.XLOOKUP($AB257,'Cas 2013-2017'!$K:$K,'Cas 2013-2017'!$D:$D,""),"")</f>
        <v/>
      </c>
      <c r="W257" t="str">
        <f>IFERROR(_xlfn.XLOOKUP($AB257,'Cas 2013-2017'!$K:$K,'Cas 2013-2017'!$E:$E,""),"")</f>
        <v/>
      </c>
      <c r="X257" t="str">
        <f>IFERROR(_xlfn.XLOOKUP($AB257,'Cas 2013-2017'!$K:$K,'Cas 2013-2017'!$F:$F,""),"")</f>
        <v/>
      </c>
      <c r="Y257" t="str">
        <f>IFERROR(_xlfn.XLOOKUP($AB257,'Cas 2013-2017'!$K:$K,'Cas 2013-2017'!$G:$G,""),"")</f>
        <v/>
      </c>
      <c r="Z257" t="str">
        <f>IFERROR(_xlfn.XLOOKUP($AB257,'Cas 2013-2017'!$K:$K,'Cas 2013-2017'!$I:$I,""),"")</f>
        <v/>
      </c>
      <c r="AA257" t="str">
        <f>IFERROR(_xlfn.XLOOKUP($AB257,'Cas 2013-2017'!$K:$K,'Cas 2013-2017'!$H:$H,""),"")</f>
        <v/>
      </c>
      <c r="AB257" t="str">
        <f>LOWER($A257 &amp; "|" &amp; $AF257)</f>
        <v>2021|vaccinations</v>
      </c>
      <c r="AC257" t="str">
        <f>TRIM(SUBSTITUTE(SUBSTITUTE(SUBSTITUTE(SUBSTITUTE(" " &amp; LOWER(TRIM(IF($N257&lt;&gt;"", $N257, $H257))) &amp; " ", " aomi ", " arteriopathie des membres inferieurs "), " hta ", " hypertension arterielle "), " saos ", " syndrome d'apnees obstructives du sommeil "), " rgo ", " reflux gastro-oesophagien ") )</f>
        <v>vaccinations</v>
      </c>
      <c r="AD257" t="str">
        <f>TRIM(SUBSTITUTE(SUBSTITUTE(SUBSTITUTE(SUBSTITUTE(" " &amp; LOWER(TRIM($AC257)) &amp; " ", " oacr ", " occlusion de l'artere centrale de la retine "), " hsd ", " hematome sous-dural "), " fa ", " fibrillation auriculaire "), " ep ", " embolie pulmonaire ") )</f>
        <v>vaccinations</v>
      </c>
      <c r="AE257" t="str" cm="1">
        <f t="array" ref="AE257">_xlfn.LET(_xlpm.base, " " &amp; LOWER(TRIM($AD257))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vaccinations</v>
      </c>
      <c r="AF257" t="str" cm="1">
        <f t="array" ref="AF257">_xlfn.LET(_xlpm.base, " " &amp; LOWER(TRIM($AE257))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vaccinations</v>
      </c>
    </row>
    <row r="258" spans="1:32" ht="16.5">
      <c r="A258" s="8">
        <v>2021</v>
      </c>
      <c r="B258" s="10" t="s">
        <v>133</v>
      </c>
      <c r="C258" s="8" t="s">
        <v>33</v>
      </c>
      <c r="D258" s="20">
        <v>46</v>
      </c>
      <c r="E258" s="11" t="str">
        <f>IF(D258="","",IFERROR(INDEX(SSP!$E$2:$E$266, MATCH(D258, SSP!$F$2:$F$266, 0)),""))</f>
        <v>Dyspnée</v>
      </c>
      <c r="F258" s="11" t="str">
        <f>Feuil1!E258</f>
        <v>Douleur thoracique</v>
      </c>
      <c r="G258" s="12" t="s">
        <v>134</v>
      </c>
      <c r="H258" s="13" t="s">
        <v>868</v>
      </c>
      <c r="I258" s="13"/>
      <c r="J258" s="16" t="s">
        <v>165</v>
      </c>
      <c r="K258" s="9" t="s">
        <v>33</v>
      </c>
      <c r="L258" s="9" t="s">
        <v>33</v>
      </c>
      <c r="M258" s="9" t="s">
        <v>33</v>
      </c>
      <c r="N258" t="s">
        <v>868</v>
      </c>
      <c r="O258" t="str">
        <f>IFERROR(_xlfn.XLOOKUP($D258, SSP!$F:$F, SSP!$E:$E, "Inconnu"), "")</f>
        <v>Dyspnée</v>
      </c>
      <c r="P258" t="str">
        <f>IF(OR(E258="", O258=""), "", IF(LOWER(E258)=LOWER(O258), "OK", "⚠️ Libellé ≠ n°"))</f>
        <v>OK</v>
      </c>
      <c r="Q258" t="str">
        <f>IF(Feuil1!$E258="", "", IF(LOWER(Feuil1!$E258)=LOWER(E258), "Identique", "Différent"))</f>
        <v>Différent</v>
      </c>
      <c r="R258" t="str">
        <f>IF(OR(P258="⚠️ Libellé ≠ n°", O258="Inconnu"), "⚠️", IF(Q258="Différent", "ℹ️", ""))</f>
        <v>ℹ️</v>
      </c>
      <c r="S258" t="str" cm="1">
        <f t="array" ref="S258">_xlfn.LET(_xlpm.genCat,IFERROR(LOWER(TRIM(G258)),""),_xlpm.principal,IFERROR(LOWER(TRIM(H258)),""),_xlpm.orig,IFERROR(LOWER(TRIM(N258)),""),IF(OR(_xlpm.genCat="",_xlpm.principal=""),"",IF(LEFT(LOWER(G258),5)="autre","OK (Autre)",IF(OR(ISNUMBER(SEARCH(_xlpm.genCat,_xlpm.principal)),ISNUMBER(SEARCH(_xlpm.principal,_xlpm.genCat)),AND(_xlpm.orig&lt;&gt;"",OR(ISNUMBER(SEARCH(_xlpm.genCat,_xlpm.orig)),ISNUMBER(SEARCH(_xlpm.orig,_xlpm.genCat))))),"OK","⚠️ À vérifier"))))</f>
        <v>OK</v>
      </c>
      <c r="T258" t="str">
        <f>IF(S258="","",IF(S258="OK (Autre)","Diagnostic générique = 'Autre – …'",IF(S258="OK","Concordance générique/principal","Écart entre générique et principal")))</f>
        <v>Concordance générique/principal</v>
      </c>
      <c r="U258" t="str" cm="1">
        <f t="array" ref="U258">_xlfn.LET(_xlpm.yr, A258, _xlpm.diag, IF(N258&lt;&gt;"", N258, H258), _xlpm.base, TRIM(SUBSTITUTE(SUBSTITUTE(SUBSTITUTE(SUBSTITUTE(_xlpm.diag,"•"," "),CHAR(160)," "),CHAR(10)," "),"  "," ")), LOWER(_xlpm.yr&amp;"|"&amp;_xlpm.base))</f>
        <v>2021|pneumothorax (ptx)</v>
      </c>
      <c r="V258" t="str">
        <f>IFERROR(_xlfn.XLOOKUP($AB258,'Cas 2013-2017'!$K:$K,'Cas 2013-2017'!$D:$D,""),"")</f>
        <v/>
      </c>
      <c r="W258" t="str">
        <f>IFERROR(_xlfn.XLOOKUP($AB258,'Cas 2013-2017'!$K:$K,'Cas 2013-2017'!$E:$E,""),"")</f>
        <v/>
      </c>
      <c r="X258" t="str">
        <f>IFERROR(_xlfn.XLOOKUP($AB258,'Cas 2013-2017'!$K:$K,'Cas 2013-2017'!$F:$F,""),"")</f>
        <v/>
      </c>
      <c r="Y258" t="str">
        <f>IFERROR(_xlfn.XLOOKUP($AB258,'Cas 2013-2017'!$K:$K,'Cas 2013-2017'!$G:$G,""),"")</f>
        <v/>
      </c>
      <c r="Z258" t="str">
        <f>IFERROR(_xlfn.XLOOKUP($AB258,'Cas 2013-2017'!$K:$K,'Cas 2013-2017'!$I:$I,""),"")</f>
        <v/>
      </c>
      <c r="AA258" t="str">
        <f>IFERROR(_xlfn.XLOOKUP($AB258,'Cas 2013-2017'!$K:$K,'Cas 2013-2017'!$H:$H,""),"")</f>
        <v/>
      </c>
      <c r="AB258" t="str">
        <f>LOWER($A258 &amp; "|" &amp; $AF258)</f>
        <v>2021|pneumothorax (ptx)</v>
      </c>
      <c r="AC258" t="str">
        <f>TRIM(SUBSTITUTE(SUBSTITUTE(SUBSTITUTE(SUBSTITUTE(" " &amp; LOWER(TRIM(IF($N258&lt;&gt;"", $N258, $H258))) &amp; " ", " aomi ", " arteriopathie des membres inferieurs "), " hta ", " hypertension arterielle "), " saos ", " syndrome d'apnees obstructives du sommeil "), " rgo ", " reflux gastro-oesophagien ") )</f>
        <v>pneumothorax (ptx)</v>
      </c>
      <c r="AD258" t="str">
        <f>TRIM(SUBSTITUTE(SUBSTITUTE(SUBSTITUTE(SUBSTITUTE(" " &amp; LOWER(TRIM($AC258)) &amp; " ", " oacr ", " occlusion de l'artere centrale de la retine "), " hsd ", " hematome sous-dural "), " fa ", " fibrillation auriculaire "), " ep ", " embolie pulmonaire ") )</f>
        <v>pneumothorax (ptx)</v>
      </c>
      <c r="AE258" t="str" cm="1">
        <f t="array" ref="AE258">_xlfn.LET(_xlpm.base, " " &amp; LOWER(TRIM($AD258))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pneumothorax (ptx)</v>
      </c>
      <c r="AF258" t="str" cm="1">
        <f t="array" ref="AF258">_xlfn.LET(_xlpm.base, " " &amp; LOWER(TRIM($AE258))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pneumothorax (ptx)</v>
      </c>
    </row>
    <row r="259" spans="1:32" ht="16.5">
      <c r="A259" s="8">
        <v>2021</v>
      </c>
      <c r="B259" s="10" t="s">
        <v>82</v>
      </c>
      <c r="C259" s="8" t="s">
        <v>33</v>
      </c>
      <c r="D259" s="20">
        <v>47</v>
      </c>
      <c r="E259" s="11" t="str">
        <f>IF(D259="","",IFERROR(INDEX(SSP!$E$2:$E$266, MATCH(D259, SSP!$F$2:$F$266, 0)),""))</f>
        <v>Pyrosis (brûlures rétrosternales)</v>
      </c>
      <c r="F259" s="11" t="str">
        <f>Feuil1!E259</f>
        <v> </v>
      </c>
      <c r="G259" s="12" t="s">
        <v>630</v>
      </c>
      <c r="H259" s="13" t="s">
        <v>631</v>
      </c>
      <c r="I259" s="13"/>
      <c r="J259" s="15" t="s">
        <v>631</v>
      </c>
      <c r="K259" s="9" t="s">
        <v>33</v>
      </c>
      <c r="L259" s="9" t="s">
        <v>33</v>
      </c>
      <c r="M259" s="9" t="s">
        <v>33</v>
      </c>
      <c r="N259" t="s">
        <v>631</v>
      </c>
      <c r="O259" t="str">
        <f>IFERROR(_xlfn.XLOOKUP($D259, SSP!$F:$F, SSP!$E:$E, "Inconnu"), "")</f>
        <v>Pyrosis (brûlures rétrosternales)</v>
      </c>
      <c r="P259" t="str">
        <f>IF(OR(E259="", O259=""), "", IF(LOWER(E259)=LOWER(O259), "OK", "⚠️ Libellé ≠ n°"))</f>
        <v>OK</v>
      </c>
      <c r="Q259" t="str">
        <f>IF(Feuil1!$E259="", "", IF(LOWER(Feuil1!$E259)=LOWER(E259), "Identique", "Différent"))</f>
        <v>Différent</v>
      </c>
      <c r="R259" t="str">
        <f>IF(OR(P259="⚠️ Libellé ≠ n°", O259="Inconnu"), "⚠️", IF(Q259="Différent", "ℹ️", ""))</f>
        <v>ℹ️</v>
      </c>
      <c r="S259" t="str" cm="1">
        <f t="array" ref="S259">_xlfn.LET(_xlpm.genCat,IFERROR(LOWER(TRIM(G259)),""),_xlpm.principal,IFERROR(LOWER(TRIM(H259)),""),_xlpm.orig,IFERROR(LOWER(TRIM(N259)),""),IF(OR(_xlpm.genCat="",_xlpm.principal=""),"",IF(LEFT(LOWER(G259),5)="autre","OK (Autre)",IF(OR(ISNUMBER(SEARCH(_xlpm.genCat,_xlpm.principal)),ISNUMBER(SEARCH(_xlpm.principal,_xlpm.genCat)),AND(_xlpm.orig&lt;&gt;"",OR(ISNUMBER(SEARCH(_xlpm.genCat,_xlpm.orig)),ISNUMBER(SEARCH(_xlpm.orig,_xlpm.genCat))))),"OK","⚠️ À vérifier"))))</f>
        <v>⚠️ À vérifier</v>
      </c>
      <c r="T259" t="str">
        <f>IF(S259="","",IF(S259="OK (Autre)","Diagnostic générique = 'Autre – …'",IF(S259="OK","Concordance générique/principal","Écart entre générique et principal")))</f>
        <v>Écart entre générique et principal</v>
      </c>
      <c r="U259" t="str" cm="1">
        <f t="array" ref="U259">_xlfn.LET(_xlpm.yr, A259, _xlpm.diag, IF(N259&lt;&gt;"", N259, H259), _xlpm.base, TRIM(SUBSTITUTE(SUBSTITUTE(SUBSTITUTE(SUBSTITUTE(_xlpm.diag,"•"," "),CHAR(160)," "),CHAR(10)," "),"  "," ")), LOWER(_xlpm.yr&amp;"|"&amp;_xlpm.base))</f>
        <v>2021|capacité de discernement</v>
      </c>
      <c r="V259" t="str">
        <f>IFERROR(_xlfn.XLOOKUP($AB259,'Cas 2013-2017'!$K:$K,'Cas 2013-2017'!$D:$D,""),"")</f>
        <v/>
      </c>
      <c r="W259" t="str">
        <f>IFERROR(_xlfn.XLOOKUP($AB259,'Cas 2013-2017'!$K:$K,'Cas 2013-2017'!$E:$E,""),"")</f>
        <v/>
      </c>
      <c r="X259" t="str">
        <f>IFERROR(_xlfn.XLOOKUP($AB259,'Cas 2013-2017'!$K:$K,'Cas 2013-2017'!$F:$F,""),"")</f>
        <v/>
      </c>
      <c r="Y259" t="str">
        <f>IFERROR(_xlfn.XLOOKUP($AB259,'Cas 2013-2017'!$K:$K,'Cas 2013-2017'!$G:$G,""),"")</f>
        <v/>
      </c>
      <c r="Z259" t="str">
        <f>IFERROR(_xlfn.XLOOKUP($AB259,'Cas 2013-2017'!$K:$K,'Cas 2013-2017'!$I:$I,""),"")</f>
        <v/>
      </c>
      <c r="AA259" t="str">
        <f>IFERROR(_xlfn.XLOOKUP($AB259,'Cas 2013-2017'!$K:$K,'Cas 2013-2017'!$H:$H,""),"")</f>
        <v/>
      </c>
      <c r="AB259" t="str">
        <f>LOWER($A259 &amp; "|" &amp; $AF259)</f>
        <v>2021|capacité de discernement</v>
      </c>
      <c r="AC259" t="str">
        <f>TRIM(SUBSTITUTE(SUBSTITUTE(SUBSTITUTE(SUBSTITUTE(" " &amp; LOWER(TRIM(IF($N259&lt;&gt;"", $N259, $H259))) &amp; " ", " aomi ", " arteriopathie des membres inferieurs "), " hta ", " hypertension arterielle "), " saos ", " syndrome d'apnees obstructives du sommeil "), " rgo ", " reflux gastro-oesophagien ") )</f>
        <v>capacité de discernement</v>
      </c>
      <c r="AD259" t="str">
        <f>TRIM(SUBSTITUTE(SUBSTITUTE(SUBSTITUTE(SUBSTITUTE(" " &amp; LOWER(TRIM($AC259)) &amp; " ", " oacr ", " occlusion de l'artere centrale de la retine "), " hsd ", " hematome sous-dural "), " fa ", " fibrillation auriculaire "), " ep ", " embolie pulmonaire ") )</f>
        <v>capacité de discernement</v>
      </c>
      <c r="AE259" t="str" cm="1">
        <f t="array" ref="AE259">_xlfn.LET(_xlpm.base, " " &amp; LOWER(TRIM($AD259))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capacité de discernement</v>
      </c>
      <c r="AF259" t="str" cm="1">
        <f t="array" ref="AF259">_xlfn.LET(_xlpm.base, " " &amp; LOWER(TRIM($AE259))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capacité de discernement</v>
      </c>
    </row>
    <row r="260" spans="1:32" ht="16.5">
      <c r="A260" s="8">
        <v>2021</v>
      </c>
      <c r="B260" s="10" t="s">
        <v>141</v>
      </c>
      <c r="C260" s="8" t="s">
        <v>33</v>
      </c>
      <c r="D260" s="20">
        <v>119</v>
      </c>
      <c r="E260" s="11" t="str">
        <f>IF(D260="","",IFERROR(INDEX(SSP!$E$2:$E$266, MATCH(D260, SSP!$F$2:$F$266, 0)),""))</f>
        <v>Trouble du déficit de l’attention</v>
      </c>
      <c r="F260" s="11" t="str">
        <f>Feuil1!E260</f>
        <v>Trouble de l'humeur</v>
      </c>
      <c r="G260" s="12" t="s">
        <v>291</v>
      </c>
      <c r="H260" s="13" t="s">
        <v>384</v>
      </c>
      <c r="I260" s="13" t="s">
        <v>869</v>
      </c>
      <c r="J260" s="15" t="s">
        <v>33</v>
      </c>
      <c r="K260" s="9" t="s">
        <v>33</v>
      </c>
      <c r="L260" s="9" t="s">
        <v>33</v>
      </c>
      <c r="M260" s="9" t="s">
        <v>33</v>
      </c>
      <c r="N260" t="s">
        <v>870</v>
      </c>
      <c r="O260" t="str">
        <f>IFERROR(_xlfn.XLOOKUP($D260, SSP!$F:$F, SSP!$E:$E, "Inconnu"), "")</f>
        <v>Trouble du déficit de l’attention</v>
      </c>
      <c r="P260" t="str">
        <f>IF(OR(E260="", O260=""), "", IF(LOWER(E260)=LOWER(O260), "OK", "⚠️ Libellé ≠ n°"))</f>
        <v>OK</v>
      </c>
      <c r="Q260" t="str">
        <f>IF(Feuil1!$E260="", "", IF(LOWER(Feuil1!$E260)=LOWER(E260), "Identique", "Différent"))</f>
        <v>Différent</v>
      </c>
      <c r="R260" t="str">
        <f>IF(OR(P260="⚠️ Libellé ≠ n°", O260="Inconnu"), "⚠️", IF(Q260="Différent", "ℹ️", ""))</f>
        <v>ℹ️</v>
      </c>
      <c r="S260" t="str" cm="1">
        <f t="array" ref="S260">_xlfn.LET(_xlpm.genCat,IFERROR(LOWER(TRIM(G260)),""),_xlpm.principal,IFERROR(LOWER(TRIM(H260)),""),_xlpm.orig,IFERROR(LOWER(TRIM(N260)),""),IF(OR(_xlpm.genCat="",_xlpm.principal=""),"",IF(LEFT(LOWER(G260),5)="autre","OK (Autre)",IF(OR(ISNUMBER(SEARCH(_xlpm.genCat,_xlpm.principal)),ISNUMBER(SEARCH(_xlpm.principal,_xlpm.genCat)),AND(_xlpm.orig&lt;&gt;"",OR(ISNUMBER(SEARCH(_xlpm.genCat,_xlpm.orig)),ISNUMBER(SEARCH(_xlpm.orig,_xlpm.genCat))))),"OK","⚠️ À vérifier"))))</f>
        <v>⚠️ À vérifier</v>
      </c>
      <c r="T260" t="str">
        <f>IF(S260="","",IF(S260="OK (Autre)","Diagnostic générique = 'Autre – …'",IF(S260="OK","Concordance générique/principal","Écart entre générique et principal")))</f>
        <v>Écart entre générique et principal</v>
      </c>
      <c r="U260" t="str" cm="1">
        <f t="array" ref="U260">_xlfn.LET(_xlpm.yr, A260, _xlpm.diag, IF(N260&lt;&gt;"", N260, H260), _xlpm.base, TRIM(SUBSTITUTE(SUBSTITUTE(SUBSTITUTE(SUBSTITUTE(_xlpm.diag,"•"," "),CHAR(160)," "),CHAR(10)," "),"  "," ")), LOWER(_xlpm.yr&amp;"|"&amp;_xlpm.base))</f>
        <v>2021|dépression vs trouble anxieux</v>
      </c>
      <c r="V260" t="str">
        <f>IFERROR(_xlfn.XLOOKUP($AB260,'Cas 2013-2017'!$K:$K,'Cas 2013-2017'!$D:$D,""),"")</f>
        <v/>
      </c>
      <c r="W260" t="str">
        <f>IFERROR(_xlfn.XLOOKUP($AB260,'Cas 2013-2017'!$K:$K,'Cas 2013-2017'!$E:$E,""),"")</f>
        <v/>
      </c>
      <c r="X260" t="str">
        <f>IFERROR(_xlfn.XLOOKUP($AB260,'Cas 2013-2017'!$K:$K,'Cas 2013-2017'!$F:$F,""),"")</f>
        <v/>
      </c>
      <c r="Y260" t="str">
        <f>IFERROR(_xlfn.XLOOKUP($AB260,'Cas 2013-2017'!$K:$K,'Cas 2013-2017'!$G:$G,""),"")</f>
        <v/>
      </c>
      <c r="Z260" t="str">
        <f>IFERROR(_xlfn.XLOOKUP($AB260,'Cas 2013-2017'!$K:$K,'Cas 2013-2017'!$I:$I,""),"")</f>
        <v/>
      </c>
      <c r="AA260" t="str">
        <f>IFERROR(_xlfn.XLOOKUP($AB260,'Cas 2013-2017'!$K:$K,'Cas 2013-2017'!$H:$H,""),"")</f>
        <v/>
      </c>
      <c r="AB260" t="str">
        <f>LOWER($A260 &amp; "|" &amp; $AF260)</f>
        <v>2021|dépression vs trouble anxieux</v>
      </c>
      <c r="AC260" t="str">
        <f>TRIM(SUBSTITUTE(SUBSTITUTE(SUBSTITUTE(SUBSTITUTE(" " &amp; LOWER(TRIM(IF($N260&lt;&gt;"", $N260, $H260))) &amp; " ", " aomi ", " arteriopathie des membres inferieurs "), " hta ", " hypertension arterielle "), " saos ", " syndrome d'apnees obstructives du sommeil "), " rgo ", " reflux gastro-oesophagien ") )</f>
        <v>dépression vs trouble anxieux</v>
      </c>
      <c r="AD260" t="str">
        <f>TRIM(SUBSTITUTE(SUBSTITUTE(SUBSTITUTE(SUBSTITUTE(" " &amp; LOWER(TRIM($AC260)) &amp; " ", " oacr ", " occlusion de l'artere centrale de la retine "), " hsd ", " hematome sous-dural "), " fa ", " fibrillation auriculaire "), " ep ", " embolie pulmonaire ") )</f>
        <v>dépression vs trouble anxieux</v>
      </c>
      <c r="AE260" t="str" cm="1">
        <f t="array" ref="AE260">_xlfn.LET(_xlpm.base, " " &amp; LOWER(TRIM($AD260))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dépression vs trouble anxieux</v>
      </c>
      <c r="AF260" t="str" cm="1">
        <f t="array" ref="AF260">_xlfn.LET(_xlpm.base, " " &amp; LOWER(TRIM($AE260))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dépression vs trouble anxieux</v>
      </c>
    </row>
    <row r="261" spans="1:32" ht="33.75">
      <c r="A261" s="8">
        <v>2021</v>
      </c>
      <c r="B261" s="10" t="s">
        <v>221</v>
      </c>
      <c r="C261" s="8" t="s">
        <v>33</v>
      </c>
      <c r="D261" s="20"/>
      <c r="E261" s="11" t="str">
        <f>IF(D261="","",IFERROR(INDEX(SSP!$E$2:$E$266, MATCH(D261, SSP!$F$2:$F$266, 0)),""))</f>
        <v/>
      </c>
      <c r="F261" s="11" t="str">
        <f>Feuil1!E261</f>
        <v>Douleurs articulaires</v>
      </c>
      <c r="G261" s="12" t="s">
        <v>226</v>
      </c>
      <c r="H261" s="13" t="s">
        <v>738</v>
      </c>
      <c r="I261" s="13"/>
      <c r="J261" s="16" t="s">
        <v>165</v>
      </c>
      <c r="K261" s="9" t="s">
        <v>871</v>
      </c>
      <c r="L261" s="9" t="s">
        <v>33</v>
      </c>
      <c r="M261" s="9" t="s">
        <v>33</v>
      </c>
      <c r="N261" t="s">
        <v>738</v>
      </c>
      <c r="O261">
        <f>IFERROR(_xlfn.XLOOKUP($D261, SSP!$F:$F, SSP!$E:$E, "Inconnu"), "")</f>
        <v>0</v>
      </c>
      <c r="P261" t="str">
        <f>IF(OR(E261="", O261=""), "", IF(LOWER(E261)=LOWER(O261), "OK", "⚠️ Libellé ≠ n°"))</f>
        <v/>
      </c>
      <c r="Q261" t="str">
        <f>IF(Feuil1!$E261="", "", IF(LOWER(Feuil1!$E261)=LOWER(E261), "Identique", "Différent"))</f>
        <v>Différent</v>
      </c>
      <c r="R261" t="str">
        <f>IF(OR(P261="⚠️ Libellé ≠ n°", O261="Inconnu"), "⚠️", IF(Q261="Différent", "ℹ️", ""))</f>
        <v>ℹ️</v>
      </c>
      <c r="S261" t="str" cm="1">
        <f t="array" ref="S261">_xlfn.LET(_xlpm.genCat,IFERROR(LOWER(TRIM(G261)),""),_xlpm.principal,IFERROR(LOWER(TRIM(H261)),""),_xlpm.orig,IFERROR(LOWER(TRIM(N261)),""),IF(OR(_xlpm.genCat="",_xlpm.principal=""),"",IF(LEFT(LOWER(G261),5)="autre","OK (Autre)",IF(OR(ISNUMBER(SEARCH(_xlpm.genCat,_xlpm.principal)),ISNUMBER(SEARCH(_xlpm.principal,_xlpm.genCat)),AND(_xlpm.orig&lt;&gt;"",OR(ISNUMBER(SEARCH(_xlpm.genCat,_xlpm.orig)),ISNUMBER(SEARCH(_xlpm.orig,_xlpm.genCat))))),"OK","⚠️ À vérifier"))))</f>
        <v>OK (Autre)</v>
      </c>
      <c r="T261" t="str">
        <f>IF(S261="","",IF(S261="OK (Autre)","Diagnostic générique = 'Autre – …'",IF(S261="OK","Concordance générique/principal","Écart entre générique et principal")))</f>
        <v>Diagnostic générique = 'Autre – …'</v>
      </c>
      <c r="U261" t="str" cm="1">
        <f t="array" ref="U261">_xlfn.LET(_xlpm.yr, A261, _xlpm.diag, IF(N261&lt;&gt;"", N261, H261), _xlpm.base, TRIM(SUBSTITUTE(SUBSTITUTE(SUBSTITUTE(SUBSTITUTE(_xlpm.diag,"•"," "),CHAR(160)," "),CHAR(10)," "),"  "," ")), LOWER(_xlpm.yr&amp;"|"&amp;_xlpm.base))</f>
        <v>2021|polymyalgie rhumatismale</v>
      </c>
      <c r="V261" t="str">
        <f>IFERROR(_xlfn.XLOOKUP($AB261,'Cas 2013-2017'!$K:$K,'Cas 2013-2017'!$D:$D,""),"")</f>
        <v/>
      </c>
      <c r="W261" t="str">
        <f>IFERROR(_xlfn.XLOOKUP($AB261,'Cas 2013-2017'!$K:$K,'Cas 2013-2017'!$E:$E,""),"")</f>
        <v/>
      </c>
      <c r="X261" t="str">
        <f>IFERROR(_xlfn.XLOOKUP($AB261,'Cas 2013-2017'!$K:$K,'Cas 2013-2017'!$F:$F,""),"")</f>
        <v/>
      </c>
      <c r="Y261" t="str">
        <f>IFERROR(_xlfn.XLOOKUP($AB261,'Cas 2013-2017'!$K:$K,'Cas 2013-2017'!$G:$G,""),"")</f>
        <v/>
      </c>
      <c r="Z261" t="str">
        <f>IFERROR(_xlfn.XLOOKUP($AB261,'Cas 2013-2017'!$K:$K,'Cas 2013-2017'!$I:$I,""),"")</f>
        <v/>
      </c>
      <c r="AA261" t="str">
        <f>IFERROR(_xlfn.XLOOKUP($AB261,'Cas 2013-2017'!$K:$K,'Cas 2013-2017'!$H:$H,""),"")</f>
        <v/>
      </c>
      <c r="AB261" t="str">
        <f>LOWER($A261 &amp; "|" &amp; $AF261)</f>
        <v>2021|polymyalgie rhumatismale</v>
      </c>
      <c r="AC261" t="str">
        <f>TRIM(SUBSTITUTE(SUBSTITUTE(SUBSTITUTE(SUBSTITUTE(" " &amp; LOWER(TRIM(IF($N261&lt;&gt;"", $N261, $H261))) &amp; " ", " aomi ", " arteriopathie des membres inferieurs "), " hta ", " hypertension arterielle "), " saos ", " syndrome d'apnees obstructives du sommeil "), " rgo ", " reflux gastro-oesophagien ") )</f>
        <v>polymyalgie rhumatismale</v>
      </c>
      <c r="AD261" t="str">
        <f>TRIM(SUBSTITUTE(SUBSTITUTE(SUBSTITUTE(SUBSTITUTE(" " &amp; LOWER(TRIM($AC261)) &amp; " ", " oacr ", " occlusion de l'artere centrale de la retine "), " hsd ", " hematome sous-dural "), " fa ", " fibrillation auriculaire "), " ep ", " embolie pulmonaire ") )</f>
        <v>polymyalgie rhumatismale</v>
      </c>
      <c r="AE261" t="str" cm="1">
        <f t="array" ref="AE261">_xlfn.LET(_xlpm.base, " " &amp; LOWER(TRIM($AD261))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polymyalgie rhumatismale</v>
      </c>
      <c r="AF261" t="str" cm="1">
        <f t="array" ref="AF261">_xlfn.LET(_xlpm.base, " " &amp; LOWER(TRIM($AE261))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polymyalgie rhumatismale</v>
      </c>
    </row>
    <row r="262" spans="1:32" ht="33.75">
      <c r="A262" s="8">
        <v>2021</v>
      </c>
      <c r="B262" s="10" t="s">
        <v>64</v>
      </c>
      <c r="C262" s="8" t="s">
        <v>33</v>
      </c>
      <c r="D262" s="20">
        <v>88</v>
      </c>
      <c r="E262" s="11" t="str">
        <f>IF(D262="","",IFERROR(INDEX(SSP!$E$2:$E$266, MATCH(D262, SSP!$F$2:$F$266, 0)),""))</f>
        <v>Ecchymose, hématome, purpura</v>
      </c>
      <c r="F262" s="11" t="str">
        <f>Feuil1!E262</f>
        <v> </v>
      </c>
      <c r="G262" s="12" t="s">
        <v>872</v>
      </c>
      <c r="H262" s="13" t="s">
        <v>873</v>
      </c>
      <c r="I262" s="13" t="s">
        <v>874</v>
      </c>
      <c r="J262" s="16" t="s">
        <v>165</v>
      </c>
      <c r="K262" s="9" t="s">
        <v>875</v>
      </c>
      <c r="L262" s="9" t="s">
        <v>33</v>
      </c>
      <c r="M262" s="9" t="s">
        <v>33</v>
      </c>
      <c r="N262" t="s">
        <v>876</v>
      </c>
      <c r="O262" t="str">
        <f>IFERROR(_xlfn.XLOOKUP($D262, SSP!$F:$F, SSP!$E:$E, "Inconnu"), "")</f>
        <v>Ecchymose, hématome, purpura</v>
      </c>
      <c r="P262" t="str">
        <f>IF(OR(E262="", O262=""), "", IF(LOWER(E262)=LOWER(O262), "OK", "⚠️ Libellé ≠ n°"))</f>
        <v>OK</v>
      </c>
      <c r="Q262" t="str">
        <f>IF(Feuil1!$E262="", "", IF(LOWER(Feuil1!$E262)=LOWER(E262), "Identique", "Différent"))</f>
        <v>Différent</v>
      </c>
      <c r="R262" t="str">
        <f>IF(OR(P262="⚠️ Libellé ≠ n°", O262="Inconnu"), "⚠️", IF(Q262="Différent", "ℹ️", ""))</f>
        <v>ℹ️</v>
      </c>
      <c r="S262" t="str" cm="1">
        <f t="array" ref="S262">_xlfn.LET(_xlpm.genCat,IFERROR(LOWER(TRIM(G262)),""),_xlpm.principal,IFERROR(LOWER(TRIM(H262)),""),_xlpm.orig,IFERROR(LOWER(TRIM(N262)),""),IF(OR(_xlpm.genCat="",_xlpm.principal=""),"",IF(LEFT(LOWER(G262),5)="autre","OK (Autre)",IF(OR(ISNUMBER(SEARCH(_xlpm.genCat,_xlpm.principal)),ISNUMBER(SEARCH(_xlpm.principal,_xlpm.genCat)),AND(_xlpm.orig&lt;&gt;"",OR(ISNUMBER(SEARCH(_xlpm.genCat,_xlpm.orig)),ISNUMBER(SEARCH(_xlpm.orig,_xlpm.genCat))))),"OK","⚠️ À vérifier"))))</f>
        <v>⚠️ À vérifier</v>
      </c>
      <c r="T262" t="str">
        <f>IF(S262="","",IF(S262="OK (Autre)","Diagnostic générique = 'Autre – …'",IF(S262="OK","Concordance générique/principal","Écart entre générique et principal")))</f>
        <v>Écart entre générique et principal</v>
      </c>
      <c r="U262" t="str" cm="1">
        <f t="array" ref="U262">_xlfn.LET(_xlpm.yr, A262, _xlpm.diag, IF(N262&lt;&gt;"", N262, H262), _xlpm.base, TRIM(SUBSTITUTE(SUBSTITUTE(SUBSTITUTE(SUBSTITUTE(_xlpm.diag,"•"," "),CHAR(160)," "),CHAR(10)," "),"  "," ")), LOWER(_xlpm.yr&amp;"|"&amp;_xlpm.base))</f>
        <v>2021|purpura idiopathique / vasculite</v>
      </c>
      <c r="V262" t="str">
        <f>IFERROR(_xlfn.XLOOKUP($AB262,'Cas 2013-2017'!$K:$K,'Cas 2013-2017'!$D:$D,""),"")</f>
        <v/>
      </c>
      <c r="W262" t="str">
        <f>IFERROR(_xlfn.XLOOKUP($AB262,'Cas 2013-2017'!$K:$K,'Cas 2013-2017'!$E:$E,""),"")</f>
        <v/>
      </c>
      <c r="X262" t="str">
        <f>IFERROR(_xlfn.XLOOKUP($AB262,'Cas 2013-2017'!$K:$K,'Cas 2013-2017'!$F:$F,""),"")</f>
        <v/>
      </c>
      <c r="Y262" t="str">
        <f>IFERROR(_xlfn.XLOOKUP($AB262,'Cas 2013-2017'!$K:$K,'Cas 2013-2017'!$G:$G,""),"")</f>
        <v/>
      </c>
      <c r="Z262" t="str">
        <f>IFERROR(_xlfn.XLOOKUP($AB262,'Cas 2013-2017'!$K:$K,'Cas 2013-2017'!$I:$I,""),"")</f>
        <v/>
      </c>
      <c r="AA262" t="str">
        <f>IFERROR(_xlfn.XLOOKUP($AB262,'Cas 2013-2017'!$K:$K,'Cas 2013-2017'!$H:$H,""),"")</f>
        <v/>
      </c>
      <c r="AB262" t="str">
        <f>LOWER($A262 &amp; "|" &amp; $AF262)</f>
        <v>2021|purpura idiopathique / vasculite</v>
      </c>
      <c r="AC262" t="str">
        <f>TRIM(SUBSTITUTE(SUBSTITUTE(SUBSTITUTE(SUBSTITUTE(" " &amp; LOWER(TRIM(IF($N262&lt;&gt;"", $N262, $H262))) &amp; " ", " aomi ", " arteriopathie des membres inferieurs "), " hta ", " hypertension arterielle "), " saos ", " syndrome d'apnees obstructives du sommeil "), " rgo ", " reflux gastro-oesophagien ") )</f>
        <v>purpura idiopathique / vasculite</v>
      </c>
      <c r="AD262" t="str">
        <f>TRIM(SUBSTITUTE(SUBSTITUTE(SUBSTITUTE(SUBSTITUTE(" " &amp; LOWER(TRIM($AC262)) &amp; " ", " oacr ", " occlusion de l'artere centrale de la retine "), " hsd ", " hematome sous-dural "), " fa ", " fibrillation auriculaire "), " ep ", " embolie pulmonaire ") )</f>
        <v>purpura idiopathique / vasculite</v>
      </c>
      <c r="AE262" t="str" cm="1">
        <f t="array" ref="AE262">_xlfn.LET(_xlpm.base, " " &amp; LOWER(TRIM($AD262))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purpura idiopathique / vasculite</v>
      </c>
      <c r="AF262" t="str" cm="1">
        <f t="array" ref="AF262">_xlfn.LET(_xlpm.base, " " &amp; LOWER(TRIM($AE262))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purpura idiopathique / vasculite</v>
      </c>
    </row>
    <row r="263" spans="1:32" ht="50.25">
      <c r="A263" s="8">
        <v>2021</v>
      </c>
      <c r="B263" s="10" t="s">
        <v>82</v>
      </c>
      <c r="C263" s="8" t="s">
        <v>33</v>
      </c>
      <c r="D263" s="20">
        <v>10</v>
      </c>
      <c r="E263" s="11" t="str">
        <f>IF(D263="","",IFERROR(INDEX(SSP!$E$2:$E$266, MATCH(D263, SSP!$F$2:$F$266, 0)),""))</f>
        <v>Douleur (toutes localisations et types confondus)</v>
      </c>
      <c r="F263" s="11" t="str">
        <f>Feuil1!E263</f>
        <v>Douleur dorsale</v>
      </c>
      <c r="G263" s="12" t="s">
        <v>83</v>
      </c>
      <c r="H263" s="13" t="s">
        <v>877</v>
      </c>
      <c r="I263" s="13"/>
      <c r="J263" s="15" t="s">
        <v>878</v>
      </c>
      <c r="K263" s="9" t="s">
        <v>879</v>
      </c>
      <c r="L263" s="9" t="s">
        <v>33</v>
      </c>
      <c r="M263" s="9" t="s">
        <v>33</v>
      </c>
      <c r="N263" t="s">
        <v>880</v>
      </c>
      <c r="O263" t="str">
        <f>IFERROR(_xlfn.XLOOKUP($D263, SSP!$F:$F, SSP!$E:$E, "Inconnu"), "")</f>
        <v>Douleur (toutes localisations et types confondus)</v>
      </c>
      <c r="P263" t="str">
        <f>IF(OR(E263="", O263=""), "", IF(LOWER(E263)=LOWER(O263), "OK", "⚠️ Libellé ≠ n°"))</f>
        <v>OK</v>
      </c>
      <c r="Q263" t="str">
        <f>IF(Feuil1!$E263="", "", IF(LOWER(Feuil1!$E263)=LOWER(E263), "Identique", "Différent"))</f>
        <v>Différent</v>
      </c>
      <c r="R263" t="str">
        <f>IF(OR(P263="⚠️ Libellé ≠ n°", O263="Inconnu"), "⚠️", IF(Q263="Différent", "ℹ️", ""))</f>
        <v>ℹ️</v>
      </c>
      <c r="S263" t="str" cm="1">
        <f t="array" ref="S263">_xlfn.LET(_xlpm.genCat,IFERROR(LOWER(TRIM(G263)),""),_xlpm.principal,IFERROR(LOWER(TRIM(H263)),""),_xlpm.orig,IFERROR(LOWER(TRIM(N263)),""),IF(OR(_xlpm.genCat="",_xlpm.principal=""),"",IF(LEFT(LOWER(G263),5)="autre","OK (Autre)",IF(OR(ISNUMBER(SEARCH(_xlpm.genCat,_xlpm.principal)),ISNUMBER(SEARCH(_xlpm.principal,_xlpm.genCat)),AND(_xlpm.orig&lt;&gt;"",OR(ISNUMBER(SEARCH(_xlpm.genCat,_xlpm.orig)),ISNUMBER(SEARCH(_xlpm.orig,_xlpm.genCat))))),"OK","⚠️ À vérifier"))))</f>
        <v>OK (Autre)</v>
      </c>
      <c r="T263" t="str">
        <f>IF(S263="","",IF(S263="OK (Autre)","Diagnostic générique = 'Autre – …'",IF(S263="OK","Concordance générique/principal","Écart entre générique et principal")))</f>
        <v>Diagnostic générique = 'Autre – …'</v>
      </c>
      <c r="U263" t="str" cm="1">
        <f t="array" ref="U263">_xlfn.LET(_xlpm.yr, A263, _xlpm.diag, IF(N263&lt;&gt;"", N263, H263), _xlpm.base, TRIM(SUBSTITUTE(SUBSTITUTE(SUBSTITUTE(SUBSTITUTE(_xlpm.diag,"•"," "),CHAR(160)," "),CHAR(10)," "),"  "," ")), LOWER(_xlpm.yr&amp;"|"&amp;_xlpm.base))</f>
        <v>2021|métastases lombaires.</v>
      </c>
      <c r="V263" t="str">
        <f>IFERROR(_xlfn.XLOOKUP($AB263,'Cas 2013-2017'!$K:$K,'Cas 2013-2017'!$D:$D,""),"")</f>
        <v/>
      </c>
      <c r="W263" t="str">
        <f>IFERROR(_xlfn.XLOOKUP($AB263,'Cas 2013-2017'!$K:$K,'Cas 2013-2017'!$E:$E,""),"")</f>
        <v/>
      </c>
      <c r="X263" t="str">
        <f>IFERROR(_xlfn.XLOOKUP($AB263,'Cas 2013-2017'!$K:$K,'Cas 2013-2017'!$F:$F,""),"")</f>
        <v/>
      </c>
      <c r="Y263" t="str">
        <f>IFERROR(_xlfn.XLOOKUP($AB263,'Cas 2013-2017'!$K:$K,'Cas 2013-2017'!$G:$G,""),"")</f>
        <v/>
      </c>
      <c r="Z263" t="str">
        <f>IFERROR(_xlfn.XLOOKUP($AB263,'Cas 2013-2017'!$K:$K,'Cas 2013-2017'!$I:$I,""),"")</f>
        <v/>
      </c>
      <c r="AA263" t="str">
        <f>IFERROR(_xlfn.XLOOKUP($AB263,'Cas 2013-2017'!$K:$K,'Cas 2013-2017'!$H:$H,""),"")</f>
        <v/>
      </c>
      <c r="AB263" t="str">
        <f>LOWER($A263 &amp; "|" &amp; $AF263)</f>
        <v>2021|métastases lombaires.</v>
      </c>
      <c r="AC263" t="str">
        <f>TRIM(SUBSTITUTE(SUBSTITUTE(SUBSTITUTE(SUBSTITUTE(" " &amp; LOWER(TRIM(IF($N263&lt;&gt;"", $N263, $H263))) &amp; " ", " aomi ", " arteriopathie des membres inferieurs "), " hta ", " hypertension arterielle "), " saos ", " syndrome d'apnees obstructives du sommeil "), " rgo ", " reflux gastro-oesophagien ") )</f>
        <v>métastases lombaires.</v>
      </c>
      <c r="AD263" t="str">
        <f>TRIM(SUBSTITUTE(SUBSTITUTE(SUBSTITUTE(SUBSTITUTE(" " &amp; LOWER(TRIM($AC263)) &amp; " ", " oacr ", " occlusion de l'artere centrale de la retine "), " hsd ", " hematome sous-dural "), " fa ", " fibrillation auriculaire "), " ep ", " embolie pulmonaire ") )</f>
        <v>métastases lombaires.</v>
      </c>
      <c r="AE263" t="str" cm="1">
        <f t="array" ref="AE263">_xlfn.LET(_xlpm.base, " " &amp; LOWER(TRIM($AD263))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métastases lombaires.</v>
      </c>
      <c r="AF263" t="str" cm="1">
        <f t="array" ref="AF263">_xlfn.LET(_xlpm.base, " " &amp; LOWER(TRIM($AE263))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métastases lombaires.</v>
      </c>
    </row>
    <row r="264" spans="1:32" ht="33.75">
      <c r="A264" s="8">
        <v>2021</v>
      </c>
      <c r="B264" s="10" t="s">
        <v>87</v>
      </c>
      <c r="C264" s="8" t="s">
        <v>33</v>
      </c>
      <c r="D264" s="20">
        <v>55</v>
      </c>
      <c r="E264" s="11" t="str">
        <f>IF(D264="","",IFERROR(INDEX(SSP!$E$2:$E$266, MATCH(D264, SSP!$F$2:$F$266, 0)),""))</f>
        <v>Troubles du transit intestinal, incontinence, douleur à la défécation</v>
      </c>
      <c r="F264" s="11" t="str">
        <f>Feuil1!E264</f>
        <v>Incontinence</v>
      </c>
      <c r="G264" s="12" t="s">
        <v>152</v>
      </c>
      <c r="H264" s="13" t="s">
        <v>881</v>
      </c>
      <c r="I264" s="13"/>
      <c r="J264" s="16" t="s">
        <v>165</v>
      </c>
      <c r="K264" s="9" t="s">
        <v>882</v>
      </c>
      <c r="L264" s="9" t="s">
        <v>33</v>
      </c>
      <c r="M264" s="9" t="s">
        <v>33</v>
      </c>
      <c r="N264" t="s">
        <v>881</v>
      </c>
      <c r="O264" t="str">
        <f>IFERROR(_xlfn.XLOOKUP($D264, SSP!$F:$F, SSP!$E:$E, "Inconnu"), "")</f>
        <v>Troubles du transit intestinal, incontinence, douleur à la défécation</v>
      </c>
      <c r="P264" t="str">
        <f>IF(OR(E264="", O264=""), "", IF(LOWER(E264)=LOWER(O264), "OK", "⚠️ Libellé ≠ n°"))</f>
        <v>OK</v>
      </c>
      <c r="Q264" t="str">
        <f>IF(Feuil1!$E264="", "", IF(LOWER(Feuil1!$E264)=LOWER(E264), "Identique", "Différent"))</f>
        <v>Différent</v>
      </c>
      <c r="R264" t="str">
        <f>IF(OR(P264="⚠️ Libellé ≠ n°", O264="Inconnu"), "⚠️", IF(Q264="Différent", "ℹ️", ""))</f>
        <v>ℹ️</v>
      </c>
      <c r="S264" t="str" cm="1">
        <f t="array" ref="S264">_xlfn.LET(_xlpm.genCat,IFERROR(LOWER(TRIM(G264)),""),_xlpm.principal,IFERROR(LOWER(TRIM(H264)),""),_xlpm.orig,IFERROR(LOWER(TRIM(N264)),""),IF(OR(_xlpm.genCat="",_xlpm.principal=""),"",IF(LEFT(LOWER(G264),5)="autre","OK (Autre)",IF(OR(ISNUMBER(SEARCH(_xlpm.genCat,_xlpm.principal)),ISNUMBER(SEARCH(_xlpm.principal,_xlpm.genCat)),AND(_xlpm.orig&lt;&gt;"",OR(ISNUMBER(SEARCH(_xlpm.genCat,_xlpm.orig)),ISNUMBER(SEARCH(_xlpm.orig,_xlpm.genCat))))),"OK","⚠️ À vérifier"))))</f>
        <v>OK</v>
      </c>
      <c r="T264" t="str">
        <f>IF(S264="","",IF(S264="OK (Autre)","Diagnostic générique = 'Autre – …'",IF(S264="OK","Concordance générique/principal","Écart entre générique et principal")))</f>
        <v>Concordance générique/principal</v>
      </c>
      <c r="U264" t="str" cm="1">
        <f t="array" ref="U264">_xlfn.LET(_xlpm.yr, A264, _xlpm.diag, IF(N264&lt;&gt;"", N264, H264), _xlpm.base, TRIM(SUBSTITUTE(SUBSTITUTE(SUBSTITUTE(SUBSTITUTE(_xlpm.diag,"•"," "),CHAR(160)," "),CHAR(10)," "),"  "," ")), LOWER(_xlpm.yr&amp;"|"&amp;_xlpm.base))</f>
        <v>2021|incontinence urinaire d'urgence</v>
      </c>
      <c r="V264" t="str">
        <f>IFERROR(_xlfn.XLOOKUP($AB264,'Cas 2013-2017'!$K:$K,'Cas 2013-2017'!$D:$D,""),"")</f>
        <v/>
      </c>
      <c r="W264" t="str">
        <f>IFERROR(_xlfn.XLOOKUP($AB264,'Cas 2013-2017'!$K:$K,'Cas 2013-2017'!$E:$E,""),"")</f>
        <v/>
      </c>
      <c r="X264" t="str">
        <f>IFERROR(_xlfn.XLOOKUP($AB264,'Cas 2013-2017'!$K:$K,'Cas 2013-2017'!$F:$F,""),"")</f>
        <v/>
      </c>
      <c r="Y264" t="str">
        <f>IFERROR(_xlfn.XLOOKUP($AB264,'Cas 2013-2017'!$K:$K,'Cas 2013-2017'!$G:$G,""),"")</f>
        <v/>
      </c>
      <c r="Z264" t="str">
        <f>IFERROR(_xlfn.XLOOKUP($AB264,'Cas 2013-2017'!$K:$K,'Cas 2013-2017'!$I:$I,""),"")</f>
        <v/>
      </c>
      <c r="AA264" t="str">
        <f>IFERROR(_xlfn.XLOOKUP($AB264,'Cas 2013-2017'!$K:$K,'Cas 2013-2017'!$H:$H,""),"")</f>
        <v/>
      </c>
      <c r="AB264" t="str">
        <f>LOWER($A264 &amp; "|" &amp; $AF264)</f>
        <v>2021|incontinence urinaire d'urgence</v>
      </c>
      <c r="AC264" t="str">
        <f>TRIM(SUBSTITUTE(SUBSTITUTE(SUBSTITUTE(SUBSTITUTE(" " &amp; LOWER(TRIM(IF($N264&lt;&gt;"", $N264, $H264))) &amp; " ", " aomi ", " arteriopathie des membres inferieurs "), " hta ", " hypertension arterielle "), " saos ", " syndrome d'apnees obstructives du sommeil "), " rgo ", " reflux gastro-oesophagien ") )</f>
        <v>incontinence urinaire d'urgence</v>
      </c>
      <c r="AD264" t="str">
        <f>TRIM(SUBSTITUTE(SUBSTITUTE(SUBSTITUTE(SUBSTITUTE(" " &amp; LOWER(TRIM($AC264)) &amp; " ", " oacr ", " occlusion de l'artere centrale de la retine "), " hsd ", " hematome sous-dural "), " fa ", " fibrillation auriculaire "), " ep ", " embolie pulmonaire ") )</f>
        <v>incontinence urinaire d'urgence</v>
      </c>
      <c r="AE264" t="str" cm="1">
        <f t="array" ref="AE264">_xlfn.LET(_xlpm.base, " " &amp; LOWER(TRIM($AD264))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incontinence urinaire d'urgence</v>
      </c>
      <c r="AF264" t="str" cm="1">
        <f t="array" ref="AF264">_xlfn.LET(_xlpm.base, " " &amp; LOWER(TRIM($AE264))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incontinence urinaire d'urgence</v>
      </c>
    </row>
    <row r="265" spans="1:32" ht="16.5">
      <c r="A265" s="8">
        <v>2021</v>
      </c>
      <c r="B265" s="10" t="s">
        <v>91</v>
      </c>
      <c r="C265" s="8" t="s">
        <v>33</v>
      </c>
      <c r="D265" s="20">
        <v>47</v>
      </c>
      <c r="E265" s="11" t="str">
        <f>IF(D265="","",IFERROR(INDEX(SSP!$E$2:$E$266, MATCH(D265, SSP!$F$2:$F$266, 0)),""))</f>
        <v>Pyrosis (brûlures rétrosternales)</v>
      </c>
      <c r="F265" s="11" t="str">
        <f>Feuil1!E265</f>
        <v> </v>
      </c>
      <c r="G265" s="12" t="s">
        <v>160</v>
      </c>
      <c r="H265" s="13" t="s">
        <v>161</v>
      </c>
      <c r="I265" s="13"/>
      <c r="J265" s="16" t="s">
        <v>165</v>
      </c>
      <c r="K265" s="9" t="s">
        <v>33</v>
      </c>
      <c r="L265" s="9" t="s">
        <v>33</v>
      </c>
      <c r="M265" s="9" t="s">
        <v>33</v>
      </c>
      <c r="N265" t="s">
        <v>161</v>
      </c>
      <c r="O265" t="str">
        <f>IFERROR(_xlfn.XLOOKUP($D265, SSP!$F:$F, SSP!$E:$E, "Inconnu"), "")</f>
        <v>Pyrosis (brûlures rétrosternales)</v>
      </c>
      <c r="P265" t="str">
        <f>IF(OR(E265="", O265=""), "", IF(LOWER(E265)=LOWER(O265), "OK", "⚠️ Libellé ≠ n°"))</f>
        <v>OK</v>
      </c>
      <c r="Q265" t="str">
        <f>IF(Feuil1!$E265="", "", IF(LOWER(Feuil1!$E265)=LOWER(E265), "Identique", "Différent"))</f>
        <v>Différent</v>
      </c>
      <c r="R265" t="str">
        <f>IF(OR(P265="⚠️ Libellé ≠ n°", O265="Inconnu"), "⚠️", IF(Q265="Différent", "ℹ️", ""))</f>
        <v>ℹ️</v>
      </c>
      <c r="S265" t="str" cm="1">
        <f t="array" ref="S265">_xlfn.LET(_xlpm.genCat,IFERROR(LOWER(TRIM(G265)),""),_xlpm.principal,IFERROR(LOWER(TRIM(H265)),""),_xlpm.orig,IFERROR(LOWER(TRIM(N265)),""),IF(OR(_xlpm.genCat="",_xlpm.principal=""),"",IF(LEFT(LOWER(G265),5)="autre","OK (Autre)",IF(OR(ISNUMBER(SEARCH(_xlpm.genCat,_xlpm.principal)),ISNUMBER(SEARCH(_xlpm.principal,_xlpm.genCat)),AND(_xlpm.orig&lt;&gt;"",OR(ISNUMBER(SEARCH(_xlpm.genCat,_xlpm.orig)),ISNUMBER(SEARCH(_xlpm.orig,_xlpm.genCat))))),"OK","⚠️ À vérifier"))))</f>
        <v>OK (Autre)</v>
      </c>
      <c r="T265" t="str">
        <f>IF(S265="","",IF(S265="OK (Autre)","Diagnostic générique = 'Autre – …'",IF(S265="OK","Concordance générique/principal","Écart entre générique et principal")))</f>
        <v>Diagnostic générique = 'Autre – …'</v>
      </c>
      <c r="U265" t="str" cm="1">
        <f t="array" ref="U265">_xlfn.LET(_xlpm.yr, A265, _xlpm.diag, IF(N265&lt;&gt;"", N265, H265), _xlpm.base, TRIM(SUBSTITUTE(SUBSTITUTE(SUBSTITUTE(SUBSTITUTE(_xlpm.diag,"•"," "),CHAR(160)," "),CHAR(10)," "),"  "," ")), LOWER(_xlpm.yr&amp;"|"&amp;_xlpm.base))</f>
        <v>2021|prostatite</v>
      </c>
      <c r="V265" t="str">
        <f>IFERROR(_xlfn.XLOOKUP($AB265,'Cas 2013-2017'!$K:$K,'Cas 2013-2017'!$D:$D,""),"")</f>
        <v/>
      </c>
      <c r="W265" t="str">
        <f>IFERROR(_xlfn.XLOOKUP($AB265,'Cas 2013-2017'!$K:$K,'Cas 2013-2017'!$E:$E,""),"")</f>
        <v/>
      </c>
      <c r="X265" t="str">
        <f>IFERROR(_xlfn.XLOOKUP($AB265,'Cas 2013-2017'!$K:$K,'Cas 2013-2017'!$F:$F,""),"")</f>
        <v/>
      </c>
      <c r="Y265" t="str">
        <f>IFERROR(_xlfn.XLOOKUP($AB265,'Cas 2013-2017'!$K:$K,'Cas 2013-2017'!$G:$G,""),"")</f>
        <v/>
      </c>
      <c r="Z265" t="str">
        <f>IFERROR(_xlfn.XLOOKUP($AB265,'Cas 2013-2017'!$K:$K,'Cas 2013-2017'!$I:$I,""),"")</f>
        <v/>
      </c>
      <c r="AA265" t="str">
        <f>IFERROR(_xlfn.XLOOKUP($AB265,'Cas 2013-2017'!$K:$K,'Cas 2013-2017'!$H:$H,""),"")</f>
        <v/>
      </c>
      <c r="AB265" t="str">
        <f>LOWER($A265 &amp; "|" &amp; $AF265)</f>
        <v>2021|prostatite</v>
      </c>
      <c r="AC265" t="str">
        <f>TRIM(SUBSTITUTE(SUBSTITUTE(SUBSTITUTE(SUBSTITUTE(" " &amp; LOWER(TRIM(IF($N265&lt;&gt;"", $N265, $H265))) &amp; " ", " aomi ", " arteriopathie des membres inferieurs "), " hta ", " hypertension arterielle "), " saos ", " syndrome d'apnees obstructives du sommeil "), " rgo ", " reflux gastro-oesophagien ") )</f>
        <v>prostatite</v>
      </c>
      <c r="AD265" t="str">
        <f>TRIM(SUBSTITUTE(SUBSTITUTE(SUBSTITUTE(SUBSTITUTE(" " &amp; LOWER(TRIM($AC265)) &amp; " ", " oacr ", " occlusion de l'artere centrale de la retine "), " hsd ", " hematome sous-dural "), " fa ", " fibrillation auriculaire "), " ep ", " embolie pulmonaire ") )</f>
        <v>prostatite</v>
      </c>
      <c r="AE265" t="str" cm="1">
        <f t="array" ref="AE265">_xlfn.LET(_xlpm.base, " " &amp; LOWER(TRIM($AD265))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prostatite</v>
      </c>
      <c r="AF265" t="str" cm="1">
        <f t="array" ref="AF265">_xlfn.LET(_xlpm.base, " " &amp; LOWER(TRIM($AE265))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prostatite</v>
      </c>
    </row>
    <row r="266" spans="1:32" ht="16.5">
      <c r="A266" s="8">
        <v>2022</v>
      </c>
      <c r="B266" s="10" t="s">
        <v>32</v>
      </c>
      <c r="C266" s="8" t="s">
        <v>33</v>
      </c>
      <c r="D266" s="20">
        <v>46</v>
      </c>
      <c r="E266" s="11" t="str">
        <f>IF(D266="","",IFERROR(INDEX(SSP!$E$2:$E$266, MATCH(D266, SSP!$F$2:$F$266, 0)),""))</f>
        <v>Dyspnée</v>
      </c>
      <c r="F266" s="11" t="str">
        <f>Feuil1!E266</f>
        <v> </v>
      </c>
      <c r="G266" s="12" t="s">
        <v>170</v>
      </c>
      <c r="H266" s="13" t="s">
        <v>525</v>
      </c>
      <c r="I266" s="13"/>
      <c r="J266" s="16" t="s">
        <v>165</v>
      </c>
      <c r="K266" s="9" t="s">
        <v>883</v>
      </c>
      <c r="L266" s="9" t="s">
        <v>33</v>
      </c>
      <c r="M266" s="9" t="s">
        <v>33</v>
      </c>
      <c r="N266" t="s">
        <v>525</v>
      </c>
      <c r="O266" t="str">
        <f>IFERROR(_xlfn.XLOOKUP($D266, SSP!$F:$F, SSP!$E:$E, "Inconnu"), "")</f>
        <v>Dyspnée</v>
      </c>
      <c r="P266" t="str">
        <f>IF(OR(E266="", O266=""), "", IF(LOWER(E266)=LOWER(O266), "OK", "⚠️ Libellé ≠ n°"))</f>
        <v>OK</v>
      </c>
      <c r="Q266" t="str">
        <f>IF(Feuil1!$E266="", "", IF(LOWER(Feuil1!$E266)=LOWER(E266), "Identique", "Différent"))</f>
        <v>Différent</v>
      </c>
      <c r="R266" t="str">
        <f>IF(OR(P266="⚠️ Libellé ≠ n°", O266="Inconnu"), "⚠️", IF(Q266="Différent", "ℹ️", ""))</f>
        <v>ℹ️</v>
      </c>
      <c r="S266" t="str" cm="1">
        <f t="array" ref="S266">_xlfn.LET(_xlpm.genCat,IFERROR(LOWER(TRIM(G266)),""),_xlpm.principal,IFERROR(LOWER(TRIM(H266)),""),_xlpm.orig,IFERROR(LOWER(TRIM(N266)),""),IF(OR(_xlpm.genCat="",_xlpm.principal=""),"",IF(LEFT(LOWER(G266),5)="autre","OK (Autre)",IF(OR(ISNUMBER(SEARCH(_xlpm.genCat,_xlpm.principal)),ISNUMBER(SEARCH(_xlpm.principal,_xlpm.genCat)),AND(_xlpm.orig&lt;&gt;"",OR(ISNUMBER(SEARCH(_xlpm.genCat,_xlpm.orig)),ISNUMBER(SEARCH(_xlpm.orig,_xlpm.genCat))))),"OK","⚠️ À vérifier"))))</f>
        <v>⚠️ À vérifier</v>
      </c>
      <c r="T266" t="str">
        <f>IF(S266="","",IF(S266="OK (Autre)","Diagnostic générique = 'Autre – …'",IF(S266="OK","Concordance générique/principal","Écart entre générique et principal")))</f>
        <v>Écart entre générique et principal</v>
      </c>
      <c r="U266" t="str" cm="1">
        <f t="array" ref="U266">_xlfn.LET(_xlpm.yr, A266, _xlpm.diag, IF(N266&lt;&gt;"", N266, H266), _xlpm.base, TRIM(SUBSTITUTE(SUBSTITUTE(SUBSTITUTE(SUBSTITUTE(_xlpm.diag,"•"," "),CHAR(160)," "),CHAR(10)," "),"  "," ")), LOWER(_xlpm.yr&amp;"|"&amp;_xlpm.base))</f>
        <v>2022|décompensation cardiaque</v>
      </c>
      <c r="V266" t="str">
        <f>IFERROR(_xlfn.XLOOKUP($AB266,'Cas 2013-2017'!$K:$K,'Cas 2013-2017'!$D:$D,""),"")</f>
        <v/>
      </c>
      <c r="W266" t="str">
        <f>IFERROR(_xlfn.XLOOKUP($AB266,'Cas 2013-2017'!$K:$K,'Cas 2013-2017'!$E:$E,""),"")</f>
        <v/>
      </c>
      <c r="X266" t="str">
        <f>IFERROR(_xlfn.XLOOKUP($AB266,'Cas 2013-2017'!$K:$K,'Cas 2013-2017'!$F:$F,""),"")</f>
        <v/>
      </c>
      <c r="Y266" t="str">
        <f>IFERROR(_xlfn.XLOOKUP($AB266,'Cas 2013-2017'!$K:$K,'Cas 2013-2017'!$G:$G,""),"")</f>
        <v/>
      </c>
      <c r="Z266" t="str">
        <f>IFERROR(_xlfn.XLOOKUP($AB266,'Cas 2013-2017'!$K:$K,'Cas 2013-2017'!$I:$I,""),"")</f>
        <v/>
      </c>
      <c r="AA266" t="str">
        <f>IFERROR(_xlfn.XLOOKUP($AB266,'Cas 2013-2017'!$K:$K,'Cas 2013-2017'!$H:$H,""),"")</f>
        <v/>
      </c>
      <c r="AB266" t="str">
        <f>LOWER($A266 &amp; "|" &amp; $AF266)</f>
        <v>2022|décompensation cardiaque</v>
      </c>
      <c r="AC266" t="str">
        <f>TRIM(SUBSTITUTE(SUBSTITUTE(SUBSTITUTE(SUBSTITUTE(" " &amp; LOWER(TRIM(IF($N266&lt;&gt;"", $N266, $H266))) &amp; " ", " aomi ", " arteriopathie des membres inferieurs "), " hta ", " hypertension arterielle "), " saos ", " syndrome d'apnees obstructives du sommeil "), " rgo ", " reflux gastro-oesophagien ") )</f>
        <v>décompensation cardiaque</v>
      </c>
      <c r="AD266" t="str">
        <f>TRIM(SUBSTITUTE(SUBSTITUTE(SUBSTITUTE(SUBSTITUTE(" " &amp; LOWER(TRIM($AC266)) &amp; " ", " oacr ", " occlusion de l'artere centrale de la retine "), " hsd ", " hematome sous-dural "), " fa ", " fibrillation auriculaire "), " ep ", " embolie pulmonaire ") )</f>
        <v>décompensation cardiaque</v>
      </c>
      <c r="AE266" t="str" cm="1">
        <f t="array" ref="AE266">_xlfn.LET(_xlpm.base, " " &amp; LOWER(TRIM($AD266))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décompensation cardiaque</v>
      </c>
      <c r="AF266" t="str" cm="1">
        <f t="array" ref="AF266">_xlfn.LET(_xlpm.base, " " &amp; LOWER(TRIM($AE266))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décompensation cardiaque</v>
      </c>
    </row>
    <row r="267" spans="1:32" ht="33.75">
      <c r="A267" s="8">
        <v>2022</v>
      </c>
      <c r="B267" s="10" t="s">
        <v>100</v>
      </c>
      <c r="C267" s="8" t="s">
        <v>33</v>
      </c>
      <c r="D267" s="20">
        <v>149</v>
      </c>
      <c r="E267" s="11" t="str">
        <f>IF(D267="","",IFERROR(INDEX(SSP!$E$2:$E$266, MATCH(D267, SSP!$F$2:$F$266, 0)),""))</f>
        <v>Perte transitoire de conscience, syncope</v>
      </c>
      <c r="F267" s="11" t="str">
        <f>Feuil1!E267</f>
        <v> </v>
      </c>
      <c r="G267" s="12" t="s">
        <v>609</v>
      </c>
      <c r="H267" s="13" t="s">
        <v>610</v>
      </c>
      <c r="I267" s="13"/>
      <c r="J267" s="16" t="s">
        <v>165</v>
      </c>
      <c r="K267" s="9" t="s">
        <v>33</v>
      </c>
      <c r="L267" s="9" t="s">
        <v>33</v>
      </c>
      <c r="M267" s="9" t="s">
        <v>33</v>
      </c>
      <c r="N267" t="s">
        <v>613</v>
      </c>
      <c r="O267" t="str">
        <f>IFERROR(_xlfn.XLOOKUP($D267, SSP!$F:$F, SSP!$E:$E, "Inconnu"), "")</f>
        <v>Perte transitoire de conscience, syncope</v>
      </c>
      <c r="P267" t="str">
        <f>IF(OR(E267="", O267=""), "", IF(LOWER(E267)=LOWER(O267), "OK", "⚠️ Libellé ≠ n°"))</f>
        <v>OK</v>
      </c>
      <c r="Q267" t="str">
        <f>IF(Feuil1!$E267="", "", IF(LOWER(Feuil1!$E267)=LOWER(E267), "Identique", "Différent"))</f>
        <v>Différent</v>
      </c>
      <c r="R267" t="str">
        <f>IF(OR(P267="⚠️ Libellé ≠ n°", O267="Inconnu"), "⚠️", IF(Q267="Différent", "ℹ️", ""))</f>
        <v>ℹ️</v>
      </c>
      <c r="S267" t="str" cm="1">
        <f t="array" ref="S267">_xlfn.LET(_xlpm.genCat,IFERROR(LOWER(TRIM(G267)),""),_xlpm.principal,IFERROR(LOWER(TRIM(H267)),""),_xlpm.orig,IFERROR(LOWER(TRIM(N267)),""),IF(OR(_xlpm.genCat="",_xlpm.principal=""),"",IF(LEFT(LOWER(G267),5)="autre","OK (Autre)",IF(OR(ISNUMBER(SEARCH(_xlpm.genCat,_xlpm.principal)),ISNUMBER(SEARCH(_xlpm.principal,_xlpm.genCat)),AND(_xlpm.orig&lt;&gt;"",OR(ISNUMBER(SEARCH(_xlpm.genCat,_xlpm.orig)),ISNUMBER(SEARCH(_xlpm.orig,_xlpm.genCat))))),"OK","⚠️ À vérifier"))))</f>
        <v>⚠️ À vérifier</v>
      </c>
      <c r="T267" t="str">
        <f>IF(S267="","",IF(S267="OK (Autre)","Diagnostic générique = 'Autre – …'",IF(S267="OK","Concordance générique/principal","Écart entre générique et principal")))</f>
        <v>Écart entre générique et principal</v>
      </c>
      <c r="U267" t="str" cm="1">
        <f t="array" ref="U267">_xlfn.LET(_xlpm.yr, A267, _xlpm.diag, IF(N267&lt;&gt;"", N267, H267), _xlpm.base, TRIM(SUBSTITUTE(SUBSTITUTE(SUBSTITUTE(SUBSTITUTE(_xlpm.diag,"•"," "),CHAR(160)," "),CHAR(10)," "),"  "," ")), LOWER(_xlpm.yr&amp;"|"&amp;_xlpm.base))</f>
        <v>2022|hypota orthostatique</v>
      </c>
      <c r="V267" t="str">
        <f>IFERROR(_xlfn.XLOOKUP($AB267,'Cas 2013-2017'!$K:$K,'Cas 2013-2017'!$D:$D,""),"")</f>
        <v/>
      </c>
      <c r="W267" t="str">
        <f>IFERROR(_xlfn.XLOOKUP($AB267,'Cas 2013-2017'!$K:$K,'Cas 2013-2017'!$E:$E,""),"")</f>
        <v/>
      </c>
      <c r="X267" t="str">
        <f>IFERROR(_xlfn.XLOOKUP($AB267,'Cas 2013-2017'!$K:$K,'Cas 2013-2017'!$F:$F,""),"")</f>
        <v/>
      </c>
      <c r="Y267" t="str">
        <f>IFERROR(_xlfn.XLOOKUP($AB267,'Cas 2013-2017'!$K:$K,'Cas 2013-2017'!$G:$G,""),"")</f>
        <v/>
      </c>
      <c r="Z267" t="str">
        <f>IFERROR(_xlfn.XLOOKUP($AB267,'Cas 2013-2017'!$K:$K,'Cas 2013-2017'!$I:$I,""),"")</f>
        <v/>
      </c>
      <c r="AA267" t="str">
        <f>IFERROR(_xlfn.XLOOKUP($AB267,'Cas 2013-2017'!$K:$K,'Cas 2013-2017'!$H:$H,""),"")</f>
        <v/>
      </c>
      <c r="AB267" t="str">
        <f>LOWER($A267 &amp; "|" &amp; $AF267)</f>
        <v>2022|hypota orthostatique</v>
      </c>
      <c r="AC267" t="str">
        <f>TRIM(SUBSTITUTE(SUBSTITUTE(SUBSTITUTE(SUBSTITUTE(" " &amp; LOWER(TRIM(IF($N267&lt;&gt;"", $N267, $H267))) &amp; " ", " aomi ", " arteriopathie des membres inferieurs "), " hta ", " hypertension arterielle "), " saos ", " syndrome d'apnees obstructives du sommeil "), " rgo ", " reflux gastro-oesophagien ") )</f>
        <v>hypota orthostatique</v>
      </c>
      <c r="AD267" t="str">
        <f>TRIM(SUBSTITUTE(SUBSTITUTE(SUBSTITUTE(SUBSTITUTE(" " &amp; LOWER(TRIM($AC267)) &amp; " ", " oacr ", " occlusion de l'artere centrale de la retine "), " hsd ", " hematome sous-dural "), " fa ", " fibrillation auriculaire "), " ep ", " embolie pulmonaire ") )</f>
        <v>hypota orthostatique</v>
      </c>
      <c r="AE267" t="str" cm="1">
        <f t="array" ref="AE267">_xlfn.LET(_xlpm.base, " " &amp; LOWER(TRIM($AD267))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hypota orthostatique</v>
      </c>
      <c r="AF267" t="str" cm="1">
        <f t="array" ref="AF267">_xlfn.LET(_xlpm.base, " " &amp; LOWER(TRIM($AE267))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hypota orthostatique</v>
      </c>
    </row>
    <row r="268" spans="1:32" ht="50.25">
      <c r="A268" s="8">
        <v>2022</v>
      </c>
      <c r="B268" s="10" t="s">
        <v>51</v>
      </c>
      <c r="C268" s="8" t="s">
        <v>33</v>
      </c>
      <c r="D268" s="20">
        <v>93</v>
      </c>
      <c r="E268" s="11" t="str">
        <f>IF(D268="","",IFERROR(INDEX(SSP!$E$2:$E$266, MATCH(D268, SSP!$F$2:$F$266, 0)),""))</f>
        <v>Macules, papules, pustules, vésicules, ulcères, abcès, bulles, épaississement cutané, nécrose, tumeur cutanée</v>
      </c>
      <c r="F268" s="11" t="str">
        <f>Feuil1!E268</f>
        <v> </v>
      </c>
      <c r="G268" s="12" t="s">
        <v>884</v>
      </c>
      <c r="H268" s="13" t="s">
        <v>885</v>
      </c>
      <c r="I268" s="13"/>
      <c r="J268" s="16" t="s">
        <v>165</v>
      </c>
      <c r="K268" s="9" t="s">
        <v>886</v>
      </c>
      <c r="L268" s="9" t="s">
        <v>33</v>
      </c>
      <c r="M268" s="9" t="s">
        <v>33</v>
      </c>
      <c r="N268" t="s">
        <v>885</v>
      </c>
      <c r="O268" t="str">
        <f>IFERROR(_xlfn.XLOOKUP($D268, SSP!$F:$F, SSP!$E:$E, "Inconnu"), "")</f>
        <v>Macules, papules, pustules, vésicules, ulcères, abcès, bulles, épaississement cutané, nécrose, tumeur cutanée</v>
      </c>
      <c r="P268" t="str">
        <f>IF(OR(E268="", O268=""), "", IF(LOWER(E268)=LOWER(O268), "OK", "⚠️ Libellé ≠ n°"))</f>
        <v>OK</v>
      </c>
      <c r="Q268" t="str">
        <f>IF(Feuil1!$E268="", "", IF(LOWER(Feuil1!$E268)=LOWER(E268), "Identique", "Différent"))</f>
        <v>Différent</v>
      </c>
      <c r="R268" t="str">
        <f>IF(OR(P268="⚠️ Libellé ≠ n°", O268="Inconnu"), "⚠️", IF(Q268="Différent", "ℹ️", ""))</f>
        <v>ℹ️</v>
      </c>
      <c r="S268" t="str" cm="1">
        <f t="array" ref="S268">_xlfn.LET(_xlpm.genCat,IFERROR(LOWER(TRIM(G268)),""),_xlpm.principal,IFERROR(LOWER(TRIM(H268)),""),_xlpm.orig,IFERROR(LOWER(TRIM(N268)),""),IF(OR(_xlpm.genCat="",_xlpm.principal=""),"",IF(LEFT(LOWER(G268),5)="autre","OK (Autre)",IF(OR(ISNUMBER(SEARCH(_xlpm.genCat,_xlpm.principal)),ISNUMBER(SEARCH(_xlpm.principal,_xlpm.genCat)),AND(_xlpm.orig&lt;&gt;"",OR(ISNUMBER(SEARCH(_xlpm.genCat,_xlpm.orig)),ISNUMBER(SEARCH(_xlpm.orig,_xlpm.genCat))))),"OK","⚠️ À vérifier"))))</f>
        <v>⚠️ À vérifier</v>
      </c>
      <c r="T268" t="str">
        <f>IF(S268="","",IF(S268="OK (Autre)","Diagnostic générique = 'Autre – …'",IF(S268="OK","Concordance générique/principal","Écart entre générique et principal")))</f>
        <v>Écart entre générique et principal</v>
      </c>
      <c r="U268" t="str" cm="1">
        <f t="array" ref="U268">_xlfn.LET(_xlpm.yr, A268, _xlpm.diag, IF(N268&lt;&gt;"", N268, H268), _xlpm.base, TRIM(SUBSTITUTE(SUBSTITUTE(SUBSTITUTE(SUBSTITUTE(_xlpm.diag,"•"," "),CHAR(160)," "),CHAR(10)," "),"  "," ")), LOWER(_xlpm.yr&amp;"|"&amp;_xlpm.base))</f>
        <v>2022|réaction allergique cutanée</v>
      </c>
      <c r="V268" t="str">
        <f>IFERROR(_xlfn.XLOOKUP($AB268,'Cas 2013-2017'!$K:$K,'Cas 2013-2017'!$D:$D,""),"")</f>
        <v/>
      </c>
      <c r="W268" t="str">
        <f>IFERROR(_xlfn.XLOOKUP($AB268,'Cas 2013-2017'!$K:$K,'Cas 2013-2017'!$E:$E,""),"")</f>
        <v/>
      </c>
      <c r="X268" t="str">
        <f>IFERROR(_xlfn.XLOOKUP($AB268,'Cas 2013-2017'!$K:$K,'Cas 2013-2017'!$F:$F,""),"")</f>
        <v/>
      </c>
      <c r="Y268" t="str">
        <f>IFERROR(_xlfn.XLOOKUP($AB268,'Cas 2013-2017'!$K:$K,'Cas 2013-2017'!$G:$G,""),"")</f>
        <v/>
      </c>
      <c r="Z268" t="str">
        <f>IFERROR(_xlfn.XLOOKUP($AB268,'Cas 2013-2017'!$K:$K,'Cas 2013-2017'!$I:$I,""),"")</f>
        <v/>
      </c>
      <c r="AA268" t="str">
        <f>IFERROR(_xlfn.XLOOKUP($AB268,'Cas 2013-2017'!$K:$K,'Cas 2013-2017'!$H:$H,""),"")</f>
        <v/>
      </c>
      <c r="AB268" t="str">
        <f>LOWER($A268 &amp; "|" &amp; $AF268)</f>
        <v>2022|réaction allergique cutanée</v>
      </c>
      <c r="AC268" t="str">
        <f>TRIM(SUBSTITUTE(SUBSTITUTE(SUBSTITUTE(SUBSTITUTE(" " &amp; LOWER(TRIM(IF($N268&lt;&gt;"", $N268, $H268))) &amp; " ", " aomi ", " arteriopathie des membres inferieurs "), " hta ", " hypertension arterielle "), " saos ", " syndrome d'apnees obstructives du sommeil "), " rgo ", " reflux gastro-oesophagien ") )</f>
        <v>réaction allergique cutanée</v>
      </c>
      <c r="AD268" t="str">
        <f>TRIM(SUBSTITUTE(SUBSTITUTE(SUBSTITUTE(SUBSTITUTE(" " &amp; LOWER(TRIM($AC268)) &amp; " ", " oacr ", " occlusion de l'artere centrale de la retine "), " hsd ", " hematome sous-dural "), " fa ", " fibrillation auriculaire "), " ep ", " embolie pulmonaire ") )</f>
        <v>réaction allergique cutanée</v>
      </c>
      <c r="AE268" t="str" cm="1">
        <f t="array" ref="AE268">_xlfn.LET(_xlpm.base, " " &amp; LOWER(TRIM($AD268))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réaction allergique cutanée</v>
      </c>
      <c r="AF268" t="str" cm="1">
        <f t="array" ref="AF268">_xlfn.LET(_xlpm.base, " " &amp; LOWER(TRIM($AE268))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réaction allergique cutanée</v>
      </c>
    </row>
    <row r="269" spans="1:32" ht="16.5">
      <c r="A269" s="8">
        <v>2022</v>
      </c>
      <c r="B269" s="10" t="s">
        <v>32</v>
      </c>
      <c r="C269" s="8" t="s">
        <v>33</v>
      </c>
      <c r="D269" s="20"/>
      <c r="E269" s="11" t="str">
        <f>IF(D269="","",IFERROR(INDEX(SSP!$E$2:$E$266, MATCH(D269, SSP!$F$2:$F$266, 0)),""))</f>
        <v/>
      </c>
      <c r="F269" s="11" t="str">
        <f>Feuil1!E269</f>
        <v> </v>
      </c>
      <c r="G269" s="12" t="s">
        <v>41</v>
      </c>
      <c r="H269" s="13" t="s">
        <v>887</v>
      </c>
      <c r="I269" s="13"/>
      <c r="J269" s="16" t="s">
        <v>165</v>
      </c>
      <c r="K269" s="9" t="s">
        <v>33</v>
      </c>
      <c r="L269" s="9" t="s">
        <v>33</v>
      </c>
      <c r="M269" s="9" t="s">
        <v>33</v>
      </c>
      <c r="N269" t="s">
        <v>887</v>
      </c>
      <c r="O269">
        <f>IFERROR(_xlfn.XLOOKUP($D269, SSP!$F:$F, SSP!$E:$E, "Inconnu"), "")</f>
        <v>0</v>
      </c>
      <c r="P269" t="str">
        <f>IF(OR(E269="", O269=""), "", IF(LOWER(E269)=LOWER(O269), "OK", "⚠️ Libellé ≠ n°"))</f>
        <v/>
      </c>
      <c r="Q269" t="str">
        <f>IF(Feuil1!$E269="", "", IF(LOWER(Feuil1!$E269)=LOWER(E269), "Identique", "Différent"))</f>
        <v>Différent</v>
      </c>
      <c r="R269" t="str">
        <f>IF(OR(P269="⚠️ Libellé ≠ n°", O269="Inconnu"), "⚠️", IF(Q269="Différent", "ℹ️", ""))</f>
        <v>ℹ️</v>
      </c>
      <c r="S269" t="str" cm="1">
        <f t="array" ref="S269">_xlfn.LET(_xlpm.genCat,IFERROR(LOWER(TRIM(G269)),""),_xlpm.principal,IFERROR(LOWER(TRIM(H269)),""),_xlpm.orig,IFERROR(LOWER(TRIM(N269)),""),IF(OR(_xlpm.genCat="",_xlpm.principal=""),"",IF(LEFT(LOWER(G269),5)="autre","OK (Autre)",IF(OR(ISNUMBER(SEARCH(_xlpm.genCat,_xlpm.principal)),ISNUMBER(SEARCH(_xlpm.principal,_xlpm.genCat)),AND(_xlpm.orig&lt;&gt;"",OR(ISNUMBER(SEARCH(_xlpm.genCat,_xlpm.orig)),ISNUMBER(SEARCH(_xlpm.orig,_xlpm.genCat))))),"OK","⚠️ À vérifier"))))</f>
        <v>OK (Autre)</v>
      </c>
      <c r="T269" t="str">
        <f>IF(S269="","",IF(S269="OK (Autre)","Diagnostic générique = 'Autre – …'",IF(S269="OK","Concordance générique/principal","Écart entre générique et principal")))</f>
        <v>Diagnostic générique = 'Autre – …'</v>
      </c>
      <c r="U269" t="str" cm="1">
        <f t="array" ref="U269">_xlfn.LET(_xlpm.yr, A269, _xlpm.diag, IF(N269&lt;&gt;"", N269, H269), _xlpm.base, TRIM(SUBSTITUTE(SUBSTITUTE(SUBSTITUTE(SUBSTITUTE(_xlpm.diag,"•"," "),CHAR(160)," "),CHAR(10)," "),"  "," ")), LOWER(_xlpm.yr&amp;"|"&amp;_xlpm.base))</f>
        <v>2022|ischémie mésentérique</v>
      </c>
      <c r="V269" t="str">
        <f>IFERROR(_xlfn.XLOOKUP($AB269,'Cas 2013-2017'!$K:$K,'Cas 2013-2017'!$D:$D,""),"")</f>
        <v/>
      </c>
      <c r="W269" t="str">
        <f>IFERROR(_xlfn.XLOOKUP($AB269,'Cas 2013-2017'!$K:$K,'Cas 2013-2017'!$E:$E,""),"")</f>
        <v/>
      </c>
      <c r="X269" t="str">
        <f>IFERROR(_xlfn.XLOOKUP($AB269,'Cas 2013-2017'!$K:$K,'Cas 2013-2017'!$F:$F,""),"")</f>
        <v/>
      </c>
      <c r="Y269" t="str">
        <f>IFERROR(_xlfn.XLOOKUP($AB269,'Cas 2013-2017'!$K:$K,'Cas 2013-2017'!$G:$G,""),"")</f>
        <v/>
      </c>
      <c r="Z269" t="str">
        <f>IFERROR(_xlfn.XLOOKUP($AB269,'Cas 2013-2017'!$K:$K,'Cas 2013-2017'!$I:$I,""),"")</f>
        <v/>
      </c>
      <c r="AA269" t="str">
        <f>IFERROR(_xlfn.XLOOKUP($AB269,'Cas 2013-2017'!$K:$K,'Cas 2013-2017'!$H:$H,""),"")</f>
        <v/>
      </c>
      <c r="AB269" t="str">
        <f>LOWER($A269 &amp; "|" &amp; $AF269)</f>
        <v>2022|ischémie mésentérique</v>
      </c>
      <c r="AC269" t="str">
        <f>TRIM(SUBSTITUTE(SUBSTITUTE(SUBSTITUTE(SUBSTITUTE(" " &amp; LOWER(TRIM(IF($N269&lt;&gt;"", $N269, $H269))) &amp; " ", " aomi ", " arteriopathie des membres inferieurs "), " hta ", " hypertension arterielle "), " saos ", " syndrome d'apnees obstructives du sommeil "), " rgo ", " reflux gastro-oesophagien ") )</f>
        <v>ischémie mésentérique</v>
      </c>
      <c r="AD269" t="str">
        <f>TRIM(SUBSTITUTE(SUBSTITUTE(SUBSTITUTE(SUBSTITUTE(" " &amp; LOWER(TRIM($AC269)) &amp; " ", " oacr ", " occlusion de l'artere centrale de la retine "), " hsd ", " hematome sous-dural "), " fa ", " fibrillation auriculaire "), " ep ", " embolie pulmonaire ") )</f>
        <v>ischémie mésentérique</v>
      </c>
      <c r="AE269" t="str" cm="1">
        <f t="array" ref="AE269">_xlfn.LET(_xlpm.base, " " &amp; LOWER(TRIM($AD269))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ischémie mésentérique</v>
      </c>
      <c r="AF269" t="str" cm="1">
        <f t="array" ref="AF269">_xlfn.LET(_xlpm.base, " " &amp; LOWER(TRIM($AE269))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ischémie mésentérique</v>
      </c>
    </row>
    <row r="270" spans="1:32" ht="33.75">
      <c r="A270" s="8">
        <v>2022</v>
      </c>
      <c r="B270" s="10" t="s">
        <v>91</v>
      </c>
      <c r="C270" s="8" t="s">
        <v>33</v>
      </c>
      <c r="D270" s="20">
        <v>68</v>
      </c>
      <c r="E270" s="11" t="str">
        <f>IF(D270="","",IFERROR(INDEX(SSP!$E$2:$E$266, MATCH(D270, SSP!$F$2:$F$266, 0)),""))</f>
        <v>Douleur pelvienne</v>
      </c>
      <c r="F270" s="11" t="str">
        <f>Feuil1!E270</f>
        <v> </v>
      </c>
      <c r="G270" s="12" t="s">
        <v>465</v>
      </c>
      <c r="H270" s="13" t="s">
        <v>466</v>
      </c>
      <c r="I270" s="13"/>
      <c r="J270" s="16" t="s">
        <v>165</v>
      </c>
      <c r="K270" s="9" t="s">
        <v>33</v>
      </c>
      <c r="L270" s="9" t="s">
        <v>33</v>
      </c>
      <c r="M270" s="9" t="s">
        <v>33</v>
      </c>
      <c r="N270" t="s">
        <v>466</v>
      </c>
      <c r="O270" t="str">
        <f>IFERROR(_xlfn.XLOOKUP($D270, SSP!$F:$F, SSP!$E:$E, "Inconnu"), "")</f>
        <v>Douleur pelvienne</v>
      </c>
      <c r="P270" t="str">
        <f>IF(OR(E270="", O270=""), "", IF(LOWER(E270)=LOWER(O270), "OK", "⚠️ Libellé ≠ n°"))</f>
        <v>OK</v>
      </c>
      <c r="Q270" t="str">
        <f>IF(Feuil1!$E270="", "", IF(LOWER(Feuil1!$E270)=LOWER(E270), "Identique", "Différent"))</f>
        <v>Différent</v>
      </c>
      <c r="R270" t="str">
        <f>IF(OR(P270="⚠️ Libellé ≠ n°", O270="Inconnu"), "⚠️", IF(Q270="Différent", "ℹ️", ""))</f>
        <v>ℹ️</v>
      </c>
      <c r="S270" t="str" cm="1">
        <f t="array" ref="S270">_xlfn.LET(_xlpm.genCat,IFERROR(LOWER(TRIM(G270)),""),_xlpm.principal,IFERROR(LOWER(TRIM(H270)),""),_xlpm.orig,IFERROR(LOWER(TRIM(N270)),""),IF(OR(_xlpm.genCat="",_xlpm.principal=""),"",IF(LEFT(LOWER(G270),5)="autre","OK (Autre)",IF(OR(ISNUMBER(SEARCH(_xlpm.genCat,_xlpm.principal)),ISNUMBER(SEARCH(_xlpm.principal,_xlpm.genCat)),AND(_xlpm.orig&lt;&gt;"",OR(ISNUMBER(SEARCH(_xlpm.genCat,_xlpm.orig)),ISNUMBER(SEARCH(_xlpm.orig,_xlpm.genCat))))),"OK","⚠️ À vérifier"))))</f>
        <v>OK</v>
      </c>
      <c r="T270" t="str">
        <f>IF(S270="","",IF(S270="OK (Autre)","Diagnostic générique = 'Autre – …'",IF(S270="OK","Concordance générique/principal","Écart entre générique et principal")))</f>
        <v>Concordance générique/principal</v>
      </c>
      <c r="U270" t="str" cm="1">
        <f t="array" ref="U270">_xlfn.LET(_xlpm.yr, A270, _xlpm.diag, IF(N270&lt;&gt;"", N270, H270), _xlpm.base, TRIM(SUBSTITUTE(SUBSTITUTE(SUBSTITUTE(SUBSTITUTE(_xlpm.diag,"•"," "),CHAR(160)," "),CHAR(10)," "),"  "," ")), LOWER(_xlpm.yr&amp;"|"&amp;_xlpm.base))</f>
        <v>2022|infection pelvienne inflammatoire (pid)</v>
      </c>
      <c r="V270" t="str">
        <f>IFERROR(_xlfn.XLOOKUP($AB270,'Cas 2013-2017'!$K:$K,'Cas 2013-2017'!$D:$D,""),"")</f>
        <v/>
      </c>
      <c r="W270" t="str">
        <f>IFERROR(_xlfn.XLOOKUP($AB270,'Cas 2013-2017'!$K:$K,'Cas 2013-2017'!$E:$E,""),"")</f>
        <v/>
      </c>
      <c r="X270" t="str">
        <f>IFERROR(_xlfn.XLOOKUP($AB270,'Cas 2013-2017'!$K:$K,'Cas 2013-2017'!$F:$F,""),"")</f>
        <v/>
      </c>
      <c r="Y270" t="str">
        <f>IFERROR(_xlfn.XLOOKUP($AB270,'Cas 2013-2017'!$K:$K,'Cas 2013-2017'!$G:$G,""),"")</f>
        <v/>
      </c>
      <c r="Z270" t="str">
        <f>IFERROR(_xlfn.XLOOKUP($AB270,'Cas 2013-2017'!$K:$K,'Cas 2013-2017'!$I:$I,""),"")</f>
        <v/>
      </c>
      <c r="AA270" t="str">
        <f>IFERROR(_xlfn.XLOOKUP($AB270,'Cas 2013-2017'!$K:$K,'Cas 2013-2017'!$H:$H,""),"")</f>
        <v/>
      </c>
      <c r="AB270" t="str">
        <f>LOWER($A270 &amp; "|" &amp; $AF270)</f>
        <v>2022|infection pelvienne inflammatoire (pid)</v>
      </c>
      <c r="AC270" t="str">
        <f>TRIM(SUBSTITUTE(SUBSTITUTE(SUBSTITUTE(SUBSTITUTE(" " &amp; LOWER(TRIM(IF($N270&lt;&gt;"", $N270, $H270))) &amp; " ", " aomi ", " arteriopathie des membres inferieurs "), " hta ", " hypertension arterielle "), " saos ", " syndrome d'apnees obstructives du sommeil "), " rgo ", " reflux gastro-oesophagien ") )</f>
        <v>infection pelvienne inflammatoire (pid)</v>
      </c>
      <c r="AD270" t="str">
        <f>TRIM(SUBSTITUTE(SUBSTITUTE(SUBSTITUTE(SUBSTITUTE(" " &amp; LOWER(TRIM($AC270)) &amp; " ", " oacr ", " occlusion de l'artere centrale de la retine "), " hsd ", " hematome sous-dural "), " fa ", " fibrillation auriculaire "), " ep ", " embolie pulmonaire ") )</f>
        <v>infection pelvienne inflammatoire (pid)</v>
      </c>
      <c r="AE270" t="str" cm="1">
        <f t="array" ref="AE270">_xlfn.LET(_xlpm.base, " " &amp; LOWER(TRIM($AD270))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infection pelvienne inflammatoire (pid)</v>
      </c>
      <c r="AF270" t="str" cm="1">
        <f t="array" ref="AF270">_xlfn.LET(_xlpm.base, " " &amp; LOWER(TRIM($AE270))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infection pelvienne inflammatoire (pid)</v>
      </c>
    </row>
    <row r="271" spans="1:32" ht="33.75">
      <c r="A271" s="8">
        <v>2022</v>
      </c>
      <c r="B271" s="10" t="s">
        <v>221</v>
      </c>
      <c r="C271" s="8" t="s">
        <v>33</v>
      </c>
      <c r="D271" s="20">
        <v>10</v>
      </c>
      <c r="E271" s="11" t="str">
        <f>IF(D271="","",IFERROR(INDEX(SSP!$E$2:$E$266, MATCH(D271, SSP!$F$2:$F$266, 0)),""))</f>
        <v>Douleur (toutes localisations et types confondus)</v>
      </c>
      <c r="F271" s="11" t="str">
        <f>Feuil1!E271</f>
        <v>Douleur coude</v>
      </c>
      <c r="G271" s="12" t="s">
        <v>584</v>
      </c>
      <c r="H271" s="13" t="s">
        <v>888</v>
      </c>
      <c r="I271" s="13"/>
      <c r="J271" s="16" t="s">
        <v>165</v>
      </c>
      <c r="K271" s="9" t="s">
        <v>33</v>
      </c>
      <c r="L271" s="9" t="s">
        <v>33</v>
      </c>
      <c r="M271" s="9" t="s">
        <v>33</v>
      </c>
      <c r="N271" t="s">
        <v>888</v>
      </c>
      <c r="O271" t="str">
        <f>IFERROR(_xlfn.XLOOKUP($D271, SSP!$F:$F, SSP!$E:$E, "Inconnu"), "")</f>
        <v>Douleur (toutes localisations et types confondus)</v>
      </c>
      <c r="P271" t="str">
        <f>IF(OR(E271="", O271=""), "", IF(LOWER(E271)=LOWER(O271), "OK", "⚠️ Libellé ≠ n°"))</f>
        <v>OK</v>
      </c>
      <c r="Q271" t="str">
        <f>IF(Feuil1!$E271="", "", IF(LOWER(Feuil1!$E271)=LOWER(E271), "Identique", "Différent"))</f>
        <v>Différent</v>
      </c>
      <c r="R271" t="str">
        <f>IF(OR(P271="⚠️ Libellé ≠ n°", O271="Inconnu"), "⚠️", IF(Q271="Différent", "ℹ️", ""))</f>
        <v>ℹ️</v>
      </c>
      <c r="S271" t="str" cm="1">
        <f t="array" ref="S271">_xlfn.LET(_xlpm.genCat,IFERROR(LOWER(TRIM(G271)),""),_xlpm.principal,IFERROR(LOWER(TRIM(H271)),""),_xlpm.orig,IFERROR(LOWER(TRIM(N271)),""),IF(OR(_xlpm.genCat="",_xlpm.principal=""),"",IF(LEFT(LOWER(G271),5)="autre","OK (Autre)",IF(OR(ISNUMBER(SEARCH(_xlpm.genCat,_xlpm.principal)),ISNUMBER(SEARCH(_xlpm.principal,_xlpm.genCat)),AND(_xlpm.orig&lt;&gt;"",OR(ISNUMBER(SEARCH(_xlpm.genCat,_xlpm.orig)),ISNUMBER(SEARCH(_xlpm.orig,_xlpm.genCat))))),"OK","⚠️ À vérifier"))))</f>
        <v>⚠️ À vérifier</v>
      </c>
      <c r="T271" t="str">
        <f>IF(S271="","",IF(S271="OK (Autre)","Diagnostic générique = 'Autre – …'",IF(S271="OK","Concordance générique/principal","Écart entre générique et principal")))</f>
        <v>Écart entre générique et principal</v>
      </c>
      <c r="U271" t="str" cm="1">
        <f t="array" ref="U271">_xlfn.LET(_xlpm.yr, A271, _xlpm.diag, IF(N271&lt;&gt;"", N271, H271), _xlpm.base, TRIM(SUBSTITUTE(SUBSTITUTE(SUBSTITUTE(SUBSTITUTE(_xlpm.diag,"•"," "),CHAR(160)," "),CHAR(10)," "),"  "," ")), LOWER(_xlpm.yr&amp;"|"&amp;_xlpm.base))</f>
        <v>2022|épicondylite</v>
      </c>
      <c r="V271" t="str">
        <f>IFERROR(_xlfn.XLOOKUP($AB271,'Cas 2013-2017'!$K:$K,'Cas 2013-2017'!$D:$D,""),"")</f>
        <v/>
      </c>
      <c r="W271" t="str">
        <f>IFERROR(_xlfn.XLOOKUP($AB271,'Cas 2013-2017'!$K:$K,'Cas 2013-2017'!$E:$E,""),"")</f>
        <v/>
      </c>
      <c r="X271" t="str">
        <f>IFERROR(_xlfn.XLOOKUP($AB271,'Cas 2013-2017'!$K:$K,'Cas 2013-2017'!$F:$F,""),"")</f>
        <v/>
      </c>
      <c r="Y271" t="str">
        <f>IFERROR(_xlfn.XLOOKUP($AB271,'Cas 2013-2017'!$K:$K,'Cas 2013-2017'!$G:$G,""),"")</f>
        <v/>
      </c>
      <c r="Z271" t="str">
        <f>IFERROR(_xlfn.XLOOKUP($AB271,'Cas 2013-2017'!$K:$K,'Cas 2013-2017'!$I:$I,""),"")</f>
        <v/>
      </c>
      <c r="AA271" t="str">
        <f>IFERROR(_xlfn.XLOOKUP($AB271,'Cas 2013-2017'!$K:$K,'Cas 2013-2017'!$H:$H,""),"")</f>
        <v/>
      </c>
      <c r="AB271" t="str">
        <f>LOWER($A271 &amp; "|" &amp; $AF271)</f>
        <v>2022|épicondylite</v>
      </c>
      <c r="AC271" t="str">
        <f>TRIM(SUBSTITUTE(SUBSTITUTE(SUBSTITUTE(SUBSTITUTE(" " &amp; LOWER(TRIM(IF($N271&lt;&gt;"", $N271, $H271))) &amp; " ", " aomi ", " arteriopathie des membres inferieurs "), " hta ", " hypertension arterielle "), " saos ", " syndrome d'apnees obstructives du sommeil "), " rgo ", " reflux gastro-oesophagien ") )</f>
        <v>épicondylite</v>
      </c>
      <c r="AD271" t="str">
        <f>TRIM(SUBSTITUTE(SUBSTITUTE(SUBSTITUTE(SUBSTITUTE(" " &amp; LOWER(TRIM($AC271)) &amp; " ", " oacr ", " occlusion de l'artere centrale de la retine "), " hsd ", " hematome sous-dural "), " fa ", " fibrillation auriculaire "), " ep ", " embolie pulmonaire ") )</f>
        <v>épicondylite</v>
      </c>
      <c r="AE271" t="str" cm="1">
        <f t="array" ref="AE271">_xlfn.LET(_xlpm.base, " " &amp; LOWER(TRIM($AD271))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épicondylite</v>
      </c>
      <c r="AF271" t="str" cm="1">
        <f t="array" ref="AF271">_xlfn.LET(_xlpm.base, " " &amp; LOWER(TRIM($AE271))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épicondylite</v>
      </c>
    </row>
    <row r="272" spans="1:32" ht="33.75">
      <c r="A272" s="8">
        <v>2022</v>
      </c>
      <c r="B272" s="10" t="s">
        <v>33</v>
      </c>
      <c r="C272" s="8" t="s">
        <v>33</v>
      </c>
      <c r="D272" s="20">
        <v>18</v>
      </c>
      <c r="E272" s="11" t="str">
        <f>IF(D272="","",IFERROR(INDEX(SSP!$E$2:$E$266, MATCH(D272, SSP!$F$2:$F$266, 0)),""))</f>
        <v>Perte de vision aiguë ou progressive (brutale, lente, transitoire, partielle)</v>
      </c>
      <c r="F272" s="11" t="str">
        <f>Feuil1!E272</f>
        <v> </v>
      </c>
      <c r="G272" s="12" t="s">
        <v>109</v>
      </c>
      <c r="H272" s="13" t="s">
        <v>110</v>
      </c>
      <c r="I272" s="13"/>
      <c r="J272" s="15" t="s">
        <v>33</v>
      </c>
      <c r="K272" s="9" t="s">
        <v>33</v>
      </c>
      <c r="L272" s="9" t="s">
        <v>33</v>
      </c>
      <c r="M272" s="9" t="s">
        <v>33</v>
      </c>
      <c r="N272" t="s">
        <v>110</v>
      </c>
      <c r="O272" t="str">
        <f>IFERROR(_xlfn.XLOOKUP($D272, SSP!$F:$F, SSP!$E:$E, "Inconnu"), "")</f>
        <v>Perte de vision aiguë ou progressive (brutale, lente, transitoire, partielle)</v>
      </c>
      <c r="P272" t="str">
        <f>IF(OR(E272="", O272=""), "", IF(LOWER(E272)=LOWER(O272), "OK", "⚠️ Libellé ≠ n°"))</f>
        <v>OK</v>
      </c>
      <c r="Q272" t="str">
        <f>IF(Feuil1!$E272="", "", IF(LOWER(Feuil1!$E272)=LOWER(E272), "Identique", "Différent"))</f>
        <v>Différent</v>
      </c>
      <c r="R272" t="str">
        <f>IF(OR(P272="⚠️ Libellé ≠ n°", O272="Inconnu"), "⚠️", IF(Q272="Différent", "ℹ️", ""))</f>
        <v>ℹ️</v>
      </c>
      <c r="S272" t="str" cm="1">
        <f t="array" ref="S272">_xlfn.LET(_xlpm.genCat,IFERROR(LOWER(TRIM(G272)),""),_xlpm.principal,IFERROR(LOWER(TRIM(H272)),""),_xlpm.orig,IFERROR(LOWER(TRIM(N272)),""),IF(OR(_xlpm.genCat="",_xlpm.principal=""),"",IF(LEFT(LOWER(G272),5)="autre","OK (Autre)",IF(OR(ISNUMBER(SEARCH(_xlpm.genCat,_xlpm.principal)),ISNUMBER(SEARCH(_xlpm.principal,_xlpm.genCat)),AND(_xlpm.orig&lt;&gt;"",OR(ISNUMBER(SEARCH(_xlpm.genCat,_xlpm.orig)),ISNUMBER(SEARCH(_xlpm.orig,_xlpm.genCat))))),"OK","⚠️ À vérifier"))))</f>
        <v>⚠️ À vérifier</v>
      </c>
      <c r="T272" t="str">
        <f>IF(S272="","",IF(S272="OK (Autre)","Diagnostic générique = 'Autre – …'",IF(S272="OK","Concordance générique/principal","Écart entre générique et principal")))</f>
        <v>Écart entre générique et principal</v>
      </c>
      <c r="U272" t="str" cm="1">
        <f t="array" ref="U272">_xlfn.LET(_xlpm.yr, A272, _xlpm.diag, IF(N272&lt;&gt;"", N272, H272), _xlpm.base, TRIM(SUBSTITUTE(SUBSTITUTE(SUBSTITUTE(SUBSTITUTE(_xlpm.diag,"•"," "),CHAR(160)," "),CHAR(10)," "),"  "," ")), LOWER(_xlpm.yr&amp;"|"&amp;_xlpm.base))</f>
        <v>2022|horton</v>
      </c>
      <c r="V272" t="str">
        <f>IFERROR(_xlfn.XLOOKUP($AB272,'Cas 2013-2017'!$K:$K,'Cas 2013-2017'!$D:$D,""),"")</f>
        <v/>
      </c>
      <c r="W272" t="str">
        <f>IFERROR(_xlfn.XLOOKUP($AB272,'Cas 2013-2017'!$K:$K,'Cas 2013-2017'!$E:$E,""),"")</f>
        <v/>
      </c>
      <c r="X272" t="str">
        <f>IFERROR(_xlfn.XLOOKUP($AB272,'Cas 2013-2017'!$K:$K,'Cas 2013-2017'!$F:$F,""),"")</f>
        <v/>
      </c>
      <c r="Y272" t="str">
        <f>IFERROR(_xlfn.XLOOKUP($AB272,'Cas 2013-2017'!$K:$K,'Cas 2013-2017'!$G:$G,""),"")</f>
        <v/>
      </c>
      <c r="Z272" t="str">
        <f>IFERROR(_xlfn.XLOOKUP($AB272,'Cas 2013-2017'!$K:$K,'Cas 2013-2017'!$I:$I,""),"")</f>
        <v/>
      </c>
      <c r="AA272" t="str">
        <f>IFERROR(_xlfn.XLOOKUP($AB272,'Cas 2013-2017'!$K:$K,'Cas 2013-2017'!$H:$H,""),"")</f>
        <v/>
      </c>
      <c r="AB272" t="str">
        <f>LOWER($A272 &amp; "|" &amp; $AF272)</f>
        <v>2022|horton</v>
      </c>
      <c r="AC272" t="str">
        <f>TRIM(SUBSTITUTE(SUBSTITUTE(SUBSTITUTE(SUBSTITUTE(" " &amp; LOWER(TRIM(IF($N272&lt;&gt;"", $N272, $H272))) &amp; " ", " aomi ", " arteriopathie des membres inferieurs "), " hta ", " hypertension arterielle "), " saos ", " syndrome d'apnees obstructives du sommeil "), " rgo ", " reflux gastro-oesophagien ") )</f>
        <v>horton</v>
      </c>
      <c r="AD272" t="str">
        <f>TRIM(SUBSTITUTE(SUBSTITUTE(SUBSTITUTE(SUBSTITUTE(" " &amp; LOWER(TRIM($AC272)) &amp; " ", " oacr ", " occlusion de l'artere centrale de la retine "), " hsd ", " hematome sous-dural "), " fa ", " fibrillation auriculaire "), " ep ", " embolie pulmonaire ") )</f>
        <v>horton</v>
      </c>
      <c r="AE272" t="str" cm="1">
        <f t="array" ref="AE272">_xlfn.LET(_xlpm.base, " " &amp; LOWER(TRIM($AD272))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horton</v>
      </c>
      <c r="AF272" t="str" cm="1">
        <f t="array" ref="AF272">_xlfn.LET(_xlpm.base, " " &amp; LOWER(TRIM($AE272))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horton</v>
      </c>
    </row>
    <row r="273" spans="1:32" ht="16.5">
      <c r="A273" s="8">
        <v>2022</v>
      </c>
      <c r="B273" s="10" t="s">
        <v>100</v>
      </c>
      <c r="C273" s="8" t="s">
        <v>33</v>
      </c>
      <c r="D273" s="20">
        <v>101</v>
      </c>
      <c r="E273" s="11" t="str">
        <f>IF(D273="","",IFERROR(INDEX(SSP!$E$2:$E$266, MATCH(D273, SSP!$F$2:$F$266, 0)),""))</f>
        <v>Céphalées</v>
      </c>
      <c r="F273" s="11" t="str">
        <f>Feuil1!E273</f>
        <v> </v>
      </c>
      <c r="G273" s="12" t="s">
        <v>353</v>
      </c>
      <c r="H273" s="13" t="s">
        <v>354</v>
      </c>
      <c r="I273" s="13"/>
      <c r="J273" s="15" t="s">
        <v>33</v>
      </c>
      <c r="K273" s="9" t="s">
        <v>33</v>
      </c>
      <c r="L273" s="9" t="s">
        <v>33</v>
      </c>
      <c r="M273" s="9" t="s">
        <v>33</v>
      </c>
      <c r="N273" t="s">
        <v>354</v>
      </c>
      <c r="O273" t="str">
        <f>IFERROR(_xlfn.XLOOKUP($D273, SSP!$F:$F, SSP!$E:$E, "Inconnu"), "")</f>
        <v>Céphalées</v>
      </c>
      <c r="P273" t="str">
        <f>IF(OR(E273="", O273=""), "", IF(LOWER(E273)=LOWER(O273), "OK", "⚠️ Libellé ≠ n°"))</f>
        <v>OK</v>
      </c>
      <c r="Q273" t="str">
        <f>IF(Feuil1!$E273="", "", IF(LOWER(Feuil1!$E273)=LOWER(E273), "Identique", "Différent"))</f>
        <v>Différent</v>
      </c>
      <c r="R273" t="str">
        <f>IF(OR(P273="⚠️ Libellé ≠ n°", O273="Inconnu"), "⚠️", IF(Q273="Différent", "ℹ️", ""))</f>
        <v>ℹ️</v>
      </c>
      <c r="S273" t="str" cm="1">
        <f t="array" ref="S273">_xlfn.LET(_xlpm.genCat,IFERROR(LOWER(TRIM(G273)),""),_xlpm.principal,IFERROR(LOWER(TRIM(H273)),""),_xlpm.orig,IFERROR(LOWER(TRIM(N273)),""),IF(OR(_xlpm.genCat="",_xlpm.principal=""),"",IF(LEFT(LOWER(G273),5)="autre","OK (Autre)",IF(OR(ISNUMBER(SEARCH(_xlpm.genCat,_xlpm.principal)),ISNUMBER(SEARCH(_xlpm.principal,_xlpm.genCat)),AND(_xlpm.orig&lt;&gt;"",OR(ISNUMBER(SEARCH(_xlpm.genCat,_xlpm.orig)),ISNUMBER(SEARCH(_xlpm.orig,_xlpm.genCat))))),"OK","⚠️ À vérifier"))))</f>
        <v>⚠️ À vérifier</v>
      </c>
      <c r="T273" t="str">
        <f>IF(S273="","",IF(S273="OK (Autre)","Diagnostic générique = 'Autre – …'",IF(S273="OK","Concordance générique/principal","Écart entre générique et principal")))</f>
        <v>Écart entre générique et principal</v>
      </c>
      <c r="U273" t="str" cm="1">
        <f t="array" ref="U273">_xlfn.LET(_xlpm.yr, A273, _xlpm.diag, IF(N273&lt;&gt;"", N273, H273), _xlpm.base, TRIM(SUBSTITUTE(SUBSTITUTE(SUBSTITUTE(SUBSTITUTE(_xlpm.diag,"•"," "),CHAR(160)," "),CHAR(10)," "),"  "," ")), LOWER(_xlpm.yr&amp;"|"&amp;_xlpm.base))</f>
        <v>2022|méningite</v>
      </c>
      <c r="V273" t="str">
        <f>IFERROR(_xlfn.XLOOKUP($AB273,'Cas 2013-2017'!$K:$K,'Cas 2013-2017'!$D:$D,""),"")</f>
        <v/>
      </c>
      <c r="W273" t="str">
        <f>IFERROR(_xlfn.XLOOKUP($AB273,'Cas 2013-2017'!$K:$K,'Cas 2013-2017'!$E:$E,""),"")</f>
        <v/>
      </c>
      <c r="X273" t="str">
        <f>IFERROR(_xlfn.XLOOKUP($AB273,'Cas 2013-2017'!$K:$K,'Cas 2013-2017'!$F:$F,""),"")</f>
        <v/>
      </c>
      <c r="Y273" t="str">
        <f>IFERROR(_xlfn.XLOOKUP($AB273,'Cas 2013-2017'!$K:$K,'Cas 2013-2017'!$G:$G,""),"")</f>
        <v/>
      </c>
      <c r="Z273" t="str">
        <f>IFERROR(_xlfn.XLOOKUP($AB273,'Cas 2013-2017'!$K:$K,'Cas 2013-2017'!$I:$I,""),"")</f>
        <v/>
      </c>
      <c r="AA273" t="str">
        <f>IFERROR(_xlfn.XLOOKUP($AB273,'Cas 2013-2017'!$K:$K,'Cas 2013-2017'!$H:$H,""),"")</f>
        <v/>
      </c>
      <c r="AB273" t="str">
        <f>LOWER($A273 &amp; "|" &amp; $AF273)</f>
        <v>2022|méningite</v>
      </c>
      <c r="AC273" t="str">
        <f>TRIM(SUBSTITUTE(SUBSTITUTE(SUBSTITUTE(SUBSTITUTE(" " &amp; LOWER(TRIM(IF($N273&lt;&gt;"", $N273, $H273))) &amp; " ", " aomi ", " arteriopathie des membres inferieurs "), " hta ", " hypertension arterielle "), " saos ", " syndrome d'apnees obstructives du sommeil "), " rgo ", " reflux gastro-oesophagien ") )</f>
        <v>méningite</v>
      </c>
      <c r="AD273" t="str">
        <f>TRIM(SUBSTITUTE(SUBSTITUTE(SUBSTITUTE(SUBSTITUTE(" " &amp; LOWER(TRIM($AC273)) &amp; " ", " oacr ", " occlusion de l'artere centrale de la retine "), " hsd ", " hematome sous-dural "), " fa ", " fibrillation auriculaire "), " ep ", " embolie pulmonaire ") )</f>
        <v>méningite</v>
      </c>
      <c r="AE273" t="str" cm="1">
        <f t="array" ref="AE273">_xlfn.LET(_xlpm.base, " " &amp; LOWER(TRIM($AD273))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méningite</v>
      </c>
      <c r="AF273" t="str" cm="1">
        <f t="array" ref="AF273">_xlfn.LET(_xlpm.base, " " &amp; LOWER(TRIM($AE273))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méningite</v>
      </c>
    </row>
    <row r="274" spans="1:32" ht="33.75">
      <c r="A274" s="8">
        <v>2022</v>
      </c>
      <c r="B274" s="10" t="s">
        <v>82</v>
      </c>
      <c r="C274" s="8" t="s">
        <v>451</v>
      </c>
      <c r="D274" s="20">
        <v>18</v>
      </c>
      <c r="E274" s="11" t="str">
        <f>IF(D274="","",IFERROR(INDEX(SSP!$E$2:$E$266, MATCH(D274, SSP!$F$2:$F$266, 0)),""))</f>
        <v>Perte de vision aiguë ou progressive (brutale, lente, transitoire, partielle)</v>
      </c>
      <c r="F274" s="11" t="str">
        <f>Feuil1!E274</f>
        <v>Amaurose</v>
      </c>
      <c r="G274" s="12" t="s">
        <v>83</v>
      </c>
      <c r="H274" s="13"/>
      <c r="I274" s="13"/>
      <c r="J274" s="15" t="s">
        <v>889</v>
      </c>
      <c r="K274" s="9" t="s">
        <v>890</v>
      </c>
      <c r="L274" s="9" t="s">
        <v>33</v>
      </c>
      <c r="M274" s="9" t="s">
        <v>33</v>
      </c>
      <c r="N274" t="s">
        <v>33</v>
      </c>
      <c r="O274" t="str">
        <f>IFERROR(_xlfn.XLOOKUP($D274, SSP!$F:$F, SSP!$E:$E, "Inconnu"), "")</f>
        <v>Perte de vision aiguë ou progressive (brutale, lente, transitoire, partielle)</v>
      </c>
      <c r="P274" t="str">
        <f>IF(OR(E274="", O274=""), "", IF(LOWER(E274)=LOWER(O274), "OK", "⚠️ Libellé ≠ n°"))</f>
        <v>OK</v>
      </c>
      <c r="Q274" t="str">
        <f>IF(Feuil1!$E274="", "", IF(LOWER(Feuil1!$E274)=LOWER(E274), "Identique", "Différent"))</f>
        <v>Différent</v>
      </c>
      <c r="R274" t="str">
        <f>IF(OR(P274="⚠️ Libellé ≠ n°", O274="Inconnu"), "⚠️", IF(Q274="Différent", "ℹ️", ""))</f>
        <v>ℹ️</v>
      </c>
      <c r="S274" t="str" cm="1">
        <f t="array" ref="S274">_xlfn.LET(_xlpm.genCat,IFERROR(LOWER(TRIM(G274)),""),_xlpm.principal,IFERROR(LOWER(TRIM(H274)),""),_xlpm.orig,IFERROR(LOWER(TRIM(N274)),""),IF(OR(_xlpm.genCat="",_xlpm.principal=""),"",IF(LEFT(LOWER(G274),5)="autre","OK (Autre)",IF(OR(ISNUMBER(SEARCH(_xlpm.genCat,_xlpm.principal)),ISNUMBER(SEARCH(_xlpm.principal,_xlpm.genCat)),AND(_xlpm.orig&lt;&gt;"",OR(ISNUMBER(SEARCH(_xlpm.genCat,_xlpm.orig)),ISNUMBER(SEARCH(_xlpm.orig,_xlpm.genCat))))),"OK","⚠️ À vérifier"))))</f>
        <v/>
      </c>
      <c r="T274" t="str">
        <f>IF(S274="","",IF(S274="OK (Autre)","Diagnostic générique = 'Autre – …'",IF(S274="OK","Concordance générique/principal","Écart entre générique et principal")))</f>
        <v/>
      </c>
      <c r="U274" t="str" cm="1">
        <f t="array" ref="U274">_xlfn.LET(_xlpm.yr, A274, _xlpm.diag, IF(N274&lt;&gt;"", N274, H274), _xlpm.base, TRIM(SUBSTITUTE(SUBSTITUTE(SUBSTITUTE(SUBSTITUTE(_xlpm.diag,"•"," "),CHAR(160)," "),CHAR(10)," "),"  "," ")), LOWER(_xlpm.yr&amp;"|"&amp;_xlpm.base))</f>
        <v>2022|</v>
      </c>
      <c r="V274" t="str">
        <f>IFERROR(_xlfn.XLOOKUP($AB274,'Cas 2013-2017'!$K:$K,'Cas 2013-2017'!$D:$D,""),"")</f>
        <v/>
      </c>
      <c r="W274" t="str">
        <f>IFERROR(_xlfn.XLOOKUP($AB274,'Cas 2013-2017'!$K:$K,'Cas 2013-2017'!$E:$E,""),"")</f>
        <v/>
      </c>
      <c r="X274" t="str">
        <f>IFERROR(_xlfn.XLOOKUP($AB274,'Cas 2013-2017'!$K:$K,'Cas 2013-2017'!$F:$F,""),"")</f>
        <v/>
      </c>
      <c r="Y274" t="str">
        <f>IFERROR(_xlfn.XLOOKUP($AB274,'Cas 2013-2017'!$K:$K,'Cas 2013-2017'!$G:$G,""),"")</f>
        <v/>
      </c>
      <c r="Z274" t="str">
        <f>IFERROR(_xlfn.XLOOKUP($AB274,'Cas 2013-2017'!$K:$K,'Cas 2013-2017'!$I:$I,""),"")</f>
        <v/>
      </c>
      <c r="AA274" t="str">
        <f>IFERROR(_xlfn.XLOOKUP($AB274,'Cas 2013-2017'!$K:$K,'Cas 2013-2017'!$H:$H,""),"")</f>
        <v/>
      </c>
      <c r="AB274" t="str">
        <f>LOWER($A274 &amp; "|" &amp; $AF274)</f>
        <v>2022| </v>
      </c>
      <c r="AC274" t="str">
        <f>TRIM(SUBSTITUTE(SUBSTITUTE(SUBSTITUTE(SUBSTITUTE(" " &amp; LOWER(TRIM(IF($N274&lt;&gt;"", $N274, $H274))) &amp; " ", " aomi ", " arteriopathie des membres inferieurs "), " hta ", " hypertension arterielle "), " saos ", " syndrome d'apnees obstructives du sommeil "), " rgo ", " reflux gastro-oesophagien ") )</f>
        <v> </v>
      </c>
      <c r="AD274" t="str">
        <f>TRIM(SUBSTITUTE(SUBSTITUTE(SUBSTITUTE(SUBSTITUTE(" " &amp; LOWER(TRIM($AC274)) &amp; " ", " oacr ", " occlusion de l'artere centrale de la retine "), " hsd ", " hematome sous-dural "), " fa ", " fibrillation auriculaire "), " ep ", " embolie pulmonaire ") )</f>
        <v> </v>
      </c>
      <c r="AE274" t="str" cm="1">
        <f t="array" ref="AE274">_xlfn.LET(_xlpm.base, " " &amp; LOWER(TRIM($AD274))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274" t="str" cm="1">
        <f t="array" ref="AF274">_xlfn.LET(_xlpm.base, " " &amp; LOWER(TRIM($AE274))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275" spans="1:32" ht="16.5">
      <c r="A275" s="8">
        <v>2022</v>
      </c>
      <c r="B275" s="10" t="s">
        <v>82</v>
      </c>
      <c r="C275" s="8" t="s">
        <v>33</v>
      </c>
      <c r="D275" s="20"/>
      <c r="E275" s="11" t="str">
        <f>IF(D275="","",IFERROR(INDEX(SSP!$E$2:$E$266, MATCH(D275, SSP!$F$2:$F$266, 0)),""))</f>
        <v/>
      </c>
      <c r="F275" s="11" t="str">
        <f>Feuil1!E275</f>
        <v> </v>
      </c>
      <c r="G275" s="12" t="s">
        <v>83</v>
      </c>
      <c r="H275" s="13" t="s">
        <v>619</v>
      </c>
      <c r="I275" s="13"/>
      <c r="J275" s="15" t="s">
        <v>33</v>
      </c>
      <c r="K275" s="9" t="s">
        <v>33</v>
      </c>
      <c r="L275" s="9" t="s">
        <v>33</v>
      </c>
      <c r="M275" s="9" t="s">
        <v>33</v>
      </c>
      <c r="N275" t="s">
        <v>619</v>
      </c>
      <c r="O275">
        <f>IFERROR(_xlfn.XLOOKUP($D275, SSP!$F:$F, SSP!$E:$E, "Inconnu"), "")</f>
        <v>0</v>
      </c>
      <c r="P275" t="str">
        <f>IF(OR(E275="", O275=""), "", IF(LOWER(E275)=LOWER(O275), "OK", "⚠️ Libellé ≠ n°"))</f>
        <v/>
      </c>
      <c r="Q275" t="str">
        <f>IF(Feuil1!$E275="", "", IF(LOWER(Feuil1!$E275)=LOWER(E275), "Identique", "Différent"))</f>
        <v>Différent</v>
      </c>
      <c r="R275" t="str">
        <f>IF(OR(P275="⚠️ Libellé ≠ n°", O275="Inconnu"), "⚠️", IF(Q275="Différent", "ℹ️", ""))</f>
        <v>ℹ️</v>
      </c>
      <c r="S275" t="str" cm="1">
        <f t="array" ref="S275">_xlfn.LET(_xlpm.genCat,IFERROR(LOWER(TRIM(G275)),""),_xlpm.principal,IFERROR(LOWER(TRIM(H275)),""),_xlpm.orig,IFERROR(LOWER(TRIM(N275)),""),IF(OR(_xlpm.genCat="",_xlpm.principal=""),"",IF(LEFT(LOWER(G275),5)="autre","OK (Autre)",IF(OR(ISNUMBER(SEARCH(_xlpm.genCat,_xlpm.principal)),ISNUMBER(SEARCH(_xlpm.principal,_xlpm.genCat)),AND(_xlpm.orig&lt;&gt;"",OR(ISNUMBER(SEARCH(_xlpm.genCat,_xlpm.orig)),ISNUMBER(SEARCH(_xlpm.orig,_xlpm.genCat))))),"OK","⚠️ À vérifier"))))</f>
        <v>OK (Autre)</v>
      </c>
      <c r="T275" t="str">
        <f>IF(S275="","",IF(S275="OK (Autre)","Diagnostic générique = 'Autre – …'",IF(S275="OK","Concordance générique/principal","Écart entre générique et principal")))</f>
        <v>Diagnostic générique = 'Autre – …'</v>
      </c>
      <c r="U275" t="str" cm="1">
        <f t="array" ref="U275">_xlfn.LET(_xlpm.yr, A275, _xlpm.diag, IF(N275&lt;&gt;"", N275, H275), _xlpm.base, TRIM(SUBSTITUTE(SUBSTITUTE(SUBSTITUTE(SUBSTITUTE(_xlpm.diag,"•"," "),CHAR(160)," "),CHAR(10)," "),"  "," ")), LOWER(_xlpm.yr&amp;"|"&amp;_xlpm.base))</f>
        <v>2022|décollement rétine</v>
      </c>
      <c r="V275" t="str">
        <f>IFERROR(_xlfn.XLOOKUP($AB275,'Cas 2013-2017'!$K:$K,'Cas 2013-2017'!$D:$D,""),"")</f>
        <v/>
      </c>
      <c r="W275" t="str">
        <f>IFERROR(_xlfn.XLOOKUP($AB275,'Cas 2013-2017'!$K:$K,'Cas 2013-2017'!$E:$E,""),"")</f>
        <v/>
      </c>
      <c r="X275" t="str">
        <f>IFERROR(_xlfn.XLOOKUP($AB275,'Cas 2013-2017'!$K:$K,'Cas 2013-2017'!$F:$F,""),"")</f>
        <v/>
      </c>
      <c r="Y275" t="str">
        <f>IFERROR(_xlfn.XLOOKUP($AB275,'Cas 2013-2017'!$K:$K,'Cas 2013-2017'!$G:$G,""),"")</f>
        <v/>
      </c>
      <c r="Z275" t="str">
        <f>IFERROR(_xlfn.XLOOKUP($AB275,'Cas 2013-2017'!$K:$K,'Cas 2013-2017'!$I:$I,""),"")</f>
        <v/>
      </c>
      <c r="AA275" t="str">
        <f>IFERROR(_xlfn.XLOOKUP($AB275,'Cas 2013-2017'!$K:$K,'Cas 2013-2017'!$H:$H,""),"")</f>
        <v/>
      </c>
      <c r="AB275" t="str">
        <f>LOWER($A275 &amp; "|" &amp; $AF275)</f>
        <v>2022|décollement rétine</v>
      </c>
      <c r="AC275" t="str">
        <f>TRIM(SUBSTITUTE(SUBSTITUTE(SUBSTITUTE(SUBSTITUTE(" " &amp; LOWER(TRIM(IF($N275&lt;&gt;"", $N275, $H275))) &amp; " ", " aomi ", " arteriopathie des membres inferieurs "), " hta ", " hypertension arterielle "), " saos ", " syndrome d'apnees obstructives du sommeil "), " rgo ", " reflux gastro-oesophagien ") )</f>
        <v>décollement rétine</v>
      </c>
      <c r="AD275" t="str">
        <f>TRIM(SUBSTITUTE(SUBSTITUTE(SUBSTITUTE(SUBSTITUTE(" " &amp; LOWER(TRIM($AC275)) &amp; " ", " oacr ", " occlusion de l'artere centrale de la retine "), " hsd ", " hematome sous-dural "), " fa ", " fibrillation auriculaire "), " ep ", " embolie pulmonaire ") )</f>
        <v>décollement rétine</v>
      </c>
      <c r="AE275" t="str" cm="1">
        <f t="array" ref="AE275">_xlfn.LET(_xlpm.base, " " &amp; LOWER(TRIM($AD275))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décollement rétine</v>
      </c>
      <c r="AF275" t="str" cm="1">
        <f t="array" ref="AF275">_xlfn.LET(_xlpm.base, " " &amp; LOWER(TRIM($AE275))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décollement rétine</v>
      </c>
    </row>
    <row r="276" spans="1:32" ht="33.75">
      <c r="A276" s="8">
        <v>2022</v>
      </c>
      <c r="B276" s="10" t="s">
        <v>100</v>
      </c>
      <c r="C276" s="8" t="s">
        <v>33</v>
      </c>
      <c r="D276" s="20"/>
      <c r="E276" s="11" t="str">
        <f>IF(D276="","",IFERROR(INDEX(SSP!$E$2:$E$266, MATCH(D276, SSP!$F$2:$F$266, 0)),""))</f>
        <v/>
      </c>
      <c r="F276" s="11" t="str">
        <f>Feuil1!E276</f>
        <v> </v>
      </c>
      <c r="G276" s="12" t="s">
        <v>233</v>
      </c>
      <c r="H276" s="13" t="s">
        <v>891</v>
      </c>
      <c r="I276" s="13"/>
      <c r="J276" s="16" t="s">
        <v>165</v>
      </c>
      <c r="K276" s="9" t="s">
        <v>892</v>
      </c>
      <c r="L276" s="9" t="s">
        <v>33</v>
      </c>
      <c r="M276" s="9" t="s">
        <v>33</v>
      </c>
      <c r="N276" t="s">
        <v>891</v>
      </c>
      <c r="O276">
        <f>IFERROR(_xlfn.XLOOKUP($D276, SSP!$F:$F, SSP!$E:$E, "Inconnu"), "")</f>
        <v>0</v>
      </c>
      <c r="P276" t="str">
        <f>IF(OR(E276="", O276=""), "", IF(LOWER(E276)=LOWER(O276), "OK", "⚠️ Libellé ≠ n°"))</f>
        <v/>
      </c>
      <c r="Q276" t="str">
        <f>IF(Feuil1!$E276="", "", IF(LOWER(Feuil1!$E276)=LOWER(E276), "Identique", "Différent"))</f>
        <v>Différent</v>
      </c>
      <c r="R276" t="str">
        <f>IF(OR(P276="⚠️ Libellé ≠ n°", O276="Inconnu"), "⚠️", IF(Q276="Différent", "ℹ️", ""))</f>
        <v>ℹ️</v>
      </c>
      <c r="S276" t="str" cm="1">
        <f t="array" ref="S276">_xlfn.LET(_xlpm.genCat,IFERROR(LOWER(TRIM(G276)),""),_xlpm.principal,IFERROR(LOWER(TRIM(H276)),""),_xlpm.orig,IFERROR(LOWER(TRIM(N276)),""),IF(OR(_xlpm.genCat="",_xlpm.principal=""),"",IF(LEFT(LOWER(G276),5)="autre","OK (Autre)",IF(OR(ISNUMBER(SEARCH(_xlpm.genCat,_xlpm.principal)),ISNUMBER(SEARCH(_xlpm.principal,_xlpm.genCat)),AND(_xlpm.orig&lt;&gt;"",OR(ISNUMBER(SEARCH(_xlpm.genCat,_xlpm.orig)),ISNUMBER(SEARCH(_xlpm.orig,_xlpm.genCat))))),"OK","⚠️ À vérifier"))))</f>
        <v>OK (Autre)</v>
      </c>
      <c r="T276" t="str">
        <f>IF(S276="","",IF(S276="OK (Autre)","Diagnostic générique = 'Autre – …'",IF(S276="OK","Concordance générique/principal","Écart entre générique et principal")))</f>
        <v>Diagnostic générique = 'Autre – …'</v>
      </c>
      <c r="U276" t="str" cm="1">
        <f t="array" ref="U276">_xlfn.LET(_xlpm.yr, A276, _xlpm.diag, IF(N276&lt;&gt;"", N276, H276), _xlpm.base, TRIM(SUBSTITUTE(SUBSTITUTE(SUBSTITUTE(SUBSTITUTE(_xlpm.diag,"•"," "),CHAR(160)," "),CHAR(10)," "),"  "," ")), LOWER(_xlpm.yr&amp;"|"&amp;_xlpm.base))</f>
        <v>2022|apnée du nourrisson</v>
      </c>
      <c r="V276" t="str">
        <f>IFERROR(_xlfn.XLOOKUP($AB276,'Cas 2013-2017'!$K:$K,'Cas 2013-2017'!$D:$D,""),"")</f>
        <v/>
      </c>
      <c r="W276" t="str">
        <f>IFERROR(_xlfn.XLOOKUP($AB276,'Cas 2013-2017'!$K:$K,'Cas 2013-2017'!$E:$E,""),"")</f>
        <v/>
      </c>
      <c r="X276" t="str">
        <f>IFERROR(_xlfn.XLOOKUP($AB276,'Cas 2013-2017'!$K:$K,'Cas 2013-2017'!$F:$F,""),"")</f>
        <v/>
      </c>
      <c r="Y276" t="str">
        <f>IFERROR(_xlfn.XLOOKUP($AB276,'Cas 2013-2017'!$K:$K,'Cas 2013-2017'!$G:$G,""),"")</f>
        <v/>
      </c>
      <c r="Z276" t="str">
        <f>IFERROR(_xlfn.XLOOKUP($AB276,'Cas 2013-2017'!$K:$K,'Cas 2013-2017'!$I:$I,""),"")</f>
        <v/>
      </c>
      <c r="AA276" t="str">
        <f>IFERROR(_xlfn.XLOOKUP($AB276,'Cas 2013-2017'!$K:$K,'Cas 2013-2017'!$H:$H,""),"")</f>
        <v/>
      </c>
      <c r="AB276" t="str">
        <f>LOWER($A276 &amp; "|" &amp; $AF276)</f>
        <v>2022|apnée du nourrisson</v>
      </c>
      <c r="AC276" t="str">
        <f>TRIM(SUBSTITUTE(SUBSTITUTE(SUBSTITUTE(SUBSTITUTE(" " &amp; LOWER(TRIM(IF($N276&lt;&gt;"", $N276, $H276))) &amp; " ", " aomi ", " arteriopathie des membres inferieurs "), " hta ", " hypertension arterielle "), " saos ", " syndrome d'apnees obstructives du sommeil "), " rgo ", " reflux gastro-oesophagien ") )</f>
        <v>apnée du nourrisson</v>
      </c>
      <c r="AD276" t="str">
        <f>TRIM(SUBSTITUTE(SUBSTITUTE(SUBSTITUTE(SUBSTITUTE(" " &amp; LOWER(TRIM($AC276)) &amp; " ", " oacr ", " occlusion de l'artere centrale de la retine "), " hsd ", " hematome sous-dural "), " fa ", " fibrillation auriculaire "), " ep ", " embolie pulmonaire ") )</f>
        <v>apnée du nourrisson</v>
      </c>
      <c r="AE276" t="str" cm="1">
        <f t="array" ref="AE276">_xlfn.LET(_xlpm.base, " " &amp; LOWER(TRIM($AD276))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apnée du nourrisson</v>
      </c>
      <c r="AF276" t="str" cm="1">
        <f t="array" ref="AF276">_xlfn.LET(_xlpm.base, " " &amp; LOWER(TRIM($AE276))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apnée du nourrisson</v>
      </c>
    </row>
    <row r="277" spans="1:32" ht="50.25">
      <c r="A277" s="8">
        <v>2022</v>
      </c>
      <c r="B277" s="10" t="s">
        <v>141</v>
      </c>
      <c r="C277" s="8" t="s">
        <v>33</v>
      </c>
      <c r="D277" s="20">
        <v>224</v>
      </c>
      <c r="E277" s="11" t="str">
        <f>IF(D277="","",IFERROR(INDEX(SSP!$E$2:$E$266, MATCH(D277, SSP!$F$2:$F$266, 0)),""))</f>
        <v>Demande de bilan de santé, d’examens radiologiques ou biologiques</v>
      </c>
      <c r="F277" s="11" t="str">
        <f>Feuil1!E277</f>
        <v> </v>
      </c>
      <c r="G277" s="12" t="s">
        <v>893</v>
      </c>
      <c r="H277" s="13" t="s">
        <v>894</v>
      </c>
      <c r="I277" s="13"/>
      <c r="J277" s="15" t="s">
        <v>895</v>
      </c>
      <c r="K277" s="9" t="s">
        <v>896</v>
      </c>
      <c r="L277" s="9" t="s">
        <v>33</v>
      </c>
      <c r="M277" s="9" t="s">
        <v>33</v>
      </c>
      <c r="N277" t="s">
        <v>894</v>
      </c>
      <c r="O277" t="str">
        <f>IFERROR(_xlfn.XLOOKUP($D277, SSP!$F:$F, SSP!$E:$E, "Inconnu"), "")</f>
        <v>Demande de bilan de santé, d’examens radiologiques ou biologiques</v>
      </c>
      <c r="P277" t="str">
        <f>IF(OR(E277="", O277=""), "", IF(LOWER(E277)=LOWER(O277), "OK", "⚠️ Libellé ≠ n°"))</f>
        <v>OK</v>
      </c>
      <c r="Q277" t="str">
        <f>IF(Feuil1!$E277="", "", IF(LOWER(Feuil1!$E277)=LOWER(E277), "Identique", "Différent"))</f>
        <v>Différent</v>
      </c>
      <c r="R277" t="str">
        <f>IF(OR(P277="⚠️ Libellé ≠ n°", O277="Inconnu"), "⚠️", IF(Q277="Différent", "ℹ️", ""))</f>
        <v>ℹ️</v>
      </c>
      <c r="S277" t="str" cm="1">
        <f t="array" ref="S277">_xlfn.LET(_xlpm.genCat,IFERROR(LOWER(TRIM(G277)),""),_xlpm.principal,IFERROR(LOWER(TRIM(H277)),""),_xlpm.orig,IFERROR(LOWER(TRIM(N277)),""),IF(OR(_xlpm.genCat="",_xlpm.principal=""),"",IF(LEFT(LOWER(G277),5)="autre","OK (Autre)",IF(OR(ISNUMBER(SEARCH(_xlpm.genCat,_xlpm.principal)),ISNUMBER(SEARCH(_xlpm.principal,_xlpm.genCat)),AND(_xlpm.orig&lt;&gt;"",OR(ISNUMBER(SEARCH(_xlpm.genCat,_xlpm.orig)),ISNUMBER(SEARCH(_xlpm.orig,_xlpm.genCat))))),"OK","⚠️ À vérifier"))))</f>
        <v>⚠️ À vérifier</v>
      </c>
      <c r="T277" t="str">
        <f>IF(S277="","",IF(S277="OK (Autre)","Diagnostic générique = 'Autre – …'",IF(S277="OK","Concordance générique/principal","Écart entre générique et principal")))</f>
        <v>Écart entre générique et principal</v>
      </c>
      <c r="U277" t="str" cm="1">
        <f t="array" ref="U277">_xlfn.LET(_xlpm.yr, A277, _xlpm.diag, IF(N277&lt;&gt;"", N277, H277), _xlpm.base, TRIM(SUBSTITUTE(SUBSTITUTE(SUBSTITUTE(SUBSTITUTE(_xlpm.diag,"•"," "),CHAR(160)," "),CHAR(10)," "),"  "," ")), LOWER(_xlpm.yr&amp;"|"&amp;_xlpm.base))</f>
        <v>2022|headsss</v>
      </c>
      <c r="V277" t="str">
        <f>IFERROR(_xlfn.XLOOKUP($AB277,'Cas 2013-2017'!$K:$K,'Cas 2013-2017'!$D:$D,""),"")</f>
        <v/>
      </c>
      <c r="W277" t="str">
        <f>IFERROR(_xlfn.XLOOKUP($AB277,'Cas 2013-2017'!$K:$K,'Cas 2013-2017'!$E:$E,""),"")</f>
        <v/>
      </c>
      <c r="X277" t="str">
        <f>IFERROR(_xlfn.XLOOKUP($AB277,'Cas 2013-2017'!$K:$K,'Cas 2013-2017'!$F:$F,""),"")</f>
        <v/>
      </c>
      <c r="Y277" t="str">
        <f>IFERROR(_xlfn.XLOOKUP($AB277,'Cas 2013-2017'!$K:$K,'Cas 2013-2017'!$G:$G,""),"")</f>
        <v/>
      </c>
      <c r="Z277" t="str">
        <f>IFERROR(_xlfn.XLOOKUP($AB277,'Cas 2013-2017'!$K:$K,'Cas 2013-2017'!$I:$I,""),"")</f>
        <v/>
      </c>
      <c r="AA277" t="str">
        <f>IFERROR(_xlfn.XLOOKUP($AB277,'Cas 2013-2017'!$K:$K,'Cas 2013-2017'!$H:$H,""),"")</f>
        <v/>
      </c>
      <c r="AB277" t="str">
        <f>LOWER($A277 &amp; "|" &amp; $AF277)</f>
        <v>2022|headsss</v>
      </c>
      <c r="AC277" t="str">
        <f>TRIM(SUBSTITUTE(SUBSTITUTE(SUBSTITUTE(SUBSTITUTE(" " &amp; LOWER(TRIM(IF($N277&lt;&gt;"", $N277, $H277))) &amp; " ", " aomi ", " arteriopathie des membres inferieurs "), " hta ", " hypertension arterielle "), " saos ", " syndrome d'apnees obstructives du sommeil "), " rgo ", " reflux gastro-oesophagien ") )</f>
        <v>headsss</v>
      </c>
      <c r="AD277" t="str">
        <f>TRIM(SUBSTITUTE(SUBSTITUTE(SUBSTITUTE(SUBSTITUTE(" " &amp; LOWER(TRIM($AC277)) &amp; " ", " oacr ", " occlusion de l'artere centrale de la retine "), " hsd ", " hematome sous-dural "), " fa ", " fibrillation auriculaire "), " ep ", " embolie pulmonaire ") )</f>
        <v>headsss</v>
      </c>
      <c r="AE277" t="str" cm="1">
        <f t="array" ref="AE277">_xlfn.LET(_xlpm.base, " " &amp; LOWER(TRIM($AD277))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headsss</v>
      </c>
      <c r="AF277" t="str" cm="1">
        <f t="array" ref="AF277">_xlfn.LET(_xlpm.base, " " &amp; LOWER(TRIM($AE277))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headsss</v>
      </c>
    </row>
    <row r="278" spans="1:32" ht="16.5">
      <c r="A278" s="8">
        <v>2022</v>
      </c>
      <c r="B278" s="10" t="s">
        <v>87</v>
      </c>
      <c r="C278" s="8" t="s">
        <v>33</v>
      </c>
      <c r="D278" s="20">
        <v>119</v>
      </c>
      <c r="E278" s="11" t="str">
        <f>IF(D278="","",IFERROR(INDEX(SSP!$E$2:$E$266, MATCH(D278, SSP!$F$2:$F$266, 0)),""))</f>
        <v>Trouble du déficit de l’attention</v>
      </c>
      <c r="F278" s="11" t="str">
        <f>Feuil1!E278</f>
        <v>Trouble de l'érection</v>
      </c>
      <c r="G278" s="12" t="s">
        <v>413</v>
      </c>
      <c r="H278" s="13" t="s">
        <v>414</v>
      </c>
      <c r="I278" s="13"/>
      <c r="J278" s="16" t="s">
        <v>165</v>
      </c>
      <c r="K278" s="9" t="s">
        <v>33</v>
      </c>
      <c r="L278" s="9" t="s">
        <v>33</v>
      </c>
      <c r="M278" s="9" t="s">
        <v>33</v>
      </c>
      <c r="N278" t="s">
        <v>828</v>
      </c>
      <c r="O278" t="str">
        <f>IFERROR(_xlfn.XLOOKUP($D278, SSP!$F:$F, SSP!$E:$E, "Inconnu"), "")</f>
        <v>Trouble du déficit de l’attention</v>
      </c>
      <c r="P278" t="str">
        <f>IF(OR(E278="", O278=""), "", IF(LOWER(E278)=LOWER(O278), "OK", "⚠️ Libellé ≠ n°"))</f>
        <v>OK</v>
      </c>
      <c r="Q278" t="str">
        <f>IF(Feuil1!$E278="", "", IF(LOWER(Feuil1!$E278)=LOWER(E278), "Identique", "Différent"))</f>
        <v>Différent</v>
      </c>
      <c r="R278" t="str">
        <f>IF(OR(P278="⚠️ Libellé ≠ n°", O278="Inconnu"), "⚠️", IF(Q278="Différent", "ℹ️", ""))</f>
        <v>ℹ️</v>
      </c>
      <c r="S278" t="str" cm="1">
        <f t="array" ref="S278">_xlfn.LET(_xlpm.genCat,IFERROR(LOWER(TRIM(G278)),""),_xlpm.principal,IFERROR(LOWER(TRIM(H278)),""),_xlpm.orig,IFERROR(LOWER(TRIM(N278)),""),IF(OR(_xlpm.genCat="",_xlpm.principal=""),"",IF(LEFT(LOWER(G278),5)="autre","OK (Autre)",IF(OR(ISNUMBER(SEARCH(_xlpm.genCat,_xlpm.principal)),ISNUMBER(SEARCH(_xlpm.principal,_xlpm.genCat)),AND(_xlpm.orig&lt;&gt;"",OR(ISNUMBER(SEARCH(_xlpm.genCat,_xlpm.orig)),ISNUMBER(SEARCH(_xlpm.orig,_xlpm.genCat))))),"OK","⚠️ À vérifier"))))</f>
        <v>⚠️ À vérifier</v>
      </c>
      <c r="T278" t="str">
        <f>IF(S278="","",IF(S278="OK (Autre)","Diagnostic générique = 'Autre – …'",IF(S278="OK","Concordance générique/principal","Écart entre générique et principal")))</f>
        <v>Écart entre générique et principal</v>
      </c>
      <c r="U278" t="str" cm="1">
        <f t="array" ref="U278">_xlfn.LET(_xlpm.yr, A278, _xlpm.diag, IF(N278&lt;&gt;"", N278, H278), _xlpm.base, TRIM(SUBSTITUTE(SUBSTITUTE(SUBSTITUTE(SUBSTITUTE(_xlpm.diag,"•"," "),CHAR(160)," "),CHAR(10)," "),"  "," ")), LOWER(_xlpm.yr&amp;"|"&amp;_xlpm.base))</f>
        <v>2022|dysfonction érectile.</v>
      </c>
      <c r="V278" t="str">
        <f>IFERROR(_xlfn.XLOOKUP($AB278,'Cas 2013-2017'!$K:$K,'Cas 2013-2017'!$D:$D,""),"")</f>
        <v/>
      </c>
      <c r="W278" t="str">
        <f>IFERROR(_xlfn.XLOOKUP($AB278,'Cas 2013-2017'!$K:$K,'Cas 2013-2017'!$E:$E,""),"")</f>
        <v/>
      </c>
      <c r="X278" t="str">
        <f>IFERROR(_xlfn.XLOOKUP($AB278,'Cas 2013-2017'!$K:$K,'Cas 2013-2017'!$F:$F,""),"")</f>
        <v/>
      </c>
      <c r="Y278" t="str">
        <f>IFERROR(_xlfn.XLOOKUP($AB278,'Cas 2013-2017'!$K:$K,'Cas 2013-2017'!$G:$G,""),"")</f>
        <v/>
      </c>
      <c r="Z278" t="str">
        <f>IFERROR(_xlfn.XLOOKUP($AB278,'Cas 2013-2017'!$K:$K,'Cas 2013-2017'!$I:$I,""),"")</f>
        <v/>
      </c>
      <c r="AA278" t="str">
        <f>IFERROR(_xlfn.XLOOKUP($AB278,'Cas 2013-2017'!$K:$K,'Cas 2013-2017'!$H:$H,""),"")</f>
        <v/>
      </c>
      <c r="AB278" t="str">
        <f>LOWER($A278 &amp; "|" &amp; $AF278)</f>
        <v>2022|dysfonction érectile.</v>
      </c>
      <c r="AC278" t="str">
        <f>TRIM(SUBSTITUTE(SUBSTITUTE(SUBSTITUTE(SUBSTITUTE(" " &amp; LOWER(TRIM(IF($N278&lt;&gt;"", $N278, $H278))) &amp; " ", " aomi ", " arteriopathie des membres inferieurs "), " hta ", " hypertension arterielle "), " saos ", " syndrome d'apnees obstructives du sommeil "), " rgo ", " reflux gastro-oesophagien ") )</f>
        <v>dysfonction érectile.</v>
      </c>
      <c r="AD278" t="str">
        <f>TRIM(SUBSTITUTE(SUBSTITUTE(SUBSTITUTE(SUBSTITUTE(" " &amp; LOWER(TRIM($AC278)) &amp; " ", " oacr ", " occlusion de l'artere centrale de la retine "), " hsd ", " hematome sous-dural "), " fa ", " fibrillation auriculaire "), " ep ", " embolie pulmonaire ") )</f>
        <v>dysfonction érectile.</v>
      </c>
      <c r="AE278" t="str" cm="1">
        <f t="array" ref="AE278">_xlfn.LET(_xlpm.base, " " &amp; LOWER(TRIM($AD278))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dysfonction érectile.</v>
      </c>
      <c r="AF278" t="str" cm="1">
        <f t="array" ref="AF278">_xlfn.LET(_xlpm.base, " " &amp; LOWER(TRIM($AE278))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dysfonction érectile.</v>
      </c>
    </row>
    <row r="279" spans="1:32" ht="50.25">
      <c r="A279" s="8">
        <v>2023</v>
      </c>
      <c r="B279" s="10" t="s">
        <v>32</v>
      </c>
      <c r="C279" s="8" t="s">
        <v>451</v>
      </c>
      <c r="D279" s="20">
        <v>46</v>
      </c>
      <c r="E279" s="11" t="str">
        <f>IF(D279="","",IFERROR(INDEX(SSP!$E$2:$E$266, MATCH(D279, SSP!$F$2:$F$266, 0)),""))</f>
        <v>Dyspnée</v>
      </c>
      <c r="F279" s="11" t="str">
        <f>Feuil1!E279</f>
        <v>Dyspnée</v>
      </c>
      <c r="G279" s="12" t="s">
        <v>897</v>
      </c>
      <c r="H279" s="13" t="s">
        <v>898</v>
      </c>
      <c r="I279" s="13"/>
      <c r="J279" s="15" t="s">
        <v>899</v>
      </c>
      <c r="K279" s="9" t="s">
        <v>900</v>
      </c>
      <c r="L279" s="9" t="s">
        <v>33</v>
      </c>
      <c r="M279" s="9" t="s">
        <v>33</v>
      </c>
      <c r="N279" t="s">
        <v>901</v>
      </c>
      <c r="O279" t="str">
        <f>IFERROR(_xlfn.XLOOKUP($D279, SSP!$F:$F, SSP!$E:$E, "Inconnu"), "")</f>
        <v>Dyspnée</v>
      </c>
      <c r="P279" t="str">
        <f>IF(OR(E279="", O279=""), "", IF(LOWER(E279)=LOWER(O279), "OK", "⚠️ Libellé ≠ n°"))</f>
        <v>OK</v>
      </c>
      <c r="Q279" t="str">
        <f>IF(Feuil1!$E279="", "", IF(LOWER(Feuil1!$E279)=LOWER(E279), "Identique", "Différent"))</f>
        <v>Identique</v>
      </c>
      <c r="R279" t="str">
        <f>IF(OR(P279="⚠️ Libellé ≠ n°", O279="Inconnu"), "⚠️", IF(Q279="Différent", "ℹ️", ""))</f>
        <v/>
      </c>
      <c r="S279" t="str" cm="1">
        <f t="array" ref="S279">_xlfn.LET(_xlpm.genCat,IFERROR(LOWER(TRIM(G279)),""),_xlpm.principal,IFERROR(LOWER(TRIM(H279)),""),_xlpm.orig,IFERROR(LOWER(TRIM(N279)),""),IF(OR(_xlpm.genCat="",_xlpm.principal=""),"",IF(LEFT(LOWER(G279),5)="autre","OK (Autre)",IF(OR(ISNUMBER(SEARCH(_xlpm.genCat,_xlpm.principal)),ISNUMBER(SEARCH(_xlpm.principal,_xlpm.genCat)),AND(_xlpm.orig&lt;&gt;"",OR(ISNUMBER(SEARCH(_xlpm.genCat,_xlpm.orig)),ISNUMBER(SEARCH(_xlpm.orig,_xlpm.genCat))))),"OK","⚠️ À vérifier"))))</f>
        <v>⚠️ À vérifier</v>
      </c>
      <c r="T279" t="str">
        <f>IF(S279="","",IF(S279="OK (Autre)","Diagnostic générique = 'Autre – …'",IF(S279="OK","Concordance générique/principal","Écart entre générique et principal")))</f>
        <v>Écart entre générique et principal</v>
      </c>
      <c r="U279" t="str" cm="1">
        <f t="array" ref="U279">_xlfn.LET(_xlpm.yr, A279, _xlpm.diag, IF(N279&lt;&gt;"", N279, H279), _xlpm.base, TRIM(SUBSTITUTE(SUBSTITUTE(SUBSTITUTE(SUBSTITUTE(_xlpm.diag,"•"," "),CHAR(160)," "),CHAR(10)," "),"  "," ")), LOWER(_xlpm.yr&amp;"|"&amp;_xlpm.base))</f>
        <v>2023|oap</v>
      </c>
      <c r="V279" t="str">
        <f>IFERROR(_xlfn.XLOOKUP($AB279,'Cas 2013-2017'!$K:$K,'Cas 2013-2017'!$D:$D,""),"")</f>
        <v/>
      </c>
      <c r="W279" t="str">
        <f>IFERROR(_xlfn.XLOOKUP($AB279,'Cas 2013-2017'!$K:$K,'Cas 2013-2017'!$E:$E,""),"")</f>
        <v/>
      </c>
      <c r="X279" t="str">
        <f>IFERROR(_xlfn.XLOOKUP($AB279,'Cas 2013-2017'!$K:$K,'Cas 2013-2017'!$F:$F,""),"")</f>
        <v/>
      </c>
      <c r="Y279" t="str">
        <f>IFERROR(_xlfn.XLOOKUP($AB279,'Cas 2013-2017'!$K:$K,'Cas 2013-2017'!$G:$G,""),"")</f>
        <v/>
      </c>
      <c r="Z279" t="str">
        <f>IFERROR(_xlfn.XLOOKUP($AB279,'Cas 2013-2017'!$K:$K,'Cas 2013-2017'!$I:$I,""),"")</f>
        <v/>
      </c>
      <c r="AA279" t="str">
        <f>IFERROR(_xlfn.XLOOKUP($AB279,'Cas 2013-2017'!$K:$K,'Cas 2013-2017'!$H:$H,""),"")</f>
        <v/>
      </c>
      <c r="AB279" t="str">
        <f>LOWER($A279 &amp; "|" &amp; $AF279)</f>
        <v>2023|oap</v>
      </c>
      <c r="AC279" t="str">
        <f>TRIM(SUBSTITUTE(SUBSTITUTE(SUBSTITUTE(SUBSTITUTE(" " &amp; LOWER(TRIM(IF($N279&lt;&gt;"", $N279, $H279))) &amp; " ", " aomi ", " arteriopathie des membres inferieurs "), " hta ", " hypertension arterielle "), " saos ", " syndrome d'apnees obstructives du sommeil "), " rgo ", " reflux gastro-oesophagien ") )</f>
        <v>oap</v>
      </c>
      <c r="AD279" t="str">
        <f>TRIM(SUBSTITUTE(SUBSTITUTE(SUBSTITUTE(SUBSTITUTE(" " &amp; LOWER(TRIM($AC279)) &amp; " ", " oacr ", " occlusion de l'artere centrale de la retine "), " hsd ", " hematome sous-dural "), " fa ", " fibrillation auriculaire "), " ep ", " embolie pulmonaire ") )</f>
        <v>oap</v>
      </c>
      <c r="AE279" t="str" cm="1">
        <f t="array" ref="AE279">_xlfn.LET(_xlpm.base, " " &amp; LOWER(TRIM($AD279))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oap</v>
      </c>
      <c r="AF279" t="str" cm="1">
        <f t="array" ref="AF279">_xlfn.LET(_xlpm.base, " " &amp; LOWER(TRIM($AE279))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oap</v>
      </c>
    </row>
    <row r="280" spans="1:32" ht="33.75">
      <c r="A280" s="8">
        <v>2023</v>
      </c>
      <c r="B280" s="10" t="s">
        <v>32</v>
      </c>
      <c r="C280" s="8" t="s">
        <v>33</v>
      </c>
      <c r="D280" s="20">
        <v>44</v>
      </c>
      <c r="E280" s="11" t="str">
        <f>IF(D280="","",IFERROR(INDEX(SSP!$E$2:$E$266, MATCH(D280, SSP!$F$2:$F$266, 0)),""))</f>
        <v>Douleur thoracique</v>
      </c>
      <c r="F280" s="11" t="str">
        <f>Feuil1!E280</f>
        <v>Douleur thoracique</v>
      </c>
      <c r="G280" s="12" t="s">
        <v>166</v>
      </c>
      <c r="H280" s="13" t="s">
        <v>902</v>
      </c>
      <c r="I280" s="13"/>
      <c r="J280" s="15" t="s">
        <v>33</v>
      </c>
      <c r="K280" s="9" t="s">
        <v>33</v>
      </c>
      <c r="L280" s="9" t="s">
        <v>33</v>
      </c>
      <c r="M280" s="9" t="s">
        <v>33</v>
      </c>
      <c r="N280" t="s">
        <v>903</v>
      </c>
      <c r="O280" t="str">
        <f>IFERROR(_xlfn.XLOOKUP($D280, SSP!$F:$F, SSP!$E:$E, "Inconnu"), "")</f>
        <v>Douleur thoracique</v>
      </c>
      <c r="P280" t="str">
        <f>IF(OR(E280="", O280=""), "", IF(LOWER(E280)=LOWER(O280), "OK", "⚠️ Libellé ≠ n°"))</f>
        <v>OK</v>
      </c>
      <c r="Q280" t="str">
        <f>IF(Feuil1!$E280="", "", IF(LOWER(Feuil1!$E280)=LOWER(E280), "Identique", "Différent"))</f>
        <v>Identique</v>
      </c>
      <c r="R280" t="str">
        <f>IF(OR(P280="⚠️ Libellé ≠ n°", O280="Inconnu"), "⚠️", IF(Q280="Différent", "ℹ️", ""))</f>
        <v/>
      </c>
      <c r="S280" t="str" cm="1">
        <f t="array" ref="S280">_xlfn.LET(_xlpm.genCat,IFERROR(LOWER(TRIM(G280)),""),_xlpm.principal,IFERROR(LOWER(TRIM(H280)),""),_xlpm.orig,IFERROR(LOWER(TRIM(N280)),""),IF(OR(_xlpm.genCat="",_xlpm.principal=""),"",IF(LEFT(LOWER(G280),5)="autre","OK (Autre)",IF(OR(ISNUMBER(SEARCH(_xlpm.genCat,_xlpm.principal)),ISNUMBER(SEARCH(_xlpm.principal,_xlpm.genCat)),AND(_xlpm.orig&lt;&gt;"",OR(ISNUMBER(SEARCH(_xlpm.genCat,_xlpm.orig)),ISNUMBER(SEARCH(_xlpm.orig,_xlpm.genCat))))),"OK","⚠️ À vérifier"))))</f>
        <v>⚠️ À vérifier</v>
      </c>
      <c r="T280" t="str">
        <f>IF(S280="","",IF(S280="OK (Autre)","Diagnostic générique = 'Autre – …'",IF(S280="OK","Concordance générique/principal","Écart entre générique et principal")))</f>
        <v>Écart entre générique et principal</v>
      </c>
      <c r="U280" t="str" cm="1">
        <f t="array" ref="U280">_xlfn.LET(_xlpm.yr, A280, _xlpm.diag, IF(N280&lt;&gt;"", N280, H280), _xlpm.base, TRIM(SUBSTITUTE(SUBSTITUTE(SUBSTITUTE(SUBSTITUTE(_xlpm.diag,"•"," "),CHAR(160)," "),CHAR(10)," "),"  "," ")), LOWER(_xlpm.yr&amp;"|"&amp;_xlpm.base))</f>
        <v>2023|stemi</v>
      </c>
      <c r="V280" t="str">
        <f>IFERROR(_xlfn.XLOOKUP($AB280,'Cas 2013-2017'!$K:$K,'Cas 2013-2017'!$D:$D,""),"")</f>
        <v/>
      </c>
      <c r="W280" t="str">
        <f>IFERROR(_xlfn.XLOOKUP($AB280,'Cas 2013-2017'!$K:$K,'Cas 2013-2017'!$E:$E,""),"")</f>
        <v/>
      </c>
      <c r="X280" t="str">
        <f>IFERROR(_xlfn.XLOOKUP($AB280,'Cas 2013-2017'!$K:$K,'Cas 2013-2017'!$F:$F,""),"")</f>
        <v/>
      </c>
      <c r="Y280" t="str">
        <f>IFERROR(_xlfn.XLOOKUP($AB280,'Cas 2013-2017'!$K:$K,'Cas 2013-2017'!$G:$G,""),"")</f>
        <v/>
      </c>
      <c r="Z280" t="str">
        <f>IFERROR(_xlfn.XLOOKUP($AB280,'Cas 2013-2017'!$K:$K,'Cas 2013-2017'!$I:$I,""),"")</f>
        <v/>
      </c>
      <c r="AA280" t="str">
        <f>IFERROR(_xlfn.XLOOKUP($AB280,'Cas 2013-2017'!$K:$K,'Cas 2013-2017'!$H:$H,""),"")</f>
        <v/>
      </c>
      <c r="AB280" t="str">
        <f>LOWER($A280 &amp; "|" &amp; $AF280)</f>
        <v>2023|stemi</v>
      </c>
      <c r="AC280" t="str">
        <f>TRIM(SUBSTITUTE(SUBSTITUTE(SUBSTITUTE(SUBSTITUTE(" " &amp; LOWER(TRIM(IF($N280&lt;&gt;"", $N280, $H280))) &amp; " ", " aomi ", " arteriopathie des membres inferieurs "), " hta ", " hypertension arterielle "), " saos ", " syndrome d'apnees obstructives du sommeil "), " rgo ", " reflux gastro-oesophagien ") )</f>
        <v>stemi</v>
      </c>
      <c r="AD280" t="str">
        <f>TRIM(SUBSTITUTE(SUBSTITUTE(SUBSTITUTE(SUBSTITUTE(" " &amp; LOWER(TRIM($AC280)) &amp; " ", " oacr ", " occlusion de l'artere centrale de la retine "), " hsd ", " hematome sous-dural "), " fa ", " fibrillation auriculaire "), " ep ", " embolie pulmonaire ") )</f>
        <v>stemi</v>
      </c>
      <c r="AE280" t="str" cm="1">
        <f t="array" ref="AE280">_xlfn.LET(_xlpm.base, " " &amp; LOWER(TRIM($AD280))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stemi</v>
      </c>
      <c r="AF280" t="str" cm="1">
        <f t="array" ref="AF280">_xlfn.LET(_xlpm.base, " " &amp; LOWER(TRIM($AE280))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stemi</v>
      </c>
    </row>
    <row r="281" spans="1:32" ht="33.75">
      <c r="A281" s="8">
        <v>2023</v>
      </c>
      <c r="B281" s="10" t="s">
        <v>32</v>
      </c>
      <c r="C281" s="8" t="s">
        <v>33</v>
      </c>
      <c r="D281" s="20">
        <v>50</v>
      </c>
      <c r="E281" s="11" t="str">
        <f>IF(D281="","",IFERROR(INDEX(SSP!$E$2:$E$266, MATCH(D281, SSP!$F$2:$F$266, 0)),""))</f>
        <v>Palpitations</v>
      </c>
      <c r="F281" s="11" t="str">
        <f>Feuil1!E281</f>
        <v>Palpitations</v>
      </c>
      <c r="G281" s="12" t="s">
        <v>41</v>
      </c>
      <c r="H281" s="13" t="s">
        <v>904</v>
      </c>
      <c r="I281" s="13"/>
      <c r="J281" s="15" t="s">
        <v>905</v>
      </c>
      <c r="K281" s="9" t="s">
        <v>33</v>
      </c>
      <c r="L281" s="9" t="s">
        <v>33</v>
      </c>
      <c r="M281" s="9" t="s">
        <v>33</v>
      </c>
      <c r="N281" t="s">
        <v>904</v>
      </c>
      <c r="O281" t="str">
        <f>IFERROR(_xlfn.XLOOKUP($D281, SSP!$F:$F, SSP!$E:$E, "Inconnu"), "")</f>
        <v>Palpitations</v>
      </c>
      <c r="P281" t="str">
        <f>IF(OR(E281="", O281=""), "", IF(LOWER(E281)=LOWER(O281), "OK", "⚠️ Libellé ≠ n°"))</f>
        <v>OK</v>
      </c>
      <c r="Q281" t="str">
        <f>IF(Feuil1!$E281="", "", IF(LOWER(Feuil1!$E281)=LOWER(E281), "Identique", "Différent"))</f>
        <v>Identique</v>
      </c>
      <c r="R281" t="str">
        <f>IF(OR(P281="⚠️ Libellé ≠ n°", O281="Inconnu"), "⚠️", IF(Q281="Différent", "ℹ️", ""))</f>
        <v/>
      </c>
      <c r="S281" t="str" cm="1">
        <f t="array" ref="S281">_xlfn.LET(_xlpm.genCat,IFERROR(LOWER(TRIM(G281)),""),_xlpm.principal,IFERROR(LOWER(TRIM(H281)),""),_xlpm.orig,IFERROR(LOWER(TRIM(N281)),""),IF(OR(_xlpm.genCat="",_xlpm.principal=""),"",IF(LEFT(LOWER(G281),5)="autre","OK (Autre)",IF(OR(ISNUMBER(SEARCH(_xlpm.genCat,_xlpm.principal)),ISNUMBER(SEARCH(_xlpm.principal,_xlpm.genCat)),AND(_xlpm.orig&lt;&gt;"",OR(ISNUMBER(SEARCH(_xlpm.genCat,_xlpm.orig)),ISNUMBER(SEARCH(_xlpm.orig,_xlpm.genCat))))),"OK","⚠️ À vérifier"))))</f>
        <v>OK (Autre)</v>
      </c>
      <c r="T281" t="str">
        <f>IF(S281="","",IF(S281="OK (Autre)","Diagnostic générique = 'Autre – …'",IF(S281="OK","Concordance générique/principal","Écart entre générique et principal")))</f>
        <v>Diagnostic générique = 'Autre – …'</v>
      </c>
      <c r="U281" t="str" cm="1">
        <f t="array" ref="U281">_xlfn.LET(_xlpm.yr, A281, _xlpm.diag, IF(N281&lt;&gt;"", N281, H281), _xlpm.base, TRIM(SUBSTITUTE(SUBSTITUTE(SUBSTITUTE(SUBSTITUTE(_xlpm.diag,"•"," "),CHAR(160)," "),CHAR(10)," "),"  "," ")), LOWER(_xlpm.yr&amp;"|"&amp;_xlpm.base))</f>
        <v>2023|tachycardie résolue spontanément</v>
      </c>
      <c r="V281" t="str">
        <f>IFERROR(_xlfn.XLOOKUP($AB281,'Cas 2013-2017'!$K:$K,'Cas 2013-2017'!$D:$D,""),"")</f>
        <v/>
      </c>
      <c r="W281" t="str">
        <f>IFERROR(_xlfn.XLOOKUP($AB281,'Cas 2013-2017'!$K:$K,'Cas 2013-2017'!$E:$E,""),"")</f>
        <v/>
      </c>
      <c r="X281" t="str">
        <f>IFERROR(_xlfn.XLOOKUP($AB281,'Cas 2013-2017'!$K:$K,'Cas 2013-2017'!$F:$F,""),"")</f>
        <v/>
      </c>
      <c r="Y281" t="str">
        <f>IFERROR(_xlfn.XLOOKUP($AB281,'Cas 2013-2017'!$K:$K,'Cas 2013-2017'!$G:$G,""),"")</f>
        <v/>
      </c>
      <c r="Z281" t="str">
        <f>IFERROR(_xlfn.XLOOKUP($AB281,'Cas 2013-2017'!$K:$K,'Cas 2013-2017'!$I:$I,""),"")</f>
        <v/>
      </c>
      <c r="AA281" t="str">
        <f>IFERROR(_xlfn.XLOOKUP($AB281,'Cas 2013-2017'!$K:$K,'Cas 2013-2017'!$H:$H,""),"")</f>
        <v/>
      </c>
      <c r="AB281" t="str">
        <f>LOWER($A281 &amp; "|" &amp; $AF281)</f>
        <v>2023|tachycardie résolue spontanément</v>
      </c>
      <c r="AC281" t="str">
        <f>TRIM(SUBSTITUTE(SUBSTITUTE(SUBSTITUTE(SUBSTITUTE(" " &amp; LOWER(TRIM(IF($N281&lt;&gt;"", $N281, $H281))) &amp; " ", " aomi ", " arteriopathie des membres inferieurs "), " hta ", " hypertension arterielle "), " saos ", " syndrome d'apnees obstructives du sommeil "), " rgo ", " reflux gastro-oesophagien ") )</f>
        <v>tachycardie résolue spontanément</v>
      </c>
      <c r="AD281" t="str">
        <f>TRIM(SUBSTITUTE(SUBSTITUTE(SUBSTITUTE(SUBSTITUTE(" " &amp; LOWER(TRIM($AC281)) &amp; " ", " oacr ", " occlusion de l'artere centrale de la retine "), " hsd ", " hematome sous-dural "), " fa ", " fibrillation auriculaire "), " ep ", " embolie pulmonaire ") )</f>
        <v>tachycardie résolue spontanément</v>
      </c>
      <c r="AE281" t="str" cm="1">
        <f t="array" ref="AE281">_xlfn.LET(_xlpm.base, " " &amp; LOWER(TRIM($AD281))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tachycardie résolue spontanément</v>
      </c>
      <c r="AF281" t="str" cm="1">
        <f t="array" ref="AF281">_xlfn.LET(_xlpm.base, " " &amp; LOWER(TRIM($AE281))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tachycardie résolue spontanément</v>
      </c>
    </row>
    <row r="282" spans="1:32" ht="50.25">
      <c r="A282" s="8">
        <v>2023</v>
      </c>
      <c r="B282" s="10" t="s">
        <v>82</v>
      </c>
      <c r="C282" s="8" t="s">
        <v>33</v>
      </c>
      <c r="D282" s="20">
        <v>52</v>
      </c>
      <c r="E282" s="11" t="str">
        <f>IF(D282="","",IFERROR(INDEX(SSP!$E$2:$E$266, MATCH(D282, SSP!$F$2:$F$266, 0)),""))</f>
        <v>Douleur abdominale ou épigastrique</v>
      </c>
      <c r="F282" s="11" t="str">
        <f>Feuil1!E282</f>
        <v>Douleur abdominale</v>
      </c>
      <c r="G282" s="12" t="s">
        <v>498</v>
      </c>
      <c r="H282" s="13" t="s">
        <v>906</v>
      </c>
      <c r="I282" s="13"/>
      <c r="J282" s="15" t="s">
        <v>907</v>
      </c>
      <c r="K282" s="9" t="s">
        <v>33</v>
      </c>
      <c r="L282" s="9" t="s">
        <v>33</v>
      </c>
      <c r="M282" s="9" t="s">
        <v>33</v>
      </c>
      <c r="N282" t="s">
        <v>906</v>
      </c>
      <c r="O282" t="str">
        <f>IFERROR(_xlfn.XLOOKUP($D282, SSP!$F:$F, SSP!$E:$E, "Inconnu"), "")</f>
        <v>Douleur abdominale ou épigastrique</v>
      </c>
      <c r="P282" t="str">
        <f>IF(OR(E282="", O282=""), "", IF(LOWER(E282)=LOWER(O282), "OK", "⚠️ Libellé ≠ n°"))</f>
        <v>OK</v>
      </c>
      <c r="Q282" t="str">
        <f>IF(Feuil1!$E282="", "", IF(LOWER(Feuil1!$E282)=LOWER(E282), "Identique", "Différent"))</f>
        <v>Différent</v>
      </c>
      <c r="R282" t="str">
        <f>IF(OR(P282="⚠️ Libellé ≠ n°", O282="Inconnu"), "⚠️", IF(Q282="Différent", "ℹ️", ""))</f>
        <v>ℹ️</v>
      </c>
      <c r="S282" t="str" cm="1">
        <f t="array" ref="S282">_xlfn.LET(_xlpm.genCat,IFERROR(LOWER(TRIM(G282)),""),_xlpm.principal,IFERROR(LOWER(TRIM(H282)),""),_xlpm.orig,IFERROR(LOWER(TRIM(N282)),""),IF(OR(_xlpm.genCat="",_xlpm.principal=""),"",IF(LEFT(LOWER(G282),5)="autre","OK (Autre)",IF(OR(ISNUMBER(SEARCH(_xlpm.genCat,_xlpm.principal)),ISNUMBER(SEARCH(_xlpm.principal,_xlpm.genCat)),AND(_xlpm.orig&lt;&gt;"",OR(ISNUMBER(SEARCH(_xlpm.genCat,_xlpm.orig)),ISNUMBER(SEARCH(_xlpm.orig,_xlpm.genCat))))),"OK","⚠️ À vérifier"))))</f>
        <v>OK (Autre)</v>
      </c>
      <c r="T282" t="str">
        <f>IF(S282="","",IF(S282="OK (Autre)","Diagnostic générique = 'Autre – …'",IF(S282="OK","Concordance générique/principal","Écart entre générique et principal")))</f>
        <v>Diagnostic générique = 'Autre – …'</v>
      </c>
      <c r="U282" t="str" cm="1">
        <f t="array" ref="U282">_xlfn.LET(_xlpm.yr, A282, _xlpm.diag, IF(N282&lt;&gt;"", N282, H282), _xlpm.base, TRIM(SUBSTITUTE(SUBSTITUTE(SUBSTITUTE(SUBSTITUTE(_xlpm.diag,"•"," "),CHAR(160)," "),CHAR(10)," "),"  "," ")), LOWER(_xlpm.yr&amp;"|"&amp;_xlpm.base))</f>
        <v>2023|lâchage d'anastomose</v>
      </c>
      <c r="V282" t="str">
        <f>IFERROR(_xlfn.XLOOKUP($AB282,'Cas 2013-2017'!$K:$K,'Cas 2013-2017'!$D:$D,""),"")</f>
        <v/>
      </c>
      <c r="W282" t="str">
        <f>IFERROR(_xlfn.XLOOKUP($AB282,'Cas 2013-2017'!$K:$K,'Cas 2013-2017'!$E:$E,""),"")</f>
        <v/>
      </c>
      <c r="X282" t="str">
        <f>IFERROR(_xlfn.XLOOKUP($AB282,'Cas 2013-2017'!$K:$K,'Cas 2013-2017'!$F:$F,""),"")</f>
        <v/>
      </c>
      <c r="Y282" t="str">
        <f>IFERROR(_xlfn.XLOOKUP($AB282,'Cas 2013-2017'!$K:$K,'Cas 2013-2017'!$G:$G,""),"")</f>
        <v/>
      </c>
      <c r="Z282" t="str">
        <f>IFERROR(_xlfn.XLOOKUP($AB282,'Cas 2013-2017'!$K:$K,'Cas 2013-2017'!$I:$I,""),"")</f>
        <v/>
      </c>
      <c r="AA282" t="str">
        <f>IFERROR(_xlfn.XLOOKUP($AB282,'Cas 2013-2017'!$K:$K,'Cas 2013-2017'!$H:$H,""),"")</f>
        <v/>
      </c>
      <c r="AB282" t="str">
        <f>LOWER($A282 &amp; "|" &amp; $AF282)</f>
        <v>2023|lâchage d'anastomose</v>
      </c>
      <c r="AC282" t="str">
        <f>TRIM(SUBSTITUTE(SUBSTITUTE(SUBSTITUTE(SUBSTITUTE(" " &amp; LOWER(TRIM(IF($N282&lt;&gt;"", $N282, $H282))) &amp; " ", " aomi ", " arteriopathie des membres inferieurs "), " hta ", " hypertension arterielle "), " saos ", " syndrome d'apnees obstructives du sommeil "), " rgo ", " reflux gastro-oesophagien ") )</f>
        <v>lâchage d'anastomose</v>
      </c>
      <c r="AD282" t="str">
        <f>TRIM(SUBSTITUTE(SUBSTITUTE(SUBSTITUTE(SUBSTITUTE(" " &amp; LOWER(TRIM($AC282)) &amp; " ", " oacr ", " occlusion de l'artere centrale de la retine "), " hsd ", " hematome sous-dural "), " fa ", " fibrillation auriculaire "), " ep ", " embolie pulmonaire ") )</f>
        <v>lâchage d'anastomose</v>
      </c>
      <c r="AE282" t="str" cm="1">
        <f t="array" ref="AE282">_xlfn.LET(_xlpm.base, " " &amp; LOWER(TRIM($AD282))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lâchage d'anastomose</v>
      </c>
      <c r="AF282" t="str" cm="1">
        <f t="array" ref="AF282">_xlfn.LET(_xlpm.base, " " &amp; LOWER(TRIM($AE282))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lâchage d'anastomose</v>
      </c>
    </row>
    <row r="283" spans="1:32" ht="33.75">
      <c r="A283" s="8">
        <v>2023</v>
      </c>
      <c r="B283" s="10" t="s">
        <v>82</v>
      </c>
      <c r="C283" s="8" t="s">
        <v>33</v>
      </c>
      <c r="D283" s="20">
        <v>90</v>
      </c>
      <c r="E283" s="11" t="str">
        <f>IF(D283="","",IFERROR(INDEX(SSP!$E$2:$E$266, MATCH(D283, SSP!$F$2:$F$266, 0)),""))</f>
        <v>Plaie infectée, retard de cicatrisation, ulcère cutané</v>
      </c>
      <c r="F283" s="11" t="str">
        <f>Feuil1!E283</f>
        <v>Plaie / Ulcère cutané</v>
      </c>
      <c r="G283" s="12" t="s">
        <v>83</v>
      </c>
      <c r="H283" s="13" t="s">
        <v>908</v>
      </c>
      <c r="I283" s="13"/>
      <c r="J283" s="15" t="s">
        <v>33</v>
      </c>
      <c r="K283" s="9" t="s">
        <v>33</v>
      </c>
      <c r="L283" s="9" t="s">
        <v>33</v>
      </c>
      <c r="M283" s="9" t="s">
        <v>33</v>
      </c>
      <c r="N283" t="s">
        <v>908</v>
      </c>
      <c r="O283" t="str">
        <f>IFERROR(_xlfn.XLOOKUP($D283, SSP!$F:$F, SSP!$E:$E, "Inconnu"), "")</f>
        <v>Plaie infectée, retard de cicatrisation, ulcère cutané</v>
      </c>
      <c r="P283" t="str">
        <f>IF(OR(E283="", O283=""), "", IF(LOWER(E283)=LOWER(O283), "OK", "⚠️ Libellé ≠ n°"))</f>
        <v>OK</v>
      </c>
      <c r="Q283" t="str">
        <f>IF(Feuil1!$E283="", "", IF(LOWER(Feuil1!$E283)=LOWER(E283), "Identique", "Différent"))</f>
        <v>Différent</v>
      </c>
      <c r="R283" t="str">
        <f>IF(OR(P283="⚠️ Libellé ≠ n°", O283="Inconnu"), "⚠️", IF(Q283="Différent", "ℹ️", ""))</f>
        <v>ℹ️</v>
      </c>
      <c r="S283" t="str" cm="1">
        <f t="array" ref="S283">_xlfn.LET(_xlpm.genCat,IFERROR(LOWER(TRIM(G283)),""),_xlpm.principal,IFERROR(LOWER(TRIM(H283)),""),_xlpm.orig,IFERROR(LOWER(TRIM(N283)),""),IF(OR(_xlpm.genCat="",_xlpm.principal=""),"",IF(LEFT(LOWER(G283),5)="autre","OK (Autre)",IF(OR(ISNUMBER(SEARCH(_xlpm.genCat,_xlpm.principal)),ISNUMBER(SEARCH(_xlpm.principal,_xlpm.genCat)),AND(_xlpm.orig&lt;&gt;"",OR(ISNUMBER(SEARCH(_xlpm.genCat,_xlpm.orig)),ISNUMBER(SEARCH(_xlpm.orig,_xlpm.genCat))))),"OK","⚠️ À vérifier"))))</f>
        <v>OK (Autre)</v>
      </c>
      <c r="T283" t="str">
        <f>IF(S283="","",IF(S283="OK (Autre)","Diagnostic générique = 'Autre – …'",IF(S283="OK","Concordance générique/principal","Écart entre générique et principal")))</f>
        <v>Diagnostic générique = 'Autre – …'</v>
      </c>
      <c r="U283" t="str" cm="1">
        <f t="array" ref="U283">_xlfn.LET(_xlpm.yr, A283, _xlpm.diag, IF(N283&lt;&gt;"", N283, H283), _xlpm.base, TRIM(SUBSTITUTE(SUBSTITUTE(SUBSTITUTE(SUBSTITUTE(_xlpm.diag,"•"," "),CHAR(160)," "),CHAR(10)," "),"  "," ")), LOWER(_xlpm.yr&amp;"|"&amp;_xlpm.base))</f>
        <v>2023|morsure de chien</v>
      </c>
      <c r="V283" t="str">
        <f>IFERROR(_xlfn.XLOOKUP($AB283,'Cas 2013-2017'!$K:$K,'Cas 2013-2017'!$D:$D,""),"")</f>
        <v/>
      </c>
      <c r="W283" t="str">
        <f>IFERROR(_xlfn.XLOOKUP($AB283,'Cas 2013-2017'!$K:$K,'Cas 2013-2017'!$E:$E,""),"")</f>
        <v/>
      </c>
      <c r="X283" t="str">
        <f>IFERROR(_xlfn.XLOOKUP($AB283,'Cas 2013-2017'!$K:$K,'Cas 2013-2017'!$F:$F,""),"")</f>
        <v/>
      </c>
      <c r="Y283" t="str">
        <f>IFERROR(_xlfn.XLOOKUP($AB283,'Cas 2013-2017'!$K:$K,'Cas 2013-2017'!$G:$G,""),"")</f>
        <v/>
      </c>
      <c r="Z283" t="str">
        <f>IFERROR(_xlfn.XLOOKUP($AB283,'Cas 2013-2017'!$K:$K,'Cas 2013-2017'!$I:$I,""),"")</f>
        <v/>
      </c>
      <c r="AA283" t="str">
        <f>IFERROR(_xlfn.XLOOKUP($AB283,'Cas 2013-2017'!$K:$K,'Cas 2013-2017'!$H:$H,""),"")</f>
        <v/>
      </c>
      <c r="AB283" t="str">
        <f>LOWER($A283 &amp; "|" &amp; $AF283)</f>
        <v>2023|morsure de chien</v>
      </c>
      <c r="AC283" t="str">
        <f>TRIM(SUBSTITUTE(SUBSTITUTE(SUBSTITUTE(SUBSTITUTE(" " &amp; LOWER(TRIM(IF($N283&lt;&gt;"", $N283, $H283))) &amp; " ", " aomi ", " arteriopathie des membres inferieurs "), " hta ", " hypertension arterielle "), " saos ", " syndrome d'apnees obstructives du sommeil "), " rgo ", " reflux gastro-oesophagien ") )</f>
        <v>morsure de chien</v>
      </c>
      <c r="AD283" t="str">
        <f>TRIM(SUBSTITUTE(SUBSTITUTE(SUBSTITUTE(SUBSTITUTE(" " &amp; LOWER(TRIM($AC283)) &amp; " ", " oacr ", " occlusion de l'artere centrale de la retine "), " hsd ", " hematome sous-dural "), " fa ", " fibrillation auriculaire "), " ep ", " embolie pulmonaire ") )</f>
        <v>morsure de chien</v>
      </c>
      <c r="AE283" t="str" cm="1">
        <f t="array" ref="AE283">_xlfn.LET(_xlpm.base, " " &amp; LOWER(TRIM($AD283))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morsure de chien</v>
      </c>
      <c r="AF283" t="str" cm="1">
        <f t="array" ref="AF283">_xlfn.LET(_xlpm.base, " " &amp; LOWER(TRIM($AE283))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morsure de chien</v>
      </c>
    </row>
    <row r="284" spans="1:32" ht="33.75">
      <c r="A284" s="8">
        <v>2023</v>
      </c>
      <c r="B284" s="10" t="s">
        <v>51</v>
      </c>
      <c r="C284" s="8" t="s">
        <v>33</v>
      </c>
      <c r="D284" s="20">
        <v>103</v>
      </c>
      <c r="E284" s="11" t="str">
        <f>IF(D284="","",IFERROR(INDEX(SSP!$E$2:$E$266, MATCH(D284, SSP!$F$2:$F$266, 0)),""))</f>
        <v>Paresie, paralysie</v>
      </c>
      <c r="F284" s="11" t="str">
        <f>Feuil1!E284</f>
        <v>Acné</v>
      </c>
      <c r="G284" s="12" t="s">
        <v>431</v>
      </c>
      <c r="H284" s="13" t="s">
        <v>909</v>
      </c>
      <c r="I284" s="13"/>
      <c r="J284" s="15" t="s">
        <v>910</v>
      </c>
      <c r="K284" s="9" t="s">
        <v>33</v>
      </c>
      <c r="L284" s="9" t="s">
        <v>33</v>
      </c>
      <c r="M284" s="9" t="s">
        <v>33</v>
      </c>
      <c r="N284" t="s">
        <v>909</v>
      </c>
      <c r="O284" t="str">
        <f>IFERROR(_xlfn.XLOOKUP($D284, SSP!$F:$F, SSP!$E:$E, "Inconnu"), "")</f>
        <v>Paresie, paralysie</v>
      </c>
      <c r="P284" t="str">
        <f>IF(OR(E284="", O284=""), "", IF(LOWER(E284)=LOWER(O284), "OK", "⚠️ Libellé ≠ n°"))</f>
        <v>OK</v>
      </c>
      <c r="Q284" t="str">
        <f>IF(Feuil1!$E284="", "", IF(LOWER(Feuil1!$E284)=LOWER(E284), "Identique", "Différent"))</f>
        <v>Différent</v>
      </c>
      <c r="R284" t="str">
        <f>IF(OR(P284="⚠️ Libellé ≠ n°", O284="Inconnu"), "⚠️", IF(Q284="Différent", "ℹ️", ""))</f>
        <v>ℹ️</v>
      </c>
      <c r="S284" t="str" cm="1">
        <f t="array" ref="S284">_xlfn.LET(_xlpm.genCat,IFERROR(LOWER(TRIM(G284)),""),_xlpm.principal,IFERROR(LOWER(TRIM(H284)),""),_xlpm.orig,IFERROR(LOWER(TRIM(N284)),""),IF(OR(_xlpm.genCat="",_xlpm.principal=""),"",IF(LEFT(LOWER(G284),5)="autre","OK (Autre)",IF(OR(ISNUMBER(SEARCH(_xlpm.genCat,_xlpm.principal)),ISNUMBER(SEARCH(_xlpm.principal,_xlpm.genCat)),AND(_xlpm.orig&lt;&gt;"",OR(ISNUMBER(SEARCH(_xlpm.genCat,_xlpm.orig)),ISNUMBER(SEARCH(_xlpm.orig,_xlpm.genCat))))),"OK","⚠️ À vérifier"))))</f>
        <v>OK (Autre)</v>
      </c>
      <c r="T284" t="str">
        <f>IF(S284="","",IF(S284="OK (Autre)","Diagnostic générique = 'Autre – …'",IF(S284="OK","Concordance générique/principal","Écart entre générique et principal")))</f>
        <v>Diagnostic générique = 'Autre – …'</v>
      </c>
      <c r="U284" t="str" cm="1">
        <f t="array" ref="U284">_xlfn.LET(_xlpm.yr, A284, _xlpm.diag, IF(N284&lt;&gt;"", N284, H284), _xlpm.base, TRIM(SUBSTITUTE(SUBSTITUTE(SUBSTITUTE(SUBSTITUTE(_xlpm.diag,"•"," "),CHAR(160)," "),CHAR(10)," "),"  "," ")), LOWER(_xlpm.yr&amp;"|"&amp;_xlpm.base))</f>
        <v>2023|acné (décision partagée sur le traitement)</v>
      </c>
      <c r="V284" t="str">
        <f>IFERROR(_xlfn.XLOOKUP($AB284,'Cas 2013-2017'!$K:$K,'Cas 2013-2017'!$D:$D,""),"")</f>
        <v/>
      </c>
      <c r="W284" t="str">
        <f>IFERROR(_xlfn.XLOOKUP($AB284,'Cas 2013-2017'!$K:$K,'Cas 2013-2017'!$E:$E,""),"")</f>
        <v/>
      </c>
      <c r="X284" t="str">
        <f>IFERROR(_xlfn.XLOOKUP($AB284,'Cas 2013-2017'!$K:$K,'Cas 2013-2017'!$F:$F,""),"")</f>
        <v/>
      </c>
      <c r="Y284" t="str">
        <f>IFERROR(_xlfn.XLOOKUP($AB284,'Cas 2013-2017'!$K:$K,'Cas 2013-2017'!$G:$G,""),"")</f>
        <v/>
      </c>
      <c r="Z284" t="str">
        <f>IFERROR(_xlfn.XLOOKUP($AB284,'Cas 2013-2017'!$K:$K,'Cas 2013-2017'!$I:$I,""),"")</f>
        <v/>
      </c>
      <c r="AA284" t="str">
        <f>IFERROR(_xlfn.XLOOKUP($AB284,'Cas 2013-2017'!$K:$K,'Cas 2013-2017'!$H:$H,""),"")</f>
        <v/>
      </c>
      <c r="AB284" t="str">
        <f>LOWER($A284 &amp; "|" &amp; $AF284)</f>
        <v>2023|acné (décision partagée sur le traitement)</v>
      </c>
      <c r="AC284" t="str">
        <f>TRIM(SUBSTITUTE(SUBSTITUTE(SUBSTITUTE(SUBSTITUTE(" " &amp; LOWER(TRIM(IF($N284&lt;&gt;"", $N284, $H284))) &amp; " ", " aomi ", " arteriopathie des membres inferieurs "), " hta ", " hypertension arterielle "), " saos ", " syndrome d'apnees obstructives du sommeil "), " rgo ", " reflux gastro-oesophagien ") )</f>
        <v>acné (décision partagée sur le traitement)</v>
      </c>
      <c r="AD284" t="str">
        <f>TRIM(SUBSTITUTE(SUBSTITUTE(SUBSTITUTE(SUBSTITUTE(" " &amp; LOWER(TRIM($AC284)) &amp; " ", " oacr ", " occlusion de l'artere centrale de la retine "), " hsd ", " hematome sous-dural "), " fa ", " fibrillation auriculaire "), " ep ", " embolie pulmonaire ") )</f>
        <v>acné (décision partagée sur le traitement)</v>
      </c>
      <c r="AE284" t="str" cm="1">
        <f t="array" ref="AE284">_xlfn.LET(_xlpm.base, " " &amp; LOWER(TRIM($AD284))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acné (décision partagée sur le traitement)</v>
      </c>
      <c r="AF284" t="str" cm="1">
        <f t="array" ref="AF284">_xlfn.LET(_xlpm.base, " " &amp; LOWER(TRIM($AE284))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acné (décision partagée sur le traitement)</v>
      </c>
    </row>
    <row r="285" spans="1:32" ht="50.25">
      <c r="A285" s="8">
        <v>2023</v>
      </c>
      <c r="B285" s="10" t="s">
        <v>91</v>
      </c>
      <c r="C285" s="8" t="s">
        <v>33</v>
      </c>
      <c r="D285" s="20">
        <v>93</v>
      </c>
      <c r="E285" s="11" t="str">
        <f>IF(D285="","",IFERROR(INDEX(SSP!$E$2:$E$266, MATCH(D285, SSP!$F$2:$F$266, 0)),""))</f>
        <v>Macules, papules, pustules, vésicules, ulcères, abcès, bulles, épaississement cutané, nécrose, tumeur cutanée</v>
      </c>
      <c r="F285" s="11" t="str">
        <f>Feuil1!E285</f>
        <v>Éruption cutanée</v>
      </c>
      <c r="G285" s="12" t="s">
        <v>92</v>
      </c>
      <c r="H285" s="13" t="s">
        <v>911</v>
      </c>
      <c r="I285" s="13"/>
      <c r="J285" s="15" t="s">
        <v>912</v>
      </c>
      <c r="K285" s="9" t="s">
        <v>33</v>
      </c>
      <c r="L285" s="9" t="s">
        <v>33</v>
      </c>
      <c r="M285" s="9" t="s">
        <v>33</v>
      </c>
      <c r="N285" t="s">
        <v>911</v>
      </c>
      <c r="O285" t="str">
        <f>IFERROR(_xlfn.XLOOKUP($D285, SSP!$F:$F, SSP!$E:$E, "Inconnu"), "")</f>
        <v>Macules, papules, pustules, vésicules, ulcères, abcès, bulles, épaississement cutané, nécrose, tumeur cutanée</v>
      </c>
      <c r="P285" t="str">
        <f>IF(OR(E285="", O285=""), "", IF(LOWER(E285)=LOWER(O285), "OK", "⚠️ Libellé ≠ n°"))</f>
        <v>OK</v>
      </c>
      <c r="Q285" t="str">
        <f>IF(Feuil1!$E285="", "", IF(LOWER(Feuil1!$E285)=LOWER(E285), "Identique", "Différent"))</f>
        <v>Différent</v>
      </c>
      <c r="R285" t="str">
        <f>IF(OR(P285="⚠️ Libellé ≠ n°", O285="Inconnu"), "⚠️", IF(Q285="Différent", "ℹ️", ""))</f>
        <v>ℹ️</v>
      </c>
      <c r="S285" t="str" cm="1">
        <f t="array" ref="S285">_xlfn.LET(_xlpm.genCat,IFERROR(LOWER(TRIM(G285)),""),_xlpm.principal,IFERROR(LOWER(TRIM(H285)),""),_xlpm.orig,IFERROR(LOWER(TRIM(N285)),""),IF(OR(_xlpm.genCat="",_xlpm.principal=""),"",IF(LEFT(LOWER(G285),5)="autre","OK (Autre)",IF(OR(ISNUMBER(SEARCH(_xlpm.genCat,_xlpm.principal)),ISNUMBER(SEARCH(_xlpm.principal,_xlpm.genCat)),AND(_xlpm.orig&lt;&gt;"",OR(ISNUMBER(SEARCH(_xlpm.genCat,_xlpm.orig)),ISNUMBER(SEARCH(_xlpm.orig,_xlpm.genCat))))),"OK","⚠️ À vérifier"))))</f>
        <v>⚠️ À vérifier</v>
      </c>
      <c r="T285" t="str">
        <f>IF(S285="","",IF(S285="OK (Autre)","Diagnostic générique = 'Autre – …'",IF(S285="OK","Concordance générique/principal","Écart entre générique et principal")))</f>
        <v>Écart entre générique et principal</v>
      </c>
      <c r="U285" t="str" cm="1">
        <f t="array" ref="U285">_xlfn.LET(_xlpm.yr, A285, _xlpm.diag, IF(N285&lt;&gt;"", N285, H285), _xlpm.base, TRIM(SUBSTITUTE(SUBSTITUTE(SUBSTITUTE(SUBSTITUTE(_xlpm.diag,"•"," "),CHAR(160)," "),CHAR(10)," "),"  "," ")), LOWER(_xlpm.yr&amp;"|"&amp;_xlpm.base))</f>
        <v>2023|syphilis</v>
      </c>
      <c r="V285" t="str">
        <f>IFERROR(_xlfn.XLOOKUP($AB285,'Cas 2013-2017'!$K:$K,'Cas 2013-2017'!$D:$D,""),"")</f>
        <v/>
      </c>
      <c r="W285" t="str">
        <f>IFERROR(_xlfn.XLOOKUP($AB285,'Cas 2013-2017'!$K:$K,'Cas 2013-2017'!$E:$E,""),"")</f>
        <v/>
      </c>
      <c r="X285" t="str">
        <f>IFERROR(_xlfn.XLOOKUP($AB285,'Cas 2013-2017'!$K:$K,'Cas 2013-2017'!$F:$F,""),"")</f>
        <v/>
      </c>
      <c r="Y285" t="str">
        <f>IFERROR(_xlfn.XLOOKUP($AB285,'Cas 2013-2017'!$K:$K,'Cas 2013-2017'!$G:$G,""),"")</f>
        <v/>
      </c>
      <c r="Z285" t="str">
        <f>IFERROR(_xlfn.XLOOKUP($AB285,'Cas 2013-2017'!$K:$K,'Cas 2013-2017'!$I:$I,""),"")</f>
        <v/>
      </c>
      <c r="AA285" t="str">
        <f>IFERROR(_xlfn.XLOOKUP($AB285,'Cas 2013-2017'!$K:$K,'Cas 2013-2017'!$H:$H,""),"")</f>
        <v/>
      </c>
      <c r="AB285" t="str">
        <f>LOWER($A285 &amp; "|" &amp; $AF285)</f>
        <v>2023|syphilis</v>
      </c>
      <c r="AC285" t="str">
        <f>TRIM(SUBSTITUTE(SUBSTITUTE(SUBSTITUTE(SUBSTITUTE(" " &amp; LOWER(TRIM(IF($N285&lt;&gt;"", $N285, $H285))) &amp; " ", " aomi ", " arteriopathie des membres inferieurs "), " hta ", " hypertension arterielle "), " saos ", " syndrome d'apnees obstructives du sommeil "), " rgo ", " reflux gastro-oesophagien ") )</f>
        <v>syphilis</v>
      </c>
      <c r="AD285" t="str">
        <f>TRIM(SUBSTITUTE(SUBSTITUTE(SUBSTITUTE(SUBSTITUTE(" " &amp; LOWER(TRIM($AC285)) &amp; " ", " oacr ", " occlusion de l'artere centrale de la retine "), " hsd ", " hematome sous-dural "), " fa ", " fibrillation auriculaire "), " ep ", " embolie pulmonaire ") )</f>
        <v>syphilis</v>
      </c>
      <c r="AE285" t="str" cm="1">
        <f t="array" ref="AE285">_xlfn.LET(_xlpm.base, " " &amp; LOWER(TRIM($AD285))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syphilis</v>
      </c>
      <c r="AF285" t="str" cm="1">
        <f t="array" ref="AF285">_xlfn.LET(_xlpm.base, " " &amp; LOWER(TRIM($AE285))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syphilis</v>
      </c>
    </row>
    <row r="286" spans="1:32" ht="50.25">
      <c r="A286" s="8">
        <v>2023</v>
      </c>
      <c r="B286" s="10" t="s">
        <v>82</v>
      </c>
      <c r="C286" s="8" t="s">
        <v>33</v>
      </c>
      <c r="D286" s="20">
        <v>85</v>
      </c>
      <c r="E286" s="11" t="str">
        <f>IF(D286="","",IFERROR(INDEX(SSP!$E$2:$E$266, MATCH(D286, SSP!$F$2:$F$266, 0)),""))</f>
        <v>Douleur, sensation de brûlure, crampes ou engourdissement des extrémités</v>
      </c>
      <c r="F286" s="11" t="str">
        <f>Feuil1!E286</f>
        <v>Engourdissement / faiblesse musculaire</v>
      </c>
      <c r="G286" s="12" t="s">
        <v>83</v>
      </c>
      <c r="H286" s="13" t="s">
        <v>913</v>
      </c>
      <c r="I286" s="13"/>
      <c r="J286" s="15" t="s">
        <v>914</v>
      </c>
      <c r="K286" s="9" t="s">
        <v>33</v>
      </c>
      <c r="L286" s="9" t="s">
        <v>33</v>
      </c>
      <c r="M286" s="9" t="s">
        <v>33</v>
      </c>
      <c r="N286" t="s">
        <v>913</v>
      </c>
      <c r="O286" t="str">
        <f>IFERROR(_xlfn.XLOOKUP($D286, SSP!$F:$F, SSP!$E:$E, "Inconnu"), "")</f>
        <v>Douleur, sensation de brûlure, crampes ou engourdissement des extrémités</v>
      </c>
      <c r="P286" t="str">
        <f>IF(OR(E286="", O286=""), "", IF(LOWER(E286)=LOWER(O286), "OK", "⚠️ Libellé ≠ n°"))</f>
        <v>OK</v>
      </c>
      <c r="Q286" t="str">
        <f>IF(Feuil1!$E286="", "", IF(LOWER(Feuil1!$E286)=LOWER(E286), "Identique", "Différent"))</f>
        <v>Différent</v>
      </c>
      <c r="R286" t="str">
        <f>IF(OR(P286="⚠️ Libellé ≠ n°", O286="Inconnu"), "⚠️", IF(Q286="Différent", "ℹ️", ""))</f>
        <v>ℹ️</v>
      </c>
      <c r="S286" t="str" cm="1">
        <f t="array" ref="S286">_xlfn.LET(_xlpm.genCat,IFERROR(LOWER(TRIM(G286)),""),_xlpm.principal,IFERROR(LOWER(TRIM(H286)),""),_xlpm.orig,IFERROR(LOWER(TRIM(N286)),""),IF(OR(_xlpm.genCat="",_xlpm.principal=""),"",IF(LEFT(LOWER(G286),5)="autre","OK (Autre)",IF(OR(ISNUMBER(SEARCH(_xlpm.genCat,_xlpm.principal)),ISNUMBER(SEARCH(_xlpm.principal,_xlpm.genCat)),AND(_xlpm.orig&lt;&gt;"",OR(ISNUMBER(SEARCH(_xlpm.genCat,_xlpm.orig)),ISNUMBER(SEARCH(_xlpm.orig,_xlpm.genCat))))),"OK","⚠️ À vérifier"))))</f>
        <v>OK (Autre)</v>
      </c>
      <c r="T286" t="str">
        <f>IF(S286="","",IF(S286="OK (Autre)","Diagnostic générique = 'Autre – …'",IF(S286="OK","Concordance générique/principal","Écart entre générique et principal")))</f>
        <v>Diagnostic générique = 'Autre – …'</v>
      </c>
      <c r="U286" t="str" cm="1">
        <f t="array" ref="U286">_xlfn.LET(_xlpm.yr, A286, _xlpm.diag, IF(N286&lt;&gt;"", N286, H286), _xlpm.base, TRIM(SUBSTITUTE(SUBSTITUTE(SUBSTITUTE(SUBSTITUTE(_xlpm.diag,"•"," "),CHAR(160)," "),CHAR(10)," "),"  "," ")), LOWER(_xlpm.yr&amp;"|"&amp;_xlpm.base))</f>
        <v>2023|neuropathie diabétique</v>
      </c>
      <c r="V286" t="str">
        <f>IFERROR(_xlfn.XLOOKUP($AB286,'Cas 2013-2017'!$K:$K,'Cas 2013-2017'!$D:$D,""),"")</f>
        <v/>
      </c>
      <c r="W286" t="str">
        <f>IFERROR(_xlfn.XLOOKUP($AB286,'Cas 2013-2017'!$K:$K,'Cas 2013-2017'!$E:$E,""),"")</f>
        <v/>
      </c>
      <c r="X286" t="str">
        <f>IFERROR(_xlfn.XLOOKUP($AB286,'Cas 2013-2017'!$K:$K,'Cas 2013-2017'!$F:$F,""),"")</f>
        <v/>
      </c>
      <c r="Y286" t="str">
        <f>IFERROR(_xlfn.XLOOKUP($AB286,'Cas 2013-2017'!$K:$K,'Cas 2013-2017'!$G:$G,""),"")</f>
        <v/>
      </c>
      <c r="Z286" t="str">
        <f>IFERROR(_xlfn.XLOOKUP($AB286,'Cas 2013-2017'!$K:$K,'Cas 2013-2017'!$I:$I,""),"")</f>
        <v/>
      </c>
      <c r="AA286" t="str">
        <f>IFERROR(_xlfn.XLOOKUP($AB286,'Cas 2013-2017'!$K:$K,'Cas 2013-2017'!$H:$H,""),"")</f>
        <v/>
      </c>
      <c r="AB286" t="str">
        <f>LOWER($A286 &amp; "|" &amp; $AF286)</f>
        <v>2023|neuropathie diabétique</v>
      </c>
      <c r="AC286" t="str">
        <f>TRIM(SUBSTITUTE(SUBSTITUTE(SUBSTITUTE(SUBSTITUTE(" " &amp; LOWER(TRIM(IF($N286&lt;&gt;"", $N286, $H286))) &amp; " ", " aomi ", " arteriopathie des membres inferieurs "), " hta ", " hypertension arterielle "), " saos ", " syndrome d'apnees obstructives du sommeil "), " rgo ", " reflux gastro-oesophagien ") )</f>
        <v>neuropathie diabétique</v>
      </c>
      <c r="AD286" t="str">
        <f>TRIM(SUBSTITUTE(SUBSTITUTE(SUBSTITUTE(SUBSTITUTE(" " &amp; LOWER(TRIM($AC286)) &amp; " ", " oacr ", " occlusion de l'artere centrale de la retine "), " hsd ", " hematome sous-dural "), " fa ", " fibrillation auriculaire "), " ep ", " embolie pulmonaire ") )</f>
        <v>neuropathie diabétique</v>
      </c>
      <c r="AE286" t="str" cm="1">
        <f t="array" ref="AE286">_xlfn.LET(_xlpm.base, " " &amp; LOWER(TRIM($AD286))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neuropathie diabétique</v>
      </c>
      <c r="AF286" t="str" cm="1">
        <f t="array" ref="AF286">_xlfn.LET(_xlpm.base, " " &amp; LOWER(TRIM($AE286))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neuropathie diabétique</v>
      </c>
    </row>
    <row r="287" spans="1:32" ht="16.5">
      <c r="A287" s="8">
        <v>2023</v>
      </c>
      <c r="B287" s="10" t="s">
        <v>82</v>
      </c>
      <c r="C287" s="8" t="s">
        <v>33</v>
      </c>
      <c r="D287" s="20">
        <v>52</v>
      </c>
      <c r="E287" s="11" t="str">
        <f>IF(D287="","",IFERROR(INDEX(SSP!$E$2:$E$266, MATCH(D287, SSP!$F$2:$F$266, 0)),""))</f>
        <v>Douleur abdominale ou épigastrique</v>
      </c>
      <c r="F287" s="11" t="str">
        <f>Feuil1!E287</f>
        <v>Douleur abdominale</v>
      </c>
      <c r="G287" s="12" t="s">
        <v>83</v>
      </c>
      <c r="H287" s="13" t="s">
        <v>915</v>
      </c>
      <c r="I287" s="13"/>
      <c r="J287" s="15" t="s">
        <v>916</v>
      </c>
      <c r="K287" s="9" t="s">
        <v>33</v>
      </c>
      <c r="L287" s="9" t="s">
        <v>33</v>
      </c>
      <c r="M287" s="9" t="s">
        <v>33</v>
      </c>
      <c r="N287" t="s">
        <v>915</v>
      </c>
      <c r="O287" t="str">
        <f>IFERROR(_xlfn.XLOOKUP($D287, SSP!$F:$F, SSP!$E:$E, "Inconnu"), "")</f>
        <v>Douleur abdominale ou épigastrique</v>
      </c>
      <c r="P287" t="str">
        <f>IF(OR(E287="", O287=""), "", IF(LOWER(E287)=LOWER(O287), "OK", "⚠️ Libellé ≠ n°"))</f>
        <v>OK</v>
      </c>
      <c r="Q287" t="str">
        <f>IF(Feuil1!$E287="", "", IF(LOWER(Feuil1!$E287)=LOWER(E287), "Identique", "Différent"))</f>
        <v>Différent</v>
      </c>
      <c r="R287" t="str">
        <f>IF(OR(P287="⚠️ Libellé ≠ n°", O287="Inconnu"), "⚠️", IF(Q287="Différent", "ℹ️", ""))</f>
        <v>ℹ️</v>
      </c>
      <c r="S287" t="str" cm="1">
        <f t="array" ref="S287">_xlfn.LET(_xlpm.genCat,IFERROR(LOWER(TRIM(G287)),""),_xlpm.principal,IFERROR(LOWER(TRIM(H287)),""),_xlpm.orig,IFERROR(LOWER(TRIM(N287)),""),IF(OR(_xlpm.genCat="",_xlpm.principal=""),"",IF(LEFT(LOWER(G287),5)="autre","OK (Autre)",IF(OR(ISNUMBER(SEARCH(_xlpm.genCat,_xlpm.principal)),ISNUMBER(SEARCH(_xlpm.principal,_xlpm.genCat)),AND(_xlpm.orig&lt;&gt;"",OR(ISNUMBER(SEARCH(_xlpm.genCat,_xlpm.orig)),ISNUMBER(SEARCH(_xlpm.orig,_xlpm.genCat))))),"OK","⚠️ À vérifier"))))</f>
        <v>OK (Autre)</v>
      </c>
      <c r="T287" t="str">
        <f>IF(S287="","",IF(S287="OK (Autre)","Diagnostic générique = 'Autre – …'",IF(S287="OK","Concordance générique/principal","Écart entre générique et principal")))</f>
        <v>Diagnostic générique = 'Autre – …'</v>
      </c>
      <c r="U287" t="str" cm="1">
        <f t="array" ref="U287">_xlfn.LET(_xlpm.yr, A287, _xlpm.diag, IF(N287&lt;&gt;"", N287, H287), _xlpm.base, TRIM(SUBSTITUTE(SUBSTITUTE(SUBSTITUTE(SUBSTITUTE(_xlpm.diag,"•"," "),CHAR(160)," "),CHAR(10)," "),"  "," ")), LOWER(_xlpm.yr&amp;"|"&amp;_xlpm.base))</f>
        <v>2023|diverticulite</v>
      </c>
      <c r="V287" t="str">
        <f>IFERROR(_xlfn.XLOOKUP($AB287,'Cas 2013-2017'!$K:$K,'Cas 2013-2017'!$D:$D,""),"")</f>
        <v/>
      </c>
      <c r="W287" t="str">
        <f>IFERROR(_xlfn.XLOOKUP($AB287,'Cas 2013-2017'!$K:$K,'Cas 2013-2017'!$E:$E,""),"")</f>
        <v/>
      </c>
      <c r="X287" t="str">
        <f>IFERROR(_xlfn.XLOOKUP($AB287,'Cas 2013-2017'!$K:$K,'Cas 2013-2017'!$F:$F,""),"")</f>
        <v/>
      </c>
      <c r="Y287" t="str">
        <f>IFERROR(_xlfn.XLOOKUP($AB287,'Cas 2013-2017'!$K:$K,'Cas 2013-2017'!$G:$G,""),"")</f>
        <v/>
      </c>
      <c r="Z287" t="str">
        <f>IFERROR(_xlfn.XLOOKUP($AB287,'Cas 2013-2017'!$K:$K,'Cas 2013-2017'!$I:$I,""),"")</f>
        <v/>
      </c>
      <c r="AA287" t="str">
        <f>IFERROR(_xlfn.XLOOKUP($AB287,'Cas 2013-2017'!$K:$K,'Cas 2013-2017'!$H:$H,""),"")</f>
        <v/>
      </c>
      <c r="AB287" t="str">
        <f>LOWER($A287 &amp; "|" &amp; $AF287)</f>
        <v>2023|diverticulite</v>
      </c>
      <c r="AC287" t="str">
        <f>TRIM(SUBSTITUTE(SUBSTITUTE(SUBSTITUTE(SUBSTITUTE(" " &amp; LOWER(TRIM(IF($N287&lt;&gt;"", $N287, $H287))) &amp; " ", " aomi ", " arteriopathie des membres inferieurs "), " hta ", " hypertension arterielle "), " saos ", " syndrome d'apnees obstructives du sommeil "), " rgo ", " reflux gastro-oesophagien ") )</f>
        <v>diverticulite</v>
      </c>
      <c r="AD287" t="str">
        <f>TRIM(SUBSTITUTE(SUBSTITUTE(SUBSTITUTE(SUBSTITUTE(" " &amp; LOWER(TRIM($AC287)) &amp; " ", " oacr ", " occlusion de l'artere centrale de la retine "), " hsd ", " hematome sous-dural "), " fa ", " fibrillation auriculaire "), " ep ", " embolie pulmonaire ") )</f>
        <v>diverticulite</v>
      </c>
      <c r="AE287" t="str" cm="1">
        <f t="array" ref="AE287">_xlfn.LET(_xlpm.base, " " &amp; LOWER(TRIM($AD287))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diverticulite</v>
      </c>
      <c r="AF287" t="str" cm="1">
        <f t="array" ref="AF287">_xlfn.LET(_xlpm.base, " " &amp; LOWER(TRIM($AE287))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diverticulite</v>
      </c>
    </row>
    <row r="288" spans="1:32" ht="66.75">
      <c r="A288" s="8">
        <v>2023</v>
      </c>
      <c r="B288" s="10" t="s">
        <v>68</v>
      </c>
      <c r="C288" s="8" t="s">
        <v>451</v>
      </c>
      <c r="D288" s="20">
        <v>58</v>
      </c>
      <c r="E288" s="11" t="str">
        <f>IF(D288="","",IFERROR(INDEX(SSP!$E$2:$E$266, MATCH(D288, SSP!$F$2:$F$266, 0)),""))</f>
        <v>Constipation</v>
      </c>
      <c r="F288" s="11" t="str">
        <f>Feuil1!E288</f>
        <v>Constipation</v>
      </c>
      <c r="G288" s="12" t="s">
        <v>446</v>
      </c>
      <c r="H288" s="13" t="s">
        <v>446</v>
      </c>
      <c r="I288" s="13"/>
      <c r="J288" s="15" t="s">
        <v>917</v>
      </c>
      <c r="K288" s="9" t="s">
        <v>918</v>
      </c>
      <c r="L288" s="9" t="s">
        <v>33</v>
      </c>
      <c r="M288" s="9" t="s">
        <v>33</v>
      </c>
      <c r="N288" t="s">
        <v>446</v>
      </c>
      <c r="O288" t="str">
        <f>IFERROR(_xlfn.XLOOKUP($D288, SSP!$F:$F, SSP!$E:$E, "Inconnu"), "")</f>
        <v>Constipation</v>
      </c>
      <c r="P288" t="str">
        <f>IF(OR(E288="", O288=""), "", IF(LOWER(E288)=LOWER(O288), "OK", "⚠️ Libellé ≠ n°"))</f>
        <v>OK</v>
      </c>
      <c r="Q288" t="str">
        <f>IF(Feuil1!$E288="", "", IF(LOWER(Feuil1!$E288)=LOWER(E288), "Identique", "Différent"))</f>
        <v>Identique</v>
      </c>
      <c r="R288" t="str">
        <f>IF(OR(P288="⚠️ Libellé ≠ n°", O288="Inconnu"), "⚠️", IF(Q288="Différent", "ℹ️", ""))</f>
        <v/>
      </c>
      <c r="S288" t="str" cm="1">
        <f t="array" ref="S288">_xlfn.LET(_xlpm.genCat,IFERROR(LOWER(TRIM(G288)),""),_xlpm.principal,IFERROR(LOWER(TRIM(H288)),""),_xlpm.orig,IFERROR(LOWER(TRIM(N288)),""),IF(OR(_xlpm.genCat="",_xlpm.principal=""),"",IF(LEFT(LOWER(G288),5)="autre","OK (Autre)",IF(OR(ISNUMBER(SEARCH(_xlpm.genCat,_xlpm.principal)),ISNUMBER(SEARCH(_xlpm.principal,_xlpm.genCat)),AND(_xlpm.orig&lt;&gt;"",OR(ISNUMBER(SEARCH(_xlpm.genCat,_xlpm.orig)),ISNUMBER(SEARCH(_xlpm.orig,_xlpm.genCat))))),"OK","⚠️ À vérifier"))))</f>
        <v>OK</v>
      </c>
      <c r="T288" t="str">
        <f>IF(S288="","",IF(S288="OK (Autre)","Diagnostic générique = 'Autre – …'",IF(S288="OK","Concordance générique/principal","Écart entre générique et principal")))</f>
        <v>Concordance générique/principal</v>
      </c>
      <c r="U288" t="str" cm="1">
        <f t="array" ref="U288">_xlfn.LET(_xlpm.yr, A288, _xlpm.diag, IF(N288&lt;&gt;"", N288, H288), _xlpm.base, TRIM(SUBSTITUTE(SUBSTITUTE(SUBSTITUTE(SUBSTITUTE(_xlpm.diag,"•"," "),CHAR(160)," "),CHAR(10)," "),"  "," ")), LOWER(_xlpm.yr&amp;"|"&amp;_xlpm.base))</f>
        <v>2023|péritonite</v>
      </c>
      <c r="V288" t="str">
        <f>IFERROR(_xlfn.XLOOKUP($AB288,'Cas 2013-2017'!$K:$K,'Cas 2013-2017'!$D:$D,""),"")</f>
        <v/>
      </c>
      <c r="W288" t="str">
        <f>IFERROR(_xlfn.XLOOKUP($AB288,'Cas 2013-2017'!$K:$K,'Cas 2013-2017'!$E:$E,""),"")</f>
        <v/>
      </c>
      <c r="X288" t="str">
        <f>IFERROR(_xlfn.XLOOKUP($AB288,'Cas 2013-2017'!$K:$K,'Cas 2013-2017'!$F:$F,""),"")</f>
        <v/>
      </c>
      <c r="Y288" t="str">
        <f>IFERROR(_xlfn.XLOOKUP($AB288,'Cas 2013-2017'!$K:$K,'Cas 2013-2017'!$G:$G,""),"")</f>
        <v/>
      </c>
      <c r="Z288" t="str">
        <f>IFERROR(_xlfn.XLOOKUP($AB288,'Cas 2013-2017'!$K:$K,'Cas 2013-2017'!$I:$I,""),"")</f>
        <v/>
      </c>
      <c r="AA288" t="str">
        <f>IFERROR(_xlfn.XLOOKUP($AB288,'Cas 2013-2017'!$K:$K,'Cas 2013-2017'!$H:$H,""),"")</f>
        <v/>
      </c>
      <c r="AB288" t="str">
        <f>LOWER($A288 &amp; "|" &amp; $AF288)</f>
        <v>2023|péritonite</v>
      </c>
      <c r="AC288" t="str">
        <f>TRIM(SUBSTITUTE(SUBSTITUTE(SUBSTITUTE(SUBSTITUTE(" " &amp; LOWER(TRIM(IF($N288&lt;&gt;"", $N288, $H288))) &amp; " ", " aomi ", " arteriopathie des membres inferieurs "), " hta ", " hypertension arterielle "), " saos ", " syndrome d'apnees obstructives du sommeil "), " rgo ", " reflux gastro-oesophagien ") )</f>
        <v>péritonite</v>
      </c>
      <c r="AD288" t="str">
        <f>TRIM(SUBSTITUTE(SUBSTITUTE(SUBSTITUTE(SUBSTITUTE(" " &amp; LOWER(TRIM($AC288)) &amp; " ", " oacr ", " occlusion de l'artere centrale de la retine "), " hsd ", " hematome sous-dural "), " fa ", " fibrillation auriculaire "), " ep ", " embolie pulmonaire ") )</f>
        <v>péritonite</v>
      </c>
      <c r="AE288" t="str" cm="1">
        <f t="array" ref="AE288">_xlfn.LET(_xlpm.base, " " &amp; LOWER(TRIM($AD288))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péritonite</v>
      </c>
      <c r="AF288" t="str" cm="1">
        <f t="array" ref="AF288">_xlfn.LET(_xlpm.base, " " &amp; LOWER(TRIM($AE288))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péritonite</v>
      </c>
    </row>
    <row r="289" spans="1:32" ht="16.5">
      <c r="A289" s="8">
        <v>2023</v>
      </c>
      <c r="B289" s="10" t="s">
        <v>68</v>
      </c>
      <c r="C289" s="8" t="s">
        <v>33</v>
      </c>
      <c r="D289" s="20">
        <v>59</v>
      </c>
      <c r="E289" s="11" t="str">
        <f>IF(D289="","",IFERROR(INDEX(SSP!$E$2:$E$266, MATCH(D289, SSP!$F$2:$F$266, 0)),""))</f>
        <v>Diarrhée</v>
      </c>
      <c r="F289" s="11" t="str">
        <f>Feuil1!E289</f>
        <v> </v>
      </c>
      <c r="G289" s="12" t="s">
        <v>69</v>
      </c>
      <c r="H289" s="13" t="s">
        <v>919</v>
      </c>
      <c r="I289" s="13"/>
      <c r="J289" s="15" t="s">
        <v>920</v>
      </c>
      <c r="K289" s="9" t="s">
        <v>33</v>
      </c>
      <c r="L289" s="9" t="s">
        <v>33</v>
      </c>
      <c r="M289" s="9" t="s">
        <v>33</v>
      </c>
      <c r="N289" t="s">
        <v>919</v>
      </c>
      <c r="O289" t="str">
        <f>IFERROR(_xlfn.XLOOKUP($D289, SSP!$F:$F, SSP!$E:$E, "Inconnu"), "")</f>
        <v>Diarrhée</v>
      </c>
      <c r="P289" t="str">
        <f>IF(OR(E289="", O289=""), "", IF(LOWER(E289)=LOWER(O289), "OK", "⚠️ Libellé ≠ n°"))</f>
        <v>OK</v>
      </c>
      <c r="Q289" t="str">
        <f>IF(Feuil1!$E289="", "", IF(LOWER(Feuil1!$E289)=LOWER(E289), "Identique", "Différent"))</f>
        <v>Différent</v>
      </c>
      <c r="R289" t="str">
        <f>IF(OR(P289="⚠️ Libellé ≠ n°", O289="Inconnu"), "⚠️", IF(Q289="Différent", "ℹ️", ""))</f>
        <v>ℹ️</v>
      </c>
      <c r="S289" t="str" cm="1">
        <f t="array" ref="S289">_xlfn.LET(_xlpm.genCat,IFERROR(LOWER(TRIM(G289)),""),_xlpm.principal,IFERROR(LOWER(TRIM(H289)),""),_xlpm.orig,IFERROR(LOWER(TRIM(N289)),""),IF(OR(_xlpm.genCat="",_xlpm.principal=""),"",IF(LEFT(LOWER(G289),5)="autre","OK (Autre)",IF(OR(ISNUMBER(SEARCH(_xlpm.genCat,_xlpm.principal)),ISNUMBER(SEARCH(_xlpm.principal,_xlpm.genCat)),AND(_xlpm.orig&lt;&gt;"",OR(ISNUMBER(SEARCH(_xlpm.genCat,_xlpm.orig)),ISNUMBER(SEARCH(_xlpm.orig,_xlpm.genCat))))),"OK","⚠️ À vérifier"))))</f>
        <v>OK</v>
      </c>
      <c r="T289" t="str">
        <f>IF(S289="","",IF(S289="OK (Autre)","Diagnostic générique = 'Autre – …'",IF(S289="OK","Concordance générique/principal","Écart entre générique et principal")))</f>
        <v>Concordance générique/principal</v>
      </c>
      <c r="U289" t="str" cm="1">
        <f t="array" ref="U289">_xlfn.LET(_xlpm.yr, A289, _xlpm.diag, IF(N289&lt;&gt;"", N289, H289), _xlpm.base, TRIM(SUBSTITUTE(SUBSTITUTE(SUBSTITUTE(SUBSTITUTE(_xlpm.diag,"•"," "),CHAR(160)," "),CHAR(10)," "),"  "," ")), LOWER(_xlpm.yr&amp;"|"&amp;_xlpm.base))</f>
        <v>2023|gastro-entérite virale</v>
      </c>
      <c r="V289" t="str">
        <f>IFERROR(_xlfn.XLOOKUP($AB289,'Cas 2013-2017'!$K:$K,'Cas 2013-2017'!$D:$D,""),"")</f>
        <v/>
      </c>
      <c r="W289" t="str">
        <f>IFERROR(_xlfn.XLOOKUP($AB289,'Cas 2013-2017'!$K:$K,'Cas 2013-2017'!$E:$E,""),"")</f>
        <v/>
      </c>
      <c r="X289" t="str">
        <f>IFERROR(_xlfn.XLOOKUP($AB289,'Cas 2013-2017'!$K:$K,'Cas 2013-2017'!$F:$F,""),"")</f>
        <v/>
      </c>
      <c r="Y289" t="str">
        <f>IFERROR(_xlfn.XLOOKUP($AB289,'Cas 2013-2017'!$K:$K,'Cas 2013-2017'!$G:$G,""),"")</f>
        <v/>
      </c>
      <c r="Z289" t="str">
        <f>IFERROR(_xlfn.XLOOKUP($AB289,'Cas 2013-2017'!$K:$K,'Cas 2013-2017'!$I:$I,""),"")</f>
        <v/>
      </c>
      <c r="AA289" t="str">
        <f>IFERROR(_xlfn.XLOOKUP($AB289,'Cas 2013-2017'!$K:$K,'Cas 2013-2017'!$H:$H,""),"")</f>
        <v/>
      </c>
      <c r="AB289" t="str">
        <f>LOWER($A289 &amp; "|" &amp; $AF289)</f>
        <v>2023|gastro-entérite virale</v>
      </c>
      <c r="AC289" t="str">
        <f>TRIM(SUBSTITUTE(SUBSTITUTE(SUBSTITUTE(SUBSTITUTE(" " &amp; LOWER(TRIM(IF($N289&lt;&gt;"", $N289, $H289))) &amp; " ", " aomi ", " arteriopathie des membres inferieurs "), " hta ", " hypertension arterielle "), " saos ", " syndrome d'apnees obstructives du sommeil "), " rgo ", " reflux gastro-oesophagien ") )</f>
        <v>gastro-entérite virale</v>
      </c>
      <c r="AD289" t="str">
        <f>TRIM(SUBSTITUTE(SUBSTITUTE(SUBSTITUTE(SUBSTITUTE(" " &amp; LOWER(TRIM($AC289)) &amp; " ", " oacr ", " occlusion de l'artere centrale de la retine "), " hsd ", " hematome sous-dural "), " fa ", " fibrillation auriculaire "), " ep ", " embolie pulmonaire ") )</f>
        <v>gastro-entérite virale</v>
      </c>
      <c r="AE289" t="str" cm="1">
        <f t="array" ref="AE289">_xlfn.LET(_xlpm.base, " " &amp; LOWER(TRIM($AD289))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gastro-entérite virale</v>
      </c>
      <c r="AF289" t="str" cm="1">
        <f t="array" ref="AF289">_xlfn.LET(_xlpm.base, " " &amp; LOWER(TRIM($AE289))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gastro-entérite virale</v>
      </c>
    </row>
    <row r="290" spans="1:32" ht="33.75">
      <c r="A290" s="8">
        <v>2023</v>
      </c>
      <c r="B290" s="10" t="s">
        <v>87</v>
      </c>
      <c r="C290" s="8" t="s">
        <v>33</v>
      </c>
      <c r="D290" s="20">
        <v>69</v>
      </c>
      <c r="E290" s="11" t="str">
        <f>IF(D290="","",IFERROR(INDEX(SSP!$E$2:$E$266, MATCH(D290, SSP!$F$2:$F$266, 0)),""))</f>
        <v>Demande de contraception, contraception d’urgence</v>
      </c>
      <c r="F290" s="11" t="str">
        <f>Feuil1!E290</f>
        <v> </v>
      </c>
      <c r="G290" s="12" t="s">
        <v>208</v>
      </c>
      <c r="H290" s="13" t="s">
        <v>921</v>
      </c>
      <c r="I290" s="13"/>
      <c r="J290" s="16" t="s">
        <v>165</v>
      </c>
      <c r="K290" s="9" t="s">
        <v>33</v>
      </c>
      <c r="L290" s="9" t="s">
        <v>33</v>
      </c>
      <c r="M290" s="9" t="s">
        <v>33</v>
      </c>
      <c r="N290" t="s">
        <v>921</v>
      </c>
      <c r="O290" t="str">
        <f>IFERROR(_xlfn.XLOOKUP($D290, SSP!$F:$F, SSP!$E:$E, "Inconnu"), "")</f>
        <v>Demande de contraception, contraception d’urgence</v>
      </c>
      <c r="P290" t="str">
        <f>IF(OR(E290="", O290=""), "", IF(LOWER(E290)=LOWER(O290), "OK", "⚠️ Libellé ≠ n°"))</f>
        <v>OK</v>
      </c>
      <c r="Q290" t="str">
        <f>IF(Feuil1!$E290="", "", IF(LOWER(Feuil1!$E290)=LOWER(E290), "Identique", "Différent"))</f>
        <v>Différent</v>
      </c>
      <c r="R290" t="str">
        <f>IF(OR(P290="⚠️ Libellé ≠ n°", O290="Inconnu"), "⚠️", IF(Q290="Différent", "ℹ️", ""))</f>
        <v>ℹ️</v>
      </c>
      <c r="S290" t="str" cm="1">
        <f t="array" ref="S290">_xlfn.LET(_xlpm.genCat,IFERROR(LOWER(TRIM(G290)),""),_xlpm.principal,IFERROR(LOWER(TRIM(H290)),""),_xlpm.orig,IFERROR(LOWER(TRIM(N290)),""),IF(OR(_xlpm.genCat="",_xlpm.principal=""),"",IF(LEFT(LOWER(G290),5)="autre","OK (Autre)",IF(OR(ISNUMBER(SEARCH(_xlpm.genCat,_xlpm.principal)),ISNUMBER(SEARCH(_xlpm.principal,_xlpm.genCat)),AND(_xlpm.orig&lt;&gt;"",OR(ISNUMBER(SEARCH(_xlpm.genCat,_xlpm.orig)),ISNUMBER(SEARCH(_xlpm.orig,_xlpm.genCat))))),"OK","⚠️ À vérifier"))))</f>
        <v>⚠️ À vérifier</v>
      </c>
      <c r="T290" t="str">
        <f>IF(S290="","",IF(S290="OK (Autre)","Diagnostic générique = 'Autre – …'",IF(S290="OK","Concordance générique/principal","Écart entre générique et principal")))</f>
        <v>Écart entre générique et principal</v>
      </c>
      <c r="U290" t="str" cm="1">
        <f t="array" ref="U290">_xlfn.LET(_xlpm.yr, A290, _xlpm.diag, IF(N290&lt;&gt;"", N290, H290), _xlpm.base, TRIM(SUBSTITUTE(SUBSTITUTE(SUBSTITUTE(SUBSTITUTE(_xlpm.diag,"•"," "),CHAR(160)," "),CHAR(10)," "),"  "," ")), LOWER(_xlpm.yr&amp;"|"&amp;_xlpm.base))</f>
        <v>2023|test de grossesse et examen au spéculum</v>
      </c>
      <c r="V290" t="str">
        <f>IFERROR(_xlfn.XLOOKUP($AB290,'Cas 2013-2017'!$K:$K,'Cas 2013-2017'!$D:$D,""),"")</f>
        <v/>
      </c>
      <c r="W290" t="str">
        <f>IFERROR(_xlfn.XLOOKUP($AB290,'Cas 2013-2017'!$K:$K,'Cas 2013-2017'!$E:$E,""),"")</f>
        <v/>
      </c>
      <c r="X290" t="str">
        <f>IFERROR(_xlfn.XLOOKUP($AB290,'Cas 2013-2017'!$K:$K,'Cas 2013-2017'!$F:$F,""),"")</f>
        <v/>
      </c>
      <c r="Y290" t="str">
        <f>IFERROR(_xlfn.XLOOKUP($AB290,'Cas 2013-2017'!$K:$K,'Cas 2013-2017'!$G:$G,""),"")</f>
        <v/>
      </c>
      <c r="Z290" t="str">
        <f>IFERROR(_xlfn.XLOOKUP($AB290,'Cas 2013-2017'!$K:$K,'Cas 2013-2017'!$I:$I,""),"")</f>
        <v/>
      </c>
      <c r="AA290" t="str">
        <f>IFERROR(_xlfn.XLOOKUP($AB290,'Cas 2013-2017'!$K:$K,'Cas 2013-2017'!$H:$H,""),"")</f>
        <v/>
      </c>
      <c r="AB290" t="str">
        <f>LOWER($A290 &amp; "|" &amp; $AF290)</f>
        <v>2023|test de grossesse et examen au spéculum</v>
      </c>
      <c r="AC290" t="str">
        <f>TRIM(SUBSTITUTE(SUBSTITUTE(SUBSTITUTE(SUBSTITUTE(" " &amp; LOWER(TRIM(IF($N290&lt;&gt;"", $N290, $H290))) &amp; " ", " aomi ", " arteriopathie des membres inferieurs "), " hta ", " hypertension arterielle "), " saos ", " syndrome d'apnees obstructives du sommeil "), " rgo ", " reflux gastro-oesophagien ") )</f>
        <v>test de grossesse et examen au spéculum</v>
      </c>
      <c r="AD290" t="str">
        <f>TRIM(SUBSTITUTE(SUBSTITUTE(SUBSTITUTE(SUBSTITUTE(" " &amp; LOWER(TRIM($AC290)) &amp; " ", " oacr ", " occlusion de l'artere centrale de la retine "), " hsd ", " hematome sous-dural "), " fa ", " fibrillation auriculaire "), " ep ", " embolie pulmonaire ") )</f>
        <v>test de grossesse et examen au spéculum</v>
      </c>
      <c r="AE290" t="str" cm="1">
        <f t="array" ref="AE290">_xlfn.LET(_xlpm.base, " " &amp; LOWER(TRIM($AD290))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test de grossesse et examen au spéculum</v>
      </c>
      <c r="AF290" t="str" cm="1">
        <f t="array" ref="AF290">_xlfn.LET(_xlpm.base, " " &amp; LOWER(TRIM($AE290))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test de grossesse et examen au spéculum</v>
      </c>
    </row>
    <row r="291" spans="1:32" ht="16.5">
      <c r="A291" s="8">
        <v>2023</v>
      </c>
      <c r="B291" s="10" t="s">
        <v>82</v>
      </c>
      <c r="C291" s="8" t="s">
        <v>33</v>
      </c>
      <c r="D291" s="20">
        <v>32</v>
      </c>
      <c r="E291" s="11" t="str">
        <f>IF(D291="","",IFERROR(INDEX(SSP!$E$2:$E$266, MATCH(D291, SSP!$F$2:$F$266, 0)),""))</f>
        <v>Raideur et douleur cervicales</v>
      </c>
      <c r="F291" s="11" t="str">
        <f>Feuil1!E291</f>
        <v>Douleur cervicale</v>
      </c>
      <c r="G291" s="12" t="s">
        <v>83</v>
      </c>
      <c r="H291" s="13" t="s">
        <v>785</v>
      </c>
      <c r="I291" s="13"/>
      <c r="J291" s="15" t="s">
        <v>922</v>
      </c>
      <c r="K291" s="9" t="s">
        <v>33</v>
      </c>
      <c r="L291" s="9" t="s">
        <v>33</v>
      </c>
      <c r="M291" s="9" t="s">
        <v>33</v>
      </c>
      <c r="N291" t="s">
        <v>785</v>
      </c>
      <c r="O291" t="str">
        <f>IFERROR(_xlfn.XLOOKUP($D291, SSP!$F:$F, SSP!$E:$E, "Inconnu"), "")</f>
        <v>Raideur et douleur cervicales</v>
      </c>
      <c r="P291" t="str">
        <f>IF(OR(E291="", O291=""), "", IF(LOWER(E291)=LOWER(O291), "OK", "⚠️ Libellé ≠ n°"))</f>
        <v>OK</v>
      </c>
      <c r="Q291" t="str">
        <f>IF(Feuil1!$E291="", "", IF(LOWER(Feuil1!$E291)=LOWER(E291), "Identique", "Différent"))</f>
        <v>Différent</v>
      </c>
      <c r="R291" t="str">
        <f>IF(OR(P291="⚠️ Libellé ≠ n°", O291="Inconnu"), "⚠️", IF(Q291="Différent", "ℹ️", ""))</f>
        <v>ℹ️</v>
      </c>
      <c r="S291" t="str" cm="1">
        <f t="array" ref="S291">_xlfn.LET(_xlpm.genCat,IFERROR(LOWER(TRIM(G291)),""),_xlpm.principal,IFERROR(LOWER(TRIM(H291)),""),_xlpm.orig,IFERROR(LOWER(TRIM(N291)),""),IF(OR(_xlpm.genCat="",_xlpm.principal=""),"",IF(LEFT(LOWER(G291),5)="autre","OK (Autre)",IF(OR(ISNUMBER(SEARCH(_xlpm.genCat,_xlpm.principal)),ISNUMBER(SEARCH(_xlpm.principal,_xlpm.genCat)),AND(_xlpm.orig&lt;&gt;"",OR(ISNUMBER(SEARCH(_xlpm.genCat,_xlpm.orig)),ISNUMBER(SEARCH(_xlpm.orig,_xlpm.genCat))))),"OK","⚠️ À vérifier"))))</f>
        <v>OK (Autre)</v>
      </c>
      <c r="T291" t="str">
        <f>IF(S291="","",IF(S291="OK (Autre)","Diagnostic générique = 'Autre – …'",IF(S291="OK","Concordance générique/principal","Écart entre générique et principal")))</f>
        <v>Diagnostic générique = 'Autre – …'</v>
      </c>
      <c r="U291" t="str" cm="1">
        <f t="array" ref="U291">_xlfn.LET(_xlpm.yr, A291, _xlpm.diag, IF(N291&lt;&gt;"", N291, H291), _xlpm.base, TRIM(SUBSTITUTE(SUBSTITUTE(SUBSTITUTE(SUBSTITUTE(_xlpm.diag,"•"," "),CHAR(160)," "),CHAR(10)," "),"  "," ")), LOWER(_xlpm.yr&amp;"|"&amp;_xlpm.base))</f>
        <v>2023|cervicalgies</v>
      </c>
      <c r="V291" t="str">
        <f>IFERROR(_xlfn.XLOOKUP($AB291,'Cas 2013-2017'!$K:$K,'Cas 2013-2017'!$D:$D,""),"")</f>
        <v/>
      </c>
      <c r="W291" t="str">
        <f>IFERROR(_xlfn.XLOOKUP($AB291,'Cas 2013-2017'!$K:$K,'Cas 2013-2017'!$E:$E,""),"")</f>
        <v/>
      </c>
      <c r="X291" t="str">
        <f>IFERROR(_xlfn.XLOOKUP($AB291,'Cas 2013-2017'!$K:$K,'Cas 2013-2017'!$F:$F,""),"")</f>
        <v/>
      </c>
      <c r="Y291" t="str">
        <f>IFERROR(_xlfn.XLOOKUP($AB291,'Cas 2013-2017'!$K:$K,'Cas 2013-2017'!$G:$G,""),"")</f>
        <v/>
      </c>
      <c r="Z291" t="str">
        <f>IFERROR(_xlfn.XLOOKUP($AB291,'Cas 2013-2017'!$K:$K,'Cas 2013-2017'!$I:$I,""),"")</f>
        <v/>
      </c>
      <c r="AA291" t="str">
        <f>IFERROR(_xlfn.XLOOKUP($AB291,'Cas 2013-2017'!$K:$K,'Cas 2013-2017'!$H:$H,""),"")</f>
        <v/>
      </c>
      <c r="AB291" t="str">
        <f>LOWER($A291 &amp; "|" &amp; $AF291)</f>
        <v>2023|cervicalgies</v>
      </c>
      <c r="AC291" t="str">
        <f>TRIM(SUBSTITUTE(SUBSTITUTE(SUBSTITUTE(SUBSTITUTE(" " &amp; LOWER(TRIM(IF($N291&lt;&gt;"", $N291, $H291))) &amp; " ", " aomi ", " arteriopathie des membres inferieurs "), " hta ", " hypertension arterielle "), " saos ", " syndrome d'apnees obstructives du sommeil "), " rgo ", " reflux gastro-oesophagien ") )</f>
        <v>cervicalgies</v>
      </c>
      <c r="AD291" t="str">
        <f>TRIM(SUBSTITUTE(SUBSTITUTE(SUBSTITUTE(SUBSTITUTE(" " &amp; LOWER(TRIM($AC291)) &amp; " ", " oacr ", " occlusion de l'artere centrale de la retine "), " hsd ", " hematome sous-dural "), " fa ", " fibrillation auriculaire "), " ep ", " embolie pulmonaire ") )</f>
        <v>cervicalgies</v>
      </c>
      <c r="AE291" t="str" cm="1">
        <f t="array" ref="AE291">_xlfn.LET(_xlpm.base, " " &amp; LOWER(TRIM($AD291))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cervicalgies</v>
      </c>
      <c r="AF291" t="str" cm="1">
        <f t="array" ref="AF291">_xlfn.LET(_xlpm.base, " " &amp; LOWER(TRIM($AE291))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cervicalgies</v>
      </c>
    </row>
    <row r="292" spans="1:32" ht="84">
      <c r="A292" s="8">
        <v>2023</v>
      </c>
      <c r="B292" s="10" t="s">
        <v>221</v>
      </c>
      <c r="C292" s="8" t="s">
        <v>33</v>
      </c>
      <c r="D292" s="20">
        <v>220</v>
      </c>
      <c r="E292" s="11" t="str">
        <f>IF(D292="","",IFERROR(INDEX(SSP!$E$2:$E$266, MATCH(D292, SSP!$F$2:$F$266, 0)),""))</f>
        <v>Traumatisme simple et bénin</v>
      </c>
      <c r="F292" s="11" t="str">
        <f>Feuil1!E292</f>
        <v>Chute / traumatisme</v>
      </c>
      <c r="G292" s="12" t="s">
        <v>226</v>
      </c>
      <c r="H292" s="13" t="s">
        <v>923</v>
      </c>
      <c r="I292" s="13" t="s">
        <v>924</v>
      </c>
      <c r="J292" s="15" t="s">
        <v>925</v>
      </c>
      <c r="K292" s="9" t="s">
        <v>926</v>
      </c>
      <c r="L292" s="9" t="s">
        <v>33</v>
      </c>
      <c r="M292" s="9" t="s">
        <v>33</v>
      </c>
      <c r="N292" t="s">
        <v>927</v>
      </c>
      <c r="O292" t="str">
        <f>IFERROR(_xlfn.XLOOKUP($D292, SSP!$F:$F, SSP!$E:$E, "Inconnu"), "")</f>
        <v>Traumatisme simple et bénin</v>
      </c>
      <c r="P292" t="str">
        <f>IF(OR(E292="", O292=""), "", IF(LOWER(E292)=LOWER(O292), "OK", "⚠️ Libellé ≠ n°"))</f>
        <v>OK</v>
      </c>
      <c r="Q292" t="str">
        <f>IF(Feuil1!$E292="", "", IF(LOWER(Feuil1!$E292)=LOWER(E292), "Identique", "Différent"))</f>
        <v>Différent</v>
      </c>
      <c r="R292" t="str">
        <f>IF(OR(P292="⚠️ Libellé ≠ n°", O292="Inconnu"), "⚠️", IF(Q292="Différent", "ℹ️", ""))</f>
        <v>ℹ️</v>
      </c>
      <c r="S292" t="str" cm="1">
        <f t="array" ref="S292">_xlfn.LET(_xlpm.genCat,IFERROR(LOWER(TRIM(G292)),""),_xlpm.principal,IFERROR(LOWER(TRIM(H292)),""),_xlpm.orig,IFERROR(LOWER(TRIM(N292)),""),IF(OR(_xlpm.genCat="",_xlpm.principal=""),"",IF(LEFT(LOWER(G292),5)="autre","OK (Autre)",IF(OR(ISNUMBER(SEARCH(_xlpm.genCat,_xlpm.principal)),ISNUMBER(SEARCH(_xlpm.principal,_xlpm.genCat)),AND(_xlpm.orig&lt;&gt;"",OR(ISNUMBER(SEARCH(_xlpm.genCat,_xlpm.orig)),ISNUMBER(SEARCH(_xlpm.orig,_xlpm.genCat))))),"OK","⚠️ À vérifier"))))</f>
        <v>OK (Autre)</v>
      </c>
      <c r="T292" t="str">
        <f>IF(S292="","",IF(S292="OK (Autre)","Diagnostic générique = 'Autre – …'",IF(S292="OK","Concordance générique/principal","Écart entre générique et principal")))</f>
        <v>Diagnostic générique = 'Autre – …'</v>
      </c>
      <c r="U292" t="str" cm="1">
        <f t="array" ref="U292">_xlfn.LET(_xlpm.yr, A292, _xlpm.diag, IF(N292&lt;&gt;"", N292, H292), _xlpm.base, TRIM(SUBSTITUTE(SUBSTITUTE(SUBSTITUTE(SUBSTITUTE(_xlpm.diag,"•"," "),CHAR(160)," "),CHAR(10)," "),"  "," ")), LOWER(_xlpm.yr&amp;"|"&amp;_xlpm.base))</f>
        <v>2023|entorse/fracture de la cheville.</v>
      </c>
      <c r="V292" t="str">
        <f>IFERROR(_xlfn.XLOOKUP($AB292,'Cas 2013-2017'!$K:$K,'Cas 2013-2017'!$D:$D,""),"")</f>
        <v/>
      </c>
      <c r="W292" t="str">
        <f>IFERROR(_xlfn.XLOOKUP($AB292,'Cas 2013-2017'!$K:$K,'Cas 2013-2017'!$E:$E,""),"")</f>
        <v/>
      </c>
      <c r="X292" t="str">
        <f>IFERROR(_xlfn.XLOOKUP($AB292,'Cas 2013-2017'!$K:$K,'Cas 2013-2017'!$F:$F,""),"")</f>
        <v/>
      </c>
      <c r="Y292" t="str">
        <f>IFERROR(_xlfn.XLOOKUP($AB292,'Cas 2013-2017'!$K:$K,'Cas 2013-2017'!$G:$G,""),"")</f>
        <v/>
      </c>
      <c r="Z292" t="str">
        <f>IFERROR(_xlfn.XLOOKUP($AB292,'Cas 2013-2017'!$K:$K,'Cas 2013-2017'!$I:$I,""),"")</f>
        <v/>
      </c>
      <c r="AA292" t="str">
        <f>IFERROR(_xlfn.XLOOKUP($AB292,'Cas 2013-2017'!$K:$K,'Cas 2013-2017'!$H:$H,""),"")</f>
        <v/>
      </c>
      <c r="AB292" t="str">
        <f>LOWER($A292 &amp; "|" &amp; $AF292)</f>
        <v>2023|entorse/fracture de la cheville.</v>
      </c>
      <c r="AC292" t="str">
        <f>TRIM(SUBSTITUTE(SUBSTITUTE(SUBSTITUTE(SUBSTITUTE(" " &amp; LOWER(TRIM(IF($N292&lt;&gt;"", $N292, $H292))) &amp; " ", " aomi ", " arteriopathie des membres inferieurs "), " hta ", " hypertension arterielle "), " saos ", " syndrome d'apnees obstructives du sommeil "), " rgo ", " reflux gastro-oesophagien ") )</f>
        <v>entorse/fracture de la cheville.</v>
      </c>
      <c r="AD292" t="str">
        <f>TRIM(SUBSTITUTE(SUBSTITUTE(SUBSTITUTE(SUBSTITUTE(" " &amp; LOWER(TRIM($AC292)) &amp; " ", " oacr ", " occlusion de l'artere centrale de la retine "), " hsd ", " hematome sous-dural "), " fa ", " fibrillation auriculaire "), " ep ", " embolie pulmonaire ") )</f>
        <v>entorse/fracture de la cheville.</v>
      </c>
      <c r="AE292" t="str" cm="1">
        <f t="array" ref="AE292">_xlfn.LET(_xlpm.base, " " &amp; LOWER(TRIM($AD292))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entorse/fracture de la cheville.</v>
      </c>
      <c r="AF292" t="str" cm="1">
        <f t="array" ref="AF292">_xlfn.LET(_xlpm.base, " " &amp; LOWER(TRIM($AE292))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entorse/fracture de la cheville.</v>
      </c>
    </row>
    <row r="293" spans="1:32" ht="33.75">
      <c r="A293" s="8">
        <v>2023</v>
      </c>
      <c r="B293" s="10" t="s">
        <v>221</v>
      </c>
      <c r="C293" s="8" t="s">
        <v>33</v>
      </c>
      <c r="D293" s="20">
        <v>32</v>
      </c>
      <c r="E293" s="11" t="str">
        <f>IF(D293="","",IFERROR(INDEX(SSP!$E$2:$E$266, MATCH(D293, SSP!$F$2:$F$266, 0)),""))</f>
        <v>Raideur et douleur cervicales</v>
      </c>
      <c r="F293" s="11" t="str">
        <f>Feuil1!E293</f>
        <v>Douleur cervicale</v>
      </c>
      <c r="G293" s="12" t="s">
        <v>470</v>
      </c>
      <c r="H293" s="13" t="s">
        <v>928</v>
      </c>
      <c r="I293" s="13"/>
      <c r="J293" s="15" t="s">
        <v>929</v>
      </c>
      <c r="K293" s="9" t="s">
        <v>33</v>
      </c>
      <c r="L293" s="9" t="s">
        <v>33</v>
      </c>
      <c r="M293" s="9" t="s">
        <v>33</v>
      </c>
      <c r="N293" t="s">
        <v>928</v>
      </c>
      <c r="O293" t="str">
        <f>IFERROR(_xlfn.XLOOKUP($D293, SSP!$F:$F, SSP!$E:$E, "Inconnu"), "")</f>
        <v>Raideur et douleur cervicales</v>
      </c>
      <c r="P293" t="str">
        <f>IF(OR(E293="", O293=""), "", IF(LOWER(E293)=LOWER(O293), "OK", "⚠️ Libellé ≠ n°"))</f>
        <v>OK</v>
      </c>
      <c r="Q293" t="str">
        <f>IF(Feuil1!$E293="", "", IF(LOWER(Feuil1!$E293)=LOWER(E293), "Identique", "Différent"))</f>
        <v>Différent</v>
      </c>
      <c r="R293" t="str">
        <f>IF(OR(P293="⚠️ Libellé ≠ n°", O293="Inconnu"), "⚠️", IF(Q293="Différent", "ℹ️", ""))</f>
        <v>ℹ️</v>
      </c>
      <c r="S293" t="str" cm="1">
        <f t="array" ref="S293">_xlfn.LET(_xlpm.genCat,IFERROR(LOWER(TRIM(G293)),""),_xlpm.principal,IFERROR(LOWER(TRIM(H293)),""),_xlpm.orig,IFERROR(LOWER(TRIM(N293)),""),IF(OR(_xlpm.genCat="",_xlpm.principal=""),"",IF(LEFT(LOWER(G293),5)="autre","OK (Autre)",IF(OR(ISNUMBER(SEARCH(_xlpm.genCat,_xlpm.principal)),ISNUMBER(SEARCH(_xlpm.principal,_xlpm.genCat)),AND(_xlpm.orig&lt;&gt;"",OR(ISNUMBER(SEARCH(_xlpm.genCat,_xlpm.orig)),ISNUMBER(SEARCH(_xlpm.orig,_xlpm.genCat))))),"OK","⚠️ À vérifier"))))</f>
        <v>⚠️ À vérifier</v>
      </c>
      <c r="T293" t="str">
        <f>IF(S293="","",IF(S293="OK (Autre)","Diagnostic générique = 'Autre – …'",IF(S293="OK","Concordance générique/principal","Écart entre générique et principal")))</f>
        <v>Écart entre générique et principal</v>
      </c>
      <c r="U293" t="str" cm="1">
        <f t="array" ref="U293">_xlfn.LET(_xlpm.yr, A293, _xlpm.diag, IF(N293&lt;&gt;"", N293, H293), _xlpm.base, TRIM(SUBSTITUTE(SUBSTITUTE(SUBSTITUTE(SUBSTITUTE(_xlpm.diag,"•"," "),CHAR(160)," "),CHAR(10)," "),"  "," ")), LOWER(_xlpm.yr&amp;"|"&amp;_xlpm.base))</f>
        <v>2023|hernie cervicale suspectée</v>
      </c>
      <c r="V293" t="str">
        <f>IFERROR(_xlfn.XLOOKUP($AB293,'Cas 2013-2017'!$K:$K,'Cas 2013-2017'!$D:$D,""),"")</f>
        <v/>
      </c>
      <c r="W293" t="str">
        <f>IFERROR(_xlfn.XLOOKUP($AB293,'Cas 2013-2017'!$K:$K,'Cas 2013-2017'!$E:$E,""),"")</f>
        <v/>
      </c>
      <c r="X293" t="str">
        <f>IFERROR(_xlfn.XLOOKUP($AB293,'Cas 2013-2017'!$K:$K,'Cas 2013-2017'!$F:$F,""),"")</f>
        <v/>
      </c>
      <c r="Y293" t="str">
        <f>IFERROR(_xlfn.XLOOKUP($AB293,'Cas 2013-2017'!$K:$K,'Cas 2013-2017'!$G:$G,""),"")</f>
        <v/>
      </c>
      <c r="Z293" t="str">
        <f>IFERROR(_xlfn.XLOOKUP($AB293,'Cas 2013-2017'!$K:$K,'Cas 2013-2017'!$I:$I,""),"")</f>
        <v/>
      </c>
      <c r="AA293" t="str">
        <f>IFERROR(_xlfn.XLOOKUP($AB293,'Cas 2013-2017'!$K:$K,'Cas 2013-2017'!$H:$H,""),"")</f>
        <v/>
      </c>
      <c r="AB293" t="str">
        <f>LOWER($A293 &amp; "|" &amp; $AF293)</f>
        <v>2023|hernie cervicale suspectée</v>
      </c>
      <c r="AC293" t="str">
        <f>TRIM(SUBSTITUTE(SUBSTITUTE(SUBSTITUTE(SUBSTITUTE(" " &amp; LOWER(TRIM(IF($N293&lt;&gt;"", $N293, $H293))) &amp; " ", " aomi ", " arteriopathie des membres inferieurs "), " hta ", " hypertension arterielle "), " saos ", " syndrome d'apnees obstructives du sommeil "), " rgo ", " reflux gastro-oesophagien ") )</f>
        <v>hernie cervicale suspectée</v>
      </c>
      <c r="AD293" t="str">
        <f>TRIM(SUBSTITUTE(SUBSTITUTE(SUBSTITUTE(SUBSTITUTE(" " &amp; LOWER(TRIM($AC293)) &amp; " ", " oacr ", " occlusion de l'artere centrale de la retine "), " hsd ", " hematome sous-dural "), " fa ", " fibrillation auriculaire "), " ep ", " embolie pulmonaire ") )</f>
        <v>hernie cervicale suspectée</v>
      </c>
      <c r="AE293" t="str" cm="1">
        <f t="array" ref="AE293">_xlfn.LET(_xlpm.base, " " &amp; LOWER(TRIM($AD293))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cervicale suspectée</v>
      </c>
      <c r="AF293" t="str" cm="1">
        <f t="array" ref="AF293">_xlfn.LET(_xlpm.base, " " &amp; LOWER(TRIM($AE293))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cervicale suspectée</v>
      </c>
    </row>
    <row r="294" spans="1:32" ht="33.75">
      <c r="A294" s="8">
        <v>2023</v>
      </c>
      <c r="B294" s="10" t="s">
        <v>100</v>
      </c>
      <c r="C294" s="8" t="s">
        <v>33</v>
      </c>
      <c r="D294" s="20">
        <v>103</v>
      </c>
      <c r="E294" s="11" t="str">
        <f>IF(D294="","",IFERROR(INDEX(SSP!$E$2:$E$266, MATCH(D294, SSP!$F$2:$F$266, 0)),""))</f>
        <v>Paresie, paralysie</v>
      </c>
      <c r="F294" s="11" t="str">
        <f>Feuil1!E294</f>
        <v> </v>
      </c>
      <c r="G294" s="12" t="s">
        <v>101</v>
      </c>
      <c r="H294" s="13" t="s">
        <v>102</v>
      </c>
      <c r="I294" s="13"/>
      <c r="J294" s="15" t="s">
        <v>930</v>
      </c>
      <c r="K294" s="9" t="s">
        <v>33</v>
      </c>
      <c r="L294" s="9" t="s">
        <v>33</v>
      </c>
      <c r="M294" s="9" t="s">
        <v>33</v>
      </c>
      <c r="N294" t="s">
        <v>105</v>
      </c>
      <c r="O294" t="str">
        <f>IFERROR(_xlfn.XLOOKUP($D294, SSP!$F:$F, SSP!$E:$E, "Inconnu"), "")</f>
        <v>Paresie, paralysie</v>
      </c>
      <c r="P294" t="str">
        <f>IF(OR(E294="", O294=""), "", IF(LOWER(E294)=LOWER(O294), "OK", "⚠️ Libellé ≠ n°"))</f>
        <v>OK</v>
      </c>
      <c r="Q294" t="str">
        <f>IF(Feuil1!$E294="", "", IF(LOWER(Feuil1!$E294)=LOWER(E294), "Identique", "Différent"))</f>
        <v>Différent</v>
      </c>
      <c r="R294" t="str">
        <f>IF(OR(P294="⚠️ Libellé ≠ n°", O294="Inconnu"), "⚠️", IF(Q294="Différent", "ℹ️", ""))</f>
        <v>ℹ️</v>
      </c>
      <c r="S294" t="str" cm="1">
        <f t="array" ref="S294">_xlfn.LET(_xlpm.genCat,IFERROR(LOWER(TRIM(G294)),""),_xlpm.principal,IFERROR(LOWER(TRIM(H294)),""),_xlpm.orig,IFERROR(LOWER(TRIM(N294)),""),IF(OR(_xlpm.genCat="",_xlpm.principal=""),"",IF(LEFT(LOWER(G294),5)="autre","OK (Autre)",IF(OR(ISNUMBER(SEARCH(_xlpm.genCat,_xlpm.principal)),ISNUMBER(SEARCH(_xlpm.principal,_xlpm.genCat)),AND(_xlpm.orig&lt;&gt;"",OR(ISNUMBER(SEARCH(_xlpm.genCat,_xlpm.orig)),ISNUMBER(SEARCH(_xlpm.orig,_xlpm.genCat))))),"OK","⚠️ À vérifier"))))</f>
        <v>⚠️ À vérifier</v>
      </c>
      <c r="T294" t="str">
        <f>IF(S294="","",IF(S294="OK (Autre)","Diagnostic générique = 'Autre – …'",IF(S294="OK","Concordance générique/principal","Écart entre générique et principal")))</f>
        <v>Écart entre générique et principal</v>
      </c>
      <c r="U294" t="str" cm="1">
        <f t="array" ref="U294">_xlfn.LET(_xlpm.yr, A294, _xlpm.diag, IF(N294&lt;&gt;"", N294, H294), _xlpm.base, TRIM(SUBSTITUTE(SUBSTITUTE(SUBSTITUTE(SUBSTITUTE(_xlpm.diag,"•"," "),CHAR(160)," "),CHAR(10)," "),"  "," ")), LOWER(_xlpm.yr&amp;"|"&amp;_xlpm.base))</f>
        <v>2023|ait</v>
      </c>
      <c r="V294" t="str">
        <f>IFERROR(_xlfn.XLOOKUP($AB294,'Cas 2013-2017'!$K:$K,'Cas 2013-2017'!$D:$D,""),"")</f>
        <v/>
      </c>
      <c r="W294" t="str">
        <f>IFERROR(_xlfn.XLOOKUP($AB294,'Cas 2013-2017'!$K:$K,'Cas 2013-2017'!$E:$E,""),"")</f>
        <v/>
      </c>
      <c r="X294" t="str">
        <f>IFERROR(_xlfn.XLOOKUP($AB294,'Cas 2013-2017'!$K:$K,'Cas 2013-2017'!$F:$F,""),"")</f>
        <v/>
      </c>
      <c r="Y294" t="str">
        <f>IFERROR(_xlfn.XLOOKUP($AB294,'Cas 2013-2017'!$K:$K,'Cas 2013-2017'!$G:$G,""),"")</f>
        <v/>
      </c>
      <c r="Z294" t="str">
        <f>IFERROR(_xlfn.XLOOKUP($AB294,'Cas 2013-2017'!$K:$K,'Cas 2013-2017'!$I:$I,""),"")</f>
        <v/>
      </c>
      <c r="AA294" t="str">
        <f>IFERROR(_xlfn.XLOOKUP($AB294,'Cas 2013-2017'!$K:$K,'Cas 2013-2017'!$H:$H,""),"")</f>
        <v/>
      </c>
      <c r="AB294" t="str">
        <f>LOWER($A294 &amp; "|" &amp; $AF294)</f>
        <v>2023|ait</v>
      </c>
      <c r="AC294" t="str">
        <f>TRIM(SUBSTITUTE(SUBSTITUTE(SUBSTITUTE(SUBSTITUTE(" " &amp; LOWER(TRIM(IF($N294&lt;&gt;"", $N294, $H294))) &amp; " ", " aomi ", " arteriopathie des membres inferieurs "), " hta ", " hypertension arterielle "), " saos ", " syndrome d'apnees obstructives du sommeil "), " rgo ", " reflux gastro-oesophagien ") )</f>
        <v>ait</v>
      </c>
      <c r="AD294" t="str">
        <f>TRIM(SUBSTITUTE(SUBSTITUTE(SUBSTITUTE(SUBSTITUTE(" " &amp; LOWER(TRIM($AC294)) &amp; " ", " oacr ", " occlusion de l'artere centrale de la retine "), " hsd ", " hematome sous-dural "), " fa ", " fibrillation auriculaire "), " ep ", " embolie pulmonaire ") )</f>
        <v>ait</v>
      </c>
      <c r="AE294" t="str" cm="1">
        <f t="array" ref="AE294">_xlfn.LET(_xlpm.base, " " &amp; LOWER(TRIM($AD294))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ait</v>
      </c>
      <c r="AF294" t="str" cm="1">
        <f t="array" ref="AF294">_xlfn.LET(_xlpm.base, " " &amp; LOWER(TRIM($AE294))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ait</v>
      </c>
    </row>
    <row r="295" spans="1:32" ht="33.75">
      <c r="A295" s="8">
        <v>2023</v>
      </c>
      <c r="B295" s="10" t="s">
        <v>221</v>
      </c>
      <c r="C295" s="8" t="s">
        <v>33</v>
      </c>
      <c r="D295" s="20">
        <v>10</v>
      </c>
      <c r="E295" s="11" t="str">
        <f>IF(D295="","",IFERROR(INDEX(SSP!$E$2:$E$266, MATCH(D295, SSP!$F$2:$F$266, 0)),""))</f>
        <v>Douleur (toutes localisations et types confondus)</v>
      </c>
      <c r="F295" s="11" t="str">
        <f>Feuil1!E295</f>
        <v>Douleur dorsale</v>
      </c>
      <c r="G295" s="12" t="s">
        <v>222</v>
      </c>
      <c r="H295" s="13" t="s">
        <v>931</v>
      </c>
      <c r="I295" s="13"/>
      <c r="J295" s="15" t="s">
        <v>932</v>
      </c>
      <c r="K295" s="9" t="s">
        <v>33</v>
      </c>
      <c r="L295" s="9" t="s">
        <v>33</v>
      </c>
      <c r="M295" s="9" t="s">
        <v>33</v>
      </c>
      <c r="N295" t="s">
        <v>931</v>
      </c>
      <c r="O295" t="str">
        <f>IFERROR(_xlfn.XLOOKUP($D295, SSP!$F:$F, SSP!$E:$E, "Inconnu"), "")</f>
        <v>Douleur (toutes localisations et types confondus)</v>
      </c>
      <c r="P295" t="str">
        <f>IF(OR(E295="", O295=""), "", IF(LOWER(E295)=LOWER(O295), "OK", "⚠️ Libellé ≠ n°"))</f>
        <v>OK</v>
      </c>
      <c r="Q295" t="str">
        <f>IF(Feuil1!$E295="", "", IF(LOWER(Feuil1!$E295)=LOWER(E295), "Identique", "Différent"))</f>
        <v>Différent</v>
      </c>
      <c r="R295" t="str">
        <f>IF(OR(P295="⚠️ Libellé ≠ n°", O295="Inconnu"), "⚠️", IF(Q295="Différent", "ℹ️", ""))</f>
        <v>ℹ️</v>
      </c>
      <c r="S295" t="str" cm="1">
        <f t="array" ref="S295">_xlfn.LET(_xlpm.genCat,IFERROR(LOWER(TRIM(G295)),""),_xlpm.principal,IFERROR(LOWER(TRIM(H295)),""),_xlpm.orig,IFERROR(LOWER(TRIM(N295)),""),IF(OR(_xlpm.genCat="",_xlpm.principal=""),"",IF(LEFT(LOWER(G295),5)="autre","OK (Autre)",IF(OR(ISNUMBER(SEARCH(_xlpm.genCat,_xlpm.principal)),ISNUMBER(SEARCH(_xlpm.principal,_xlpm.genCat)),AND(_xlpm.orig&lt;&gt;"",OR(ISNUMBER(SEARCH(_xlpm.genCat,_xlpm.orig)),ISNUMBER(SEARCH(_xlpm.orig,_xlpm.genCat))))),"OK","⚠️ À vérifier"))))</f>
        <v>OK</v>
      </c>
      <c r="T295" t="str">
        <f>IF(S295="","",IF(S295="OK (Autre)","Diagnostic générique = 'Autre – …'",IF(S295="OK","Concordance générique/principal","Écart entre générique et principal")))</f>
        <v>Concordance générique/principal</v>
      </c>
      <c r="U295" t="str" cm="1">
        <f t="array" ref="U295">_xlfn.LET(_xlpm.yr, A295, _xlpm.diag, IF(N295&lt;&gt;"", N295, H295), _xlpm.base, TRIM(SUBSTITUTE(SUBSTITUTE(SUBSTITUTE(SUBSTITUTE(_xlpm.diag,"•"," "),CHAR(160)," "),CHAR(10)," "),"  "," ")), LOWER(_xlpm.yr&amp;"|"&amp;_xlpm.base))</f>
        <v>2023|fracture vertébrale lombaire</v>
      </c>
      <c r="V295" t="str">
        <f>IFERROR(_xlfn.XLOOKUP($AB295,'Cas 2013-2017'!$K:$K,'Cas 2013-2017'!$D:$D,""),"")</f>
        <v/>
      </c>
      <c r="W295" t="str">
        <f>IFERROR(_xlfn.XLOOKUP($AB295,'Cas 2013-2017'!$K:$K,'Cas 2013-2017'!$E:$E,""),"")</f>
        <v/>
      </c>
      <c r="X295" t="str">
        <f>IFERROR(_xlfn.XLOOKUP($AB295,'Cas 2013-2017'!$K:$K,'Cas 2013-2017'!$F:$F,""),"")</f>
        <v/>
      </c>
      <c r="Y295" t="str">
        <f>IFERROR(_xlfn.XLOOKUP($AB295,'Cas 2013-2017'!$K:$K,'Cas 2013-2017'!$G:$G,""),"")</f>
        <v/>
      </c>
      <c r="Z295" t="str">
        <f>IFERROR(_xlfn.XLOOKUP($AB295,'Cas 2013-2017'!$K:$K,'Cas 2013-2017'!$I:$I,""),"")</f>
        <v/>
      </c>
      <c r="AA295" t="str">
        <f>IFERROR(_xlfn.XLOOKUP($AB295,'Cas 2013-2017'!$K:$K,'Cas 2013-2017'!$H:$H,""),"")</f>
        <v/>
      </c>
      <c r="AB295" t="str">
        <f>LOWER($A295 &amp; "|" &amp; $AF295)</f>
        <v>2023|fracture vertébrale lombaire</v>
      </c>
      <c r="AC295" t="str">
        <f>TRIM(SUBSTITUTE(SUBSTITUTE(SUBSTITUTE(SUBSTITUTE(" " &amp; LOWER(TRIM(IF($N295&lt;&gt;"", $N295, $H295))) &amp; " ", " aomi ", " arteriopathie des membres inferieurs "), " hta ", " hypertension arterielle "), " saos ", " syndrome d'apnees obstructives du sommeil "), " rgo ", " reflux gastro-oesophagien ") )</f>
        <v>fracture vertébrale lombaire</v>
      </c>
      <c r="AD295" t="str">
        <f>TRIM(SUBSTITUTE(SUBSTITUTE(SUBSTITUTE(SUBSTITUTE(" " &amp; LOWER(TRIM($AC295)) &amp; " ", " oacr ", " occlusion de l'artere centrale de la retine "), " hsd ", " hematome sous-dural "), " fa ", " fibrillation auriculaire "), " ep ", " embolie pulmonaire ") )</f>
        <v>fracture vertébrale lombaire</v>
      </c>
      <c r="AE295" t="str" cm="1">
        <f t="array" ref="AE295">_xlfn.LET(_xlpm.base, " " &amp; LOWER(TRIM($AD295))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fracture vertébrale lombaire</v>
      </c>
      <c r="AF295" t="str" cm="1">
        <f t="array" ref="AF295">_xlfn.LET(_xlpm.base, " " &amp; LOWER(TRIM($AE295))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fracture vertébrale lombaire</v>
      </c>
    </row>
    <row r="296" spans="1:32" ht="50.25">
      <c r="A296" s="8">
        <v>2023</v>
      </c>
      <c r="B296" s="10" t="s">
        <v>100</v>
      </c>
      <c r="C296" s="8" t="s">
        <v>33</v>
      </c>
      <c r="D296" s="20">
        <v>27</v>
      </c>
      <c r="E296" s="11" t="str">
        <f>IF(D296="","",IFERROR(INDEX(SSP!$E$2:$E$266, MATCH(D296, SSP!$F$2:$F$266, 0)),""))</f>
        <v>Douleur faciale, mandibulaire ou dentaire, trismus</v>
      </c>
      <c r="F296" s="11" t="str">
        <f>Feuil1!E296</f>
        <v>Douleur faciale</v>
      </c>
      <c r="G296" s="12" t="s">
        <v>933</v>
      </c>
      <c r="H296" s="13" t="s">
        <v>934</v>
      </c>
      <c r="I296" s="13" t="s">
        <v>935</v>
      </c>
      <c r="J296" s="15" t="s">
        <v>936</v>
      </c>
      <c r="K296" s="9" t="s">
        <v>937</v>
      </c>
      <c r="L296" s="9" t="s">
        <v>33</v>
      </c>
      <c r="M296" s="9" t="s">
        <v>33</v>
      </c>
      <c r="N296" t="s">
        <v>938</v>
      </c>
      <c r="O296" t="str">
        <f>IFERROR(_xlfn.XLOOKUP($D296, SSP!$F:$F, SSP!$E:$E, "Inconnu"), "")</f>
        <v>Douleur faciale, mandibulaire ou dentaire, trismus</v>
      </c>
      <c r="P296" t="str">
        <f>IF(OR(E296="", O296=""), "", IF(LOWER(E296)=LOWER(O296), "OK", "⚠️ Libellé ≠ n°"))</f>
        <v>OK</v>
      </c>
      <c r="Q296" t="str">
        <f>IF(Feuil1!$E296="", "", IF(LOWER(Feuil1!$E296)=LOWER(E296), "Identique", "Différent"))</f>
        <v>Différent</v>
      </c>
      <c r="R296" t="str">
        <f>IF(OR(P296="⚠️ Libellé ≠ n°", O296="Inconnu"), "⚠️", IF(Q296="Différent", "ℹ️", ""))</f>
        <v>ℹ️</v>
      </c>
      <c r="S296" t="str" cm="1">
        <f t="array" ref="S296">_xlfn.LET(_xlpm.genCat,IFERROR(LOWER(TRIM(G296)),""),_xlpm.principal,IFERROR(LOWER(TRIM(H296)),""),_xlpm.orig,IFERROR(LOWER(TRIM(N296)),""),IF(OR(_xlpm.genCat="",_xlpm.principal=""),"",IF(LEFT(LOWER(G296),5)="autre","OK (Autre)",IF(OR(ISNUMBER(SEARCH(_xlpm.genCat,_xlpm.principal)),ISNUMBER(SEARCH(_xlpm.principal,_xlpm.genCat)),AND(_xlpm.orig&lt;&gt;"",OR(ISNUMBER(SEARCH(_xlpm.genCat,_xlpm.orig)),ISNUMBER(SEARCH(_xlpm.orig,_xlpm.genCat))))),"OK","⚠️ À vérifier"))))</f>
        <v>⚠️ À vérifier</v>
      </c>
      <c r="T296" t="str">
        <f>IF(S296="","",IF(S296="OK (Autre)","Diagnostic générique = 'Autre – …'",IF(S296="OK","Concordance générique/principal","Écart entre générique et principal")))</f>
        <v>Écart entre générique et principal</v>
      </c>
      <c r="U296" t="str" cm="1">
        <f t="array" ref="U296">_xlfn.LET(_xlpm.yr, A296, _xlpm.diag, IF(N296&lt;&gt;"", N296, H296), _xlpm.base, TRIM(SUBSTITUTE(SUBSTITUTE(SUBSTITUTE(SUBSTITUTE(_xlpm.diag,"•"," "),CHAR(160)," "),CHAR(10)," "),"  "," ")), LOWER(_xlpm.yr&amp;"|"&amp;_xlpm.base))</f>
        <v>2023|névralgie du trijumeau / névralgie faciale</v>
      </c>
      <c r="V296" t="str">
        <f>IFERROR(_xlfn.XLOOKUP($AB296,'Cas 2013-2017'!$K:$K,'Cas 2013-2017'!$D:$D,""),"")</f>
        <v/>
      </c>
      <c r="W296" t="str">
        <f>IFERROR(_xlfn.XLOOKUP($AB296,'Cas 2013-2017'!$K:$K,'Cas 2013-2017'!$E:$E,""),"")</f>
        <v/>
      </c>
      <c r="X296" t="str">
        <f>IFERROR(_xlfn.XLOOKUP($AB296,'Cas 2013-2017'!$K:$K,'Cas 2013-2017'!$F:$F,""),"")</f>
        <v/>
      </c>
      <c r="Y296" t="str">
        <f>IFERROR(_xlfn.XLOOKUP($AB296,'Cas 2013-2017'!$K:$K,'Cas 2013-2017'!$G:$G,""),"")</f>
        <v/>
      </c>
      <c r="Z296" t="str">
        <f>IFERROR(_xlfn.XLOOKUP($AB296,'Cas 2013-2017'!$K:$K,'Cas 2013-2017'!$I:$I,""),"")</f>
        <v/>
      </c>
      <c r="AA296" t="str">
        <f>IFERROR(_xlfn.XLOOKUP($AB296,'Cas 2013-2017'!$K:$K,'Cas 2013-2017'!$H:$H,""),"")</f>
        <v/>
      </c>
      <c r="AB296" t="str">
        <f>LOWER($A296 &amp; "|" &amp; $AF296)</f>
        <v>2023|névralgie du trijumeau / névralgie faciale</v>
      </c>
      <c r="AC296" t="str">
        <f>TRIM(SUBSTITUTE(SUBSTITUTE(SUBSTITUTE(SUBSTITUTE(" " &amp; LOWER(TRIM(IF($N296&lt;&gt;"", $N296, $H296))) &amp; " ", " aomi ", " arteriopathie des membres inferieurs "), " hta ", " hypertension arterielle "), " saos ", " syndrome d'apnees obstructives du sommeil "), " rgo ", " reflux gastro-oesophagien ") )</f>
        <v>névralgie du trijumeau / névralgie faciale</v>
      </c>
      <c r="AD296" t="str">
        <f>TRIM(SUBSTITUTE(SUBSTITUTE(SUBSTITUTE(SUBSTITUTE(" " &amp; LOWER(TRIM($AC296)) &amp; " ", " oacr ", " occlusion de l'artere centrale de la retine "), " hsd ", " hematome sous-dural "), " fa ", " fibrillation auriculaire "), " ep ", " embolie pulmonaire ") )</f>
        <v>névralgie du trijumeau / névralgie faciale</v>
      </c>
      <c r="AE296" t="str" cm="1">
        <f t="array" ref="AE296">_xlfn.LET(_xlpm.base, " " &amp; LOWER(TRIM($AD296))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névralgie du trijumeau / névralgie faciale</v>
      </c>
      <c r="AF296" t="str" cm="1">
        <f t="array" ref="AF296">_xlfn.LET(_xlpm.base, " " &amp; LOWER(TRIM($AE296))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névralgie du trijumeau / névralgie faciale</v>
      </c>
    </row>
    <row r="297" spans="1:32" ht="50.25">
      <c r="A297" s="8">
        <v>2023</v>
      </c>
      <c r="B297" s="10" t="s">
        <v>115</v>
      </c>
      <c r="C297" s="8" t="s">
        <v>33</v>
      </c>
      <c r="D297" s="20">
        <v>39</v>
      </c>
      <c r="E297" s="11" t="str">
        <f>IF(D297="","",IFERROR(INDEX(SSP!$E$2:$E$266, MATCH(D297, SSP!$F$2:$F$266, 0)),""))</f>
        <v>Troubles visuels : photophobie, éclairs lumineux, corps flottants, diplopie, dyschromatopsie, vision floue</v>
      </c>
      <c r="F297" s="11" t="str">
        <f>Feuil1!E297</f>
        <v> </v>
      </c>
      <c r="G297" s="12" t="s">
        <v>356</v>
      </c>
      <c r="H297" s="13" t="s">
        <v>356</v>
      </c>
      <c r="I297" s="13"/>
      <c r="J297" s="15" t="s">
        <v>33</v>
      </c>
      <c r="K297" s="9" t="s">
        <v>33</v>
      </c>
      <c r="L297" s="9" t="s">
        <v>33</v>
      </c>
      <c r="M297" s="9" t="s">
        <v>33</v>
      </c>
      <c r="N297" t="s">
        <v>356</v>
      </c>
      <c r="O297" t="str">
        <f>IFERROR(_xlfn.XLOOKUP($D297, SSP!$F:$F, SSP!$E:$E, "Inconnu"), "")</f>
        <v>Troubles visuels : photophobie, éclairs lumineux, corps flottants, diplopie, dyschromatopsie, vision floue</v>
      </c>
      <c r="P297" t="str">
        <f>IF(OR(E297="", O297=""), "", IF(LOWER(E297)=LOWER(O297), "OK", "⚠️ Libellé ≠ n°"))</f>
        <v>OK</v>
      </c>
      <c r="Q297" t="str">
        <f>IF(Feuil1!$E297="", "", IF(LOWER(Feuil1!$E297)=LOWER(E297), "Identique", "Différent"))</f>
        <v>Différent</v>
      </c>
      <c r="R297" t="str">
        <f>IF(OR(P297="⚠️ Libellé ≠ n°", O297="Inconnu"), "⚠️", IF(Q297="Différent", "ℹ️", ""))</f>
        <v>ℹ️</v>
      </c>
      <c r="S297" t="str" cm="1">
        <f t="array" ref="S297">_xlfn.LET(_xlpm.genCat,IFERROR(LOWER(TRIM(G297)),""),_xlpm.principal,IFERROR(LOWER(TRIM(H297)),""),_xlpm.orig,IFERROR(LOWER(TRIM(N297)),""),IF(OR(_xlpm.genCat="",_xlpm.principal=""),"",IF(LEFT(LOWER(G297),5)="autre","OK (Autre)",IF(OR(ISNUMBER(SEARCH(_xlpm.genCat,_xlpm.principal)),ISNUMBER(SEARCH(_xlpm.principal,_xlpm.genCat)),AND(_xlpm.orig&lt;&gt;"",OR(ISNUMBER(SEARCH(_xlpm.genCat,_xlpm.orig)),ISNUMBER(SEARCH(_xlpm.orig,_xlpm.genCat))))),"OK","⚠️ À vérifier"))))</f>
        <v>OK</v>
      </c>
      <c r="T297" t="str">
        <f>IF(S297="","",IF(S297="OK (Autre)","Diagnostic générique = 'Autre – …'",IF(S297="OK","Concordance générique/principal","Écart entre générique et principal")))</f>
        <v>Concordance générique/principal</v>
      </c>
      <c r="U297" t="str" cm="1">
        <f t="array" ref="U297">_xlfn.LET(_xlpm.yr, A297, _xlpm.diag, IF(N297&lt;&gt;"", N297, H297), _xlpm.base, TRIM(SUBSTITUTE(SUBSTITUTE(SUBSTITUTE(SUBSTITUTE(_xlpm.diag,"•"," "),CHAR(160)," "),CHAR(10)," "),"  "," ")), LOWER(_xlpm.yr&amp;"|"&amp;_xlpm.base))</f>
        <v>2023|cataracte</v>
      </c>
      <c r="V297" t="str">
        <f>IFERROR(_xlfn.XLOOKUP($AB297,'Cas 2013-2017'!$K:$K,'Cas 2013-2017'!$D:$D,""),"")</f>
        <v/>
      </c>
      <c r="W297" t="str">
        <f>IFERROR(_xlfn.XLOOKUP($AB297,'Cas 2013-2017'!$K:$K,'Cas 2013-2017'!$E:$E,""),"")</f>
        <v/>
      </c>
      <c r="X297" t="str">
        <f>IFERROR(_xlfn.XLOOKUP($AB297,'Cas 2013-2017'!$K:$K,'Cas 2013-2017'!$F:$F,""),"")</f>
        <v/>
      </c>
      <c r="Y297" t="str">
        <f>IFERROR(_xlfn.XLOOKUP($AB297,'Cas 2013-2017'!$K:$K,'Cas 2013-2017'!$G:$G,""),"")</f>
        <v/>
      </c>
      <c r="Z297" t="str">
        <f>IFERROR(_xlfn.XLOOKUP($AB297,'Cas 2013-2017'!$K:$K,'Cas 2013-2017'!$I:$I,""),"")</f>
        <v/>
      </c>
      <c r="AA297" t="str">
        <f>IFERROR(_xlfn.XLOOKUP($AB297,'Cas 2013-2017'!$K:$K,'Cas 2013-2017'!$H:$H,""),"")</f>
        <v/>
      </c>
      <c r="AB297" t="str">
        <f>LOWER($A297 &amp; "|" &amp; $AF297)</f>
        <v>2023|cataracte</v>
      </c>
      <c r="AC297" t="str">
        <f>TRIM(SUBSTITUTE(SUBSTITUTE(SUBSTITUTE(SUBSTITUTE(" " &amp; LOWER(TRIM(IF($N297&lt;&gt;"", $N297, $H297))) &amp; " ", " aomi ", " arteriopathie des membres inferieurs "), " hta ", " hypertension arterielle "), " saos ", " syndrome d'apnees obstructives du sommeil "), " rgo ", " reflux gastro-oesophagien ") )</f>
        <v>cataracte</v>
      </c>
      <c r="AD297" t="str">
        <f>TRIM(SUBSTITUTE(SUBSTITUTE(SUBSTITUTE(SUBSTITUTE(" " &amp; LOWER(TRIM($AC297)) &amp; " ", " oacr ", " occlusion de l'artere centrale de la retine "), " hsd ", " hematome sous-dural "), " fa ", " fibrillation auriculaire "), " ep ", " embolie pulmonaire ") )</f>
        <v>cataracte</v>
      </c>
      <c r="AE297" t="str" cm="1">
        <f t="array" ref="AE297">_xlfn.LET(_xlpm.base, " " &amp; LOWER(TRIM($AD297))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cataracte</v>
      </c>
      <c r="AF297" t="str" cm="1">
        <f t="array" ref="AF297">_xlfn.LET(_xlpm.base, " " &amp; LOWER(TRIM($AE297))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cataracte</v>
      </c>
    </row>
    <row r="298" spans="1:32" ht="33.75">
      <c r="A298" s="8">
        <v>2023</v>
      </c>
      <c r="B298" s="10" t="s">
        <v>82</v>
      </c>
      <c r="C298" s="8" t="s">
        <v>33</v>
      </c>
      <c r="D298" s="20">
        <v>10</v>
      </c>
      <c r="E298" s="11" t="str">
        <f>IF(D298="","",IFERROR(INDEX(SSP!$E$2:$E$266, MATCH(D298, SSP!$F$2:$F$266, 0)),""))</f>
        <v>Douleur (toutes localisations et types confondus)</v>
      </c>
      <c r="F298" s="11" t="str">
        <f>Feuil1!E298</f>
        <v>Douleur gorge</v>
      </c>
      <c r="G298" s="12" t="s">
        <v>83</v>
      </c>
      <c r="H298" s="13" t="s">
        <v>939</v>
      </c>
      <c r="I298" s="13"/>
      <c r="J298" s="15" t="s">
        <v>940</v>
      </c>
      <c r="K298" s="9" t="s">
        <v>33</v>
      </c>
      <c r="L298" s="9" t="s">
        <v>33</v>
      </c>
      <c r="M298" s="9" t="s">
        <v>33</v>
      </c>
      <c r="N298" t="s">
        <v>939</v>
      </c>
      <c r="O298" t="str">
        <f>IFERROR(_xlfn.XLOOKUP($D298, SSP!$F:$F, SSP!$E:$E, "Inconnu"), "")</f>
        <v>Douleur (toutes localisations et types confondus)</v>
      </c>
      <c r="P298" t="str">
        <f>IF(OR(E298="", O298=""), "", IF(LOWER(E298)=LOWER(O298), "OK", "⚠️ Libellé ≠ n°"))</f>
        <v>OK</v>
      </c>
      <c r="Q298" t="str">
        <f>IF(Feuil1!$E298="", "", IF(LOWER(Feuil1!$E298)=LOWER(E298), "Identique", "Différent"))</f>
        <v>Différent</v>
      </c>
      <c r="R298" t="str">
        <f>IF(OR(P298="⚠️ Libellé ≠ n°", O298="Inconnu"), "⚠️", IF(Q298="Différent", "ℹ️", ""))</f>
        <v>ℹ️</v>
      </c>
      <c r="S298" t="str" cm="1">
        <f t="array" ref="S298">_xlfn.LET(_xlpm.genCat,IFERROR(LOWER(TRIM(G298)),""),_xlpm.principal,IFERROR(LOWER(TRIM(H298)),""),_xlpm.orig,IFERROR(LOWER(TRIM(N298)),""),IF(OR(_xlpm.genCat="",_xlpm.principal=""),"",IF(LEFT(LOWER(G298),5)="autre","OK (Autre)",IF(OR(ISNUMBER(SEARCH(_xlpm.genCat,_xlpm.principal)),ISNUMBER(SEARCH(_xlpm.principal,_xlpm.genCat)),AND(_xlpm.orig&lt;&gt;"",OR(ISNUMBER(SEARCH(_xlpm.genCat,_xlpm.orig)),ISNUMBER(SEARCH(_xlpm.orig,_xlpm.genCat))))),"OK","⚠️ À vérifier"))))</f>
        <v>OK (Autre)</v>
      </c>
      <c r="T298" t="str">
        <f>IF(S298="","",IF(S298="OK (Autre)","Diagnostic générique = 'Autre – …'",IF(S298="OK","Concordance générique/principal","Écart entre générique et principal")))</f>
        <v>Diagnostic générique = 'Autre – …'</v>
      </c>
      <c r="U298" t="str" cm="1">
        <f t="array" ref="U298">_xlfn.LET(_xlpm.yr, A298, _xlpm.diag, IF(N298&lt;&gt;"", N298, H298), _xlpm.base, TRIM(SUBSTITUTE(SUBSTITUTE(SUBSTITUTE(SUBSTITUTE(_xlpm.diag,"•"," "),CHAR(160)," "),CHAR(10)," "),"  "," ")), LOWER(_xlpm.yr&amp;"|"&amp;_xlpm.base))</f>
        <v>2023|abcès péri-amygdalien</v>
      </c>
      <c r="V298" t="str">
        <f>IFERROR(_xlfn.XLOOKUP($AB298,'Cas 2013-2017'!$K:$K,'Cas 2013-2017'!$D:$D,""),"")</f>
        <v/>
      </c>
      <c r="W298" t="str">
        <f>IFERROR(_xlfn.XLOOKUP($AB298,'Cas 2013-2017'!$K:$K,'Cas 2013-2017'!$E:$E,""),"")</f>
        <v/>
      </c>
      <c r="X298" t="str">
        <f>IFERROR(_xlfn.XLOOKUP($AB298,'Cas 2013-2017'!$K:$K,'Cas 2013-2017'!$F:$F,""),"")</f>
        <v/>
      </c>
      <c r="Y298" t="str">
        <f>IFERROR(_xlfn.XLOOKUP($AB298,'Cas 2013-2017'!$K:$K,'Cas 2013-2017'!$G:$G,""),"")</f>
        <v/>
      </c>
      <c r="Z298" t="str">
        <f>IFERROR(_xlfn.XLOOKUP($AB298,'Cas 2013-2017'!$K:$K,'Cas 2013-2017'!$I:$I,""),"")</f>
        <v/>
      </c>
      <c r="AA298" t="str">
        <f>IFERROR(_xlfn.XLOOKUP($AB298,'Cas 2013-2017'!$K:$K,'Cas 2013-2017'!$H:$H,""),"")</f>
        <v/>
      </c>
      <c r="AB298" t="str">
        <f>LOWER($A298 &amp; "|" &amp; $AF298)</f>
        <v>2023|abcès péri-amygdalien</v>
      </c>
      <c r="AC298" t="str">
        <f>TRIM(SUBSTITUTE(SUBSTITUTE(SUBSTITUTE(SUBSTITUTE(" " &amp; LOWER(TRIM(IF($N298&lt;&gt;"", $N298, $H298))) &amp; " ", " aomi ", " arteriopathie des membres inferieurs "), " hta ", " hypertension arterielle "), " saos ", " syndrome d'apnees obstructives du sommeil "), " rgo ", " reflux gastro-oesophagien ") )</f>
        <v>abcès péri-amygdalien</v>
      </c>
      <c r="AD298" t="str">
        <f>TRIM(SUBSTITUTE(SUBSTITUTE(SUBSTITUTE(SUBSTITUTE(" " &amp; LOWER(TRIM($AC298)) &amp; " ", " oacr ", " occlusion de l'artere centrale de la retine "), " hsd ", " hematome sous-dural "), " fa ", " fibrillation auriculaire "), " ep ", " embolie pulmonaire ") )</f>
        <v>abcès péri-amygdalien</v>
      </c>
      <c r="AE298" t="str" cm="1">
        <f t="array" ref="AE298">_xlfn.LET(_xlpm.base, " " &amp; LOWER(TRIM($AD298))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abcès péri-amygdalien</v>
      </c>
      <c r="AF298" t="str" cm="1">
        <f t="array" ref="AF298">_xlfn.LET(_xlpm.base, " " &amp; LOWER(TRIM($AE298))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abcès péri-amygdalien</v>
      </c>
    </row>
    <row r="299" spans="1:32" ht="33.75">
      <c r="A299" s="8">
        <v>2023</v>
      </c>
      <c r="B299" s="10" t="s">
        <v>91</v>
      </c>
      <c r="C299" s="8" t="s">
        <v>33</v>
      </c>
      <c r="D299" s="20">
        <v>10</v>
      </c>
      <c r="E299" s="11" t="str">
        <f>IF(D299="","",IFERROR(INDEX(SSP!$E$2:$E$266, MATCH(D299, SSP!$F$2:$F$266, 0)),""))</f>
        <v>Douleur (toutes localisations et types confondus)</v>
      </c>
      <c r="F299" s="11" t="str">
        <f>Feuil1!E299</f>
        <v>Douleur gorge</v>
      </c>
      <c r="G299" s="12" t="s">
        <v>121</v>
      </c>
      <c r="H299" s="13" t="s">
        <v>941</v>
      </c>
      <c r="I299" s="13"/>
      <c r="J299" s="15" t="s">
        <v>942</v>
      </c>
      <c r="K299" s="9" t="s">
        <v>33</v>
      </c>
      <c r="L299" s="9" t="s">
        <v>33</v>
      </c>
      <c r="M299" s="9" t="s">
        <v>33</v>
      </c>
      <c r="N299" t="s">
        <v>941</v>
      </c>
      <c r="O299" t="str">
        <f>IFERROR(_xlfn.XLOOKUP($D299, SSP!$F:$F, SSP!$E:$E, "Inconnu"), "")</f>
        <v>Douleur (toutes localisations et types confondus)</v>
      </c>
      <c r="P299" t="str">
        <f>IF(OR(E299="", O299=""), "", IF(LOWER(E299)=LOWER(O299), "OK", "⚠️ Libellé ≠ n°"))</f>
        <v>OK</v>
      </c>
      <c r="Q299" t="str">
        <f>IF(Feuil1!$E299="", "", IF(LOWER(Feuil1!$E299)=LOWER(E299), "Identique", "Différent"))</f>
        <v>Différent</v>
      </c>
      <c r="R299" t="str">
        <f>IF(OR(P299="⚠️ Libellé ≠ n°", O299="Inconnu"), "⚠️", IF(Q299="Différent", "ℹ️", ""))</f>
        <v>ℹ️</v>
      </c>
      <c r="S299" t="str" cm="1">
        <f t="array" ref="S299">_xlfn.LET(_xlpm.genCat,IFERROR(LOWER(TRIM(G299)),""),_xlpm.principal,IFERROR(LOWER(TRIM(H299)),""),_xlpm.orig,IFERROR(LOWER(TRIM(N299)),""),IF(OR(_xlpm.genCat="",_xlpm.principal=""),"",IF(LEFT(LOWER(G299),5)="autre","OK (Autre)",IF(OR(ISNUMBER(SEARCH(_xlpm.genCat,_xlpm.principal)),ISNUMBER(SEARCH(_xlpm.principal,_xlpm.genCat)),AND(_xlpm.orig&lt;&gt;"",OR(ISNUMBER(SEARCH(_xlpm.genCat,_xlpm.orig)),ISNUMBER(SEARCH(_xlpm.orig,_xlpm.genCat))))),"OK","⚠️ À vérifier"))))</f>
        <v>⚠️ À vérifier</v>
      </c>
      <c r="T299" t="str">
        <f>IF(S299="","",IF(S299="OK (Autre)","Diagnostic générique = 'Autre – …'",IF(S299="OK","Concordance générique/principal","Écart entre générique et principal")))</f>
        <v>Écart entre générique et principal</v>
      </c>
      <c r="U299" t="str" cm="1">
        <f t="array" ref="U299">_xlfn.LET(_xlpm.yr, A299, _xlpm.diag, IF(N299&lt;&gt;"", N299, H299), _xlpm.base, TRIM(SUBSTITUTE(SUBSTITUTE(SUBSTITUTE(SUBSTITUTE(_xlpm.diag,"•"," "),CHAR(160)," "),CHAR(10)," "),"  "," ")), LOWER(_xlpm.yr&amp;"|"&amp;_xlpm.base))</f>
        <v>2023|pharyngite streptococcique</v>
      </c>
      <c r="V299" t="str">
        <f>IFERROR(_xlfn.XLOOKUP($AB299,'Cas 2013-2017'!$K:$K,'Cas 2013-2017'!$D:$D,""),"")</f>
        <v/>
      </c>
      <c r="W299" t="str">
        <f>IFERROR(_xlfn.XLOOKUP($AB299,'Cas 2013-2017'!$K:$K,'Cas 2013-2017'!$E:$E,""),"")</f>
        <v/>
      </c>
      <c r="X299" t="str">
        <f>IFERROR(_xlfn.XLOOKUP($AB299,'Cas 2013-2017'!$K:$K,'Cas 2013-2017'!$F:$F,""),"")</f>
        <v/>
      </c>
      <c r="Y299" t="str">
        <f>IFERROR(_xlfn.XLOOKUP($AB299,'Cas 2013-2017'!$K:$K,'Cas 2013-2017'!$G:$G,""),"")</f>
        <v/>
      </c>
      <c r="Z299" t="str">
        <f>IFERROR(_xlfn.XLOOKUP($AB299,'Cas 2013-2017'!$K:$K,'Cas 2013-2017'!$I:$I,""),"")</f>
        <v/>
      </c>
      <c r="AA299" t="str">
        <f>IFERROR(_xlfn.XLOOKUP($AB299,'Cas 2013-2017'!$K:$K,'Cas 2013-2017'!$H:$H,""),"")</f>
        <v/>
      </c>
      <c r="AB299" t="str">
        <f>LOWER($A299 &amp; "|" &amp; $AF299)</f>
        <v>2023|pharyngite streptococcique</v>
      </c>
      <c r="AC299" t="str">
        <f>TRIM(SUBSTITUTE(SUBSTITUTE(SUBSTITUTE(SUBSTITUTE(" " &amp; LOWER(TRIM(IF($N299&lt;&gt;"", $N299, $H299))) &amp; " ", " aomi ", " arteriopathie des membres inferieurs "), " hta ", " hypertension arterielle "), " saos ", " syndrome d'apnees obstructives du sommeil "), " rgo ", " reflux gastro-oesophagien ") )</f>
        <v>pharyngite streptococcique</v>
      </c>
      <c r="AD299" t="str">
        <f>TRIM(SUBSTITUTE(SUBSTITUTE(SUBSTITUTE(SUBSTITUTE(" " &amp; LOWER(TRIM($AC299)) &amp; " ", " oacr ", " occlusion de l'artere centrale de la retine "), " hsd ", " hematome sous-dural "), " fa ", " fibrillation auriculaire "), " ep ", " embolie pulmonaire ") )</f>
        <v>pharyngite streptococcique</v>
      </c>
      <c r="AE299" t="str" cm="1">
        <f t="array" ref="AE299">_xlfn.LET(_xlpm.base, " " &amp; LOWER(TRIM($AD299))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pharyngite streptococcique</v>
      </c>
      <c r="AF299" t="str" cm="1">
        <f t="array" ref="AF299">_xlfn.LET(_xlpm.base, " " &amp; LOWER(TRIM($AE299))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pharyngite streptococcique</v>
      </c>
    </row>
    <row r="300" spans="1:32" ht="50.25">
      <c r="A300" s="8">
        <v>2023</v>
      </c>
      <c r="B300" s="10" t="s">
        <v>60</v>
      </c>
      <c r="C300" s="8" t="s">
        <v>33</v>
      </c>
      <c r="D300" s="20">
        <v>224</v>
      </c>
      <c r="E300" s="11" t="str">
        <f>IF(D300="","",IFERROR(INDEX(SSP!$E$2:$E$266, MATCH(D300, SSP!$F$2:$F$266, 0)),""))</f>
        <v>Demande de bilan de santé, d’examens radiologiques ou biologiques</v>
      </c>
      <c r="F300" s="11" t="str">
        <f>Feuil1!E300</f>
        <v>Bilan</v>
      </c>
      <c r="G300" s="12" t="s">
        <v>806</v>
      </c>
      <c r="H300" s="13" t="s">
        <v>807</v>
      </c>
      <c r="I300" s="13"/>
      <c r="J300" s="15" t="s">
        <v>943</v>
      </c>
      <c r="K300" s="9" t="s">
        <v>944</v>
      </c>
      <c r="L300" s="9" t="s">
        <v>33</v>
      </c>
      <c r="M300" s="9" t="s">
        <v>33</v>
      </c>
      <c r="N300" t="s">
        <v>807</v>
      </c>
      <c r="O300" t="str">
        <f>IFERROR(_xlfn.XLOOKUP($D300, SSP!$F:$F, SSP!$E:$E, "Inconnu"), "")</f>
        <v>Demande de bilan de santé, d’examens radiologiques ou biologiques</v>
      </c>
      <c r="P300" t="str">
        <f>IF(OR(E300="", O300=""), "", IF(LOWER(E300)=LOWER(O300), "OK", "⚠️ Libellé ≠ n°"))</f>
        <v>OK</v>
      </c>
      <c r="Q300" t="str">
        <f>IF(Feuil1!$E300="", "", IF(LOWER(Feuil1!$E300)=LOWER(E300), "Identique", "Différent"))</f>
        <v>Différent</v>
      </c>
      <c r="R300" t="str">
        <f>IF(OR(P300="⚠️ Libellé ≠ n°", O300="Inconnu"), "⚠️", IF(Q300="Différent", "ℹ️", ""))</f>
        <v>ℹ️</v>
      </c>
      <c r="S300" t="str" cm="1">
        <f t="array" ref="S300">_xlfn.LET(_xlpm.genCat,IFERROR(LOWER(TRIM(G300)),""),_xlpm.principal,IFERROR(LOWER(TRIM(H300)),""),_xlpm.orig,IFERROR(LOWER(TRIM(N300)),""),IF(OR(_xlpm.genCat="",_xlpm.principal=""),"",IF(LEFT(LOWER(G300),5)="autre","OK (Autre)",IF(OR(ISNUMBER(SEARCH(_xlpm.genCat,_xlpm.principal)),ISNUMBER(SEARCH(_xlpm.principal,_xlpm.genCat)),AND(_xlpm.orig&lt;&gt;"",OR(ISNUMBER(SEARCH(_xlpm.genCat,_xlpm.orig)),ISNUMBER(SEARCH(_xlpm.orig,_xlpm.genCat))))),"OK","⚠️ À vérifier"))))</f>
        <v>OK</v>
      </c>
      <c r="T300" t="str">
        <f>IF(S300="","",IF(S300="OK (Autre)","Diagnostic générique = 'Autre – …'",IF(S300="OK","Concordance générique/principal","Écart entre générique et principal")))</f>
        <v>Concordance générique/principal</v>
      </c>
      <c r="U300" t="str" cm="1">
        <f t="array" ref="U300">_xlfn.LET(_xlpm.yr, A300, _xlpm.diag, IF(N300&lt;&gt;"", N300, H300), _xlpm.base, TRIM(SUBSTITUTE(SUBSTITUTE(SUBSTITUTE(SUBSTITUTE(_xlpm.diag,"•"," "),CHAR(160)," "),CHAR(10)," "),"  "," ")), LOWER(_xlpm.yr&amp;"|"&amp;_xlpm.base))</f>
        <v>2023|diabète de type 1 - bbn</v>
      </c>
      <c r="V300" t="str">
        <f>IFERROR(_xlfn.XLOOKUP($AB300,'Cas 2013-2017'!$K:$K,'Cas 2013-2017'!$D:$D,""),"")</f>
        <v/>
      </c>
      <c r="W300" t="str">
        <f>IFERROR(_xlfn.XLOOKUP($AB300,'Cas 2013-2017'!$K:$K,'Cas 2013-2017'!$E:$E,""),"")</f>
        <v/>
      </c>
      <c r="X300" t="str">
        <f>IFERROR(_xlfn.XLOOKUP($AB300,'Cas 2013-2017'!$K:$K,'Cas 2013-2017'!$F:$F,""),"")</f>
        <v/>
      </c>
      <c r="Y300" t="str">
        <f>IFERROR(_xlfn.XLOOKUP($AB300,'Cas 2013-2017'!$K:$K,'Cas 2013-2017'!$G:$G,""),"")</f>
        <v/>
      </c>
      <c r="Z300" t="str">
        <f>IFERROR(_xlfn.XLOOKUP($AB300,'Cas 2013-2017'!$K:$K,'Cas 2013-2017'!$I:$I,""),"")</f>
        <v/>
      </c>
      <c r="AA300" t="str">
        <f>IFERROR(_xlfn.XLOOKUP($AB300,'Cas 2013-2017'!$K:$K,'Cas 2013-2017'!$H:$H,""),"")</f>
        <v/>
      </c>
      <c r="AB300" t="str">
        <f>LOWER($A300 &amp; "|" &amp; $AF300)</f>
        <v>2023|diabète de type 1 - bbn</v>
      </c>
      <c r="AC300" t="str">
        <f>TRIM(SUBSTITUTE(SUBSTITUTE(SUBSTITUTE(SUBSTITUTE(" " &amp; LOWER(TRIM(IF($N300&lt;&gt;"", $N300, $H300))) &amp; " ", " aomi ", " arteriopathie des membres inferieurs "), " hta ", " hypertension arterielle "), " saos ", " syndrome d'apnees obstructives du sommeil "), " rgo ", " reflux gastro-oesophagien ") )</f>
        <v>diabète de type 1 - bbn</v>
      </c>
      <c r="AD300" t="str">
        <f>TRIM(SUBSTITUTE(SUBSTITUTE(SUBSTITUTE(SUBSTITUTE(" " &amp; LOWER(TRIM($AC300)) &amp; " ", " oacr ", " occlusion de l'artere centrale de la retine "), " hsd ", " hematome sous-dural "), " fa ", " fibrillation auriculaire "), " ep ", " embolie pulmonaire ") )</f>
        <v>diabète de type 1 - bbn</v>
      </c>
      <c r="AE300" t="str" cm="1">
        <f t="array" ref="AE300">_xlfn.LET(_xlpm.base, " " &amp; LOWER(TRIM($AD300))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diabète de type 1 - bbn</v>
      </c>
      <c r="AF300" t="str" cm="1">
        <f t="array" ref="AF300">_xlfn.LET(_xlpm.base, " " &amp; LOWER(TRIM($AE300))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diabète de type 1 - bbn</v>
      </c>
    </row>
    <row r="301" spans="1:32" ht="16.5">
      <c r="A301" s="8">
        <v>2023</v>
      </c>
      <c r="B301" s="10" t="s">
        <v>133</v>
      </c>
      <c r="C301" s="8" t="s">
        <v>33</v>
      </c>
      <c r="D301" s="20">
        <v>45</v>
      </c>
      <c r="E301" s="11" t="str">
        <f>IF(D301="","",IFERROR(INDEX(SSP!$E$2:$E$266, MATCH(D301, SSP!$F$2:$F$266, 0)),""))</f>
        <v>Toux, expectoration, hémoptysie</v>
      </c>
      <c r="F301" s="11" t="str">
        <f>Feuil1!E301</f>
        <v>Toux</v>
      </c>
      <c r="G301" s="12" t="s">
        <v>137</v>
      </c>
      <c r="H301" s="13" t="s">
        <v>505</v>
      </c>
      <c r="I301" s="13"/>
      <c r="J301" s="15" t="s">
        <v>945</v>
      </c>
      <c r="K301" s="9" t="s">
        <v>33</v>
      </c>
      <c r="L301" s="9" t="s">
        <v>33</v>
      </c>
      <c r="M301" s="9" t="s">
        <v>33</v>
      </c>
      <c r="N301" t="s">
        <v>505</v>
      </c>
      <c r="O301" t="str">
        <f>IFERROR(_xlfn.XLOOKUP($D301, SSP!$F:$F, SSP!$E:$E, "Inconnu"), "")</f>
        <v>Toux, expectoration, hémoptysie</v>
      </c>
      <c r="P301" t="str">
        <f>IF(OR(E301="", O301=""), "", IF(LOWER(E301)=LOWER(O301), "OK", "⚠️ Libellé ≠ n°"))</f>
        <v>OK</v>
      </c>
      <c r="Q301" t="str">
        <f>IF(Feuil1!$E301="", "", IF(LOWER(Feuil1!$E301)=LOWER(E301), "Identique", "Différent"))</f>
        <v>Différent</v>
      </c>
      <c r="R301" t="str">
        <f>IF(OR(P301="⚠️ Libellé ≠ n°", O301="Inconnu"), "⚠️", IF(Q301="Différent", "ℹ️", ""))</f>
        <v>ℹ️</v>
      </c>
      <c r="S301" t="str" cm="1">
        <f t="array" ref="S301">_xlfn.LET(_xlpm.genCat,IFERROR(LOWER(TRIM(G301)),""),_xlpm.principal,IFERROR(LOWER(TRIM(H301)),""),_xlpm.orig,IFERROR(LOWER(TRIM(N301)),""),IF(OR(_xlpm.genCat="",_xlpm.principal=""),"",IF(LEFT(LOWER(G301),5)="autre","OK (Autre)",IF(OR(ISNUMBER(SEARCH(_xlpm.genCat,_xlpm.principal)),ISNUMBER(SEARCH(_xlpm.principal,_xlpm.genCat)),AND(_xlpm.orig&lt;&gt;"",OR(ISNUMBER(SEARCH(_xlpm.genCat,_xlpm.orig)),ISNUMBER(SEARCH(_xlpm.orig,_xlpm.genCat))))),"OK","⚠️ À vérifier"))))</f>
        <v>OK (Autre)</v>
      </c>
      <c r="T301" t="str">
        <f>IF(S301="","",IF(S301="OK (Autre)","Diagnostic générique = 'Autre – …'",IF(S301="OK","Concordance générique/principal","Écart entre générique et principal")))</f>
        <v>Diagnostic générique = 'Autre – …'</v>
      </c>
      <c r="U301" t="str" cm="1">
        <f t="array" ref="U301">_xlfn.LET(_xlpm.yr, A301, _xlpm.diag, IF(N301&lt;&gt;"", N301, H301), _xlpm.base, TRIM(SUBSTITUTE(SUBSTITUTE(SUBSTITUTE(SUBSTITUTE(_xlpm.diag,"•"," "),CHAR(160)," "),CHAR(10)," "),"  "," ")), LOWER(_xlpm.yr&amp;"|"&amp;_xlpm.base))</f>
        <v>2023|faux-croup</v>
      </c>
      <c r="V301" t="str">
        <f>IFERROR(_xlfn.XLOOKUP($AB301,'Cas 2013-2017'!$K:$K,'Cas 2013-2017'!$D:$D,""),"")</f>
        <v/>
      </c>
      <c r="W301" t="str">
        <f>IFERROR(_xlfn.XLOOKUP($AB301,'Cas 2013-2017'!$K:$K,'Cas 2013-2017'!$E:$E,""),"")</f>
        <v/>
      </c>
      <c r="X301" t="str">
        <f>IFERROR(_xlfn.XLOOKUP($AB301,'Cas 2013-2017'!$K:$K,'Cas 2013-2017'!$F:$F,""),"")</f>
        <v/>
      </c>
      <c r="Y301" t="str">
        <f>IFERROR(_xlfn.XLOOKUP($AB301,'Cas 2013-2017'!$K:$K,'Cas 2013-2017'!$G:$G,""),"")</f>
        <v/>
      </c>
      <c r="Z301" t="str">
        <f>IFERROR(_xlfn.XLOOKUP($AB301,'Cas 2013-2017'!$K:$K,'Cas 2013-2017'!$I:$I,""),"")</f>
        <v/>
      </c>
      <c r="AA301" t="str">
        <f>IFERROR(_xlfn.XLOOKUP($AB301,'Cas 2013-2017'!$K:$K,'Cas 2013-2017'!$H:$H,""),"")</f>
        <v/>
      </c>
      <c r="AB301" t="str">
        <f>LOWER($A301 &amp; "|" &amp; $AF301)</f>
        <v>2023|faux-croup</v>
      </c>
      <c r="AC301" t="str">
        <f>TRIM(SUBSTITUTE(SUBSTITUTE(SUBSTITUTE(SUBSTITUTE(" " &amp; LOWER(TRIM(IF($N301&lt;&gt;"", $N301, $H301))) &amp; " ", " aomi ", " arteriopathie des membres inferieurs "), " hta ", " hypertension arterielle "), " saos ", " syndrome d'apnees obstructives du sommeil "), " rgo ", " reflux gastro-oesophagien ") )</f>
        <v>faux-croup</v>
      </c>
      <c r="AD301" t="str">
        <f>TRIM(SUBSTITUTE(SUBSTITUTE(SUBSTITUTE(SUBSTITUTE(" " &amp; LOWER(TRIM($AC301)) &amp; " ", " oacr ", " occlusion de l'artere centrale de la retine "), " hsd ", " hematome sous-dural "), " fa ", " fibrillation auriculaire "), " ep ", " embolie pulmonaire ") )</f>
        <v>faux-croup</v>
      </c>
      <c r="AE301" t="str" cm="1">
        <f t="array" ref="AE301">_xlfn.LET(_xlpm.base, " " &amp; LOWER(TRIM($AD301))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faux-croup</v>
      </c>
      <c r="AF301" t="str" cm="1">
        <f t="array" ref="AF301">_xlfn.LET(_xlpm.base, " " &amp; LOWER(TRIM($AE301))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faux-croup</v>
      </c>
    </row>
    <row r="302" spans="1:32" ht="33.75">
      <c r="A302" s="8">
        <v>2023</v>
      </c>
      <c r="B302" s="10" t="s">
        <v>141</v>
      </c>
      <c r="C302" s="8" t="s">
        <v>33</v>
      </c>
      <c r="D302" s="20">
        <v>120</v>
      </c>
      <c r="E302" s="11" t="str">
        <f>IF(D302="","",IFERROR(INDEX(SSP!$E$2:$E$266, MATCH(D302, SSP!$F$2:$F$266, 0)),""))</f>
        <v>Modification du comportement</v>
      </c>
      <c r="F302" s="11" t="str">
        <f>Feuil1!E302</f>
        <v>Psychose</v>
      </c>
      <c r="G302" s="12" t="s">
        <v>639</v>
      </c>
      <c r="H302" s="13" t="s">
        <v>946</v>
      </c>
      <c r="I302" s="13"/>
      <c r="J302" s="15" t="s">
        <v>947</v>
      </c>
      <c r="K302" s="9" t="s">
        <v>33</v>
      </c>
      <c r="L302" s="9" t="s">
        <v>33</v>
      </c>
      <c r="M302" s="9" t="s">
        <v>33</v>
      </c>
      <c r="N302" t="s">
        <v>946</v>
      </c>
      <c r="O302" t="str">
        <f>IFERROR(_xlfn.XLOOKUP($D302, SSP!$F:$F, SSP!$E:$E, "Inconnu"), "")</f>
        <v>Modification du comportement</v>
      </c>
      <c r="P302" t="str">
        <f>IF(OR(E302="", O302=""), "", IF(LOWER(E302)=LOWER(O302), "OK", "⚠️ Libellé ≠ n°"))</f>
        <v>OK</v>
      </c>
      <c r="Q302" t="str">
        <f>IF(Feuil1!$E302="", "", IF(LOWER(Feuil1!$E302)=LOWER(E302), "Identique", "Différent"))</f>
        <v>Différent</v>
      </c>
      <c r="R302" t="str">
        <f>IF(OR(P302="⚠️ Libellé ≠ n°", O302="Inconnu"), "⚠️", IF(Q302="Différent", "ℹ️", ""))</f>
        <v>ℹ️</v>
      </c>
      <c r="S302" t="str" cm="1">
        <f t="array" ref="S302">_xlfn.LET(_xlpm.genCat,IFERROR(LOWER(TRIM(G302)),""),_xlpm.principal,IFERROR(LOWER(TRIM(H302)),""),_xlpm.orig,IFERROR(LOWER(TRIM(N302)),""),IF(OR(_xlpm.genCat="",_xlpm.principal=""),"",IF(LEFT(LOWER(G302),5)="autre","OK (Autre)",IF(OR(ISNUMBER(SEARCH(_xlpm.genCat,_xlpm.principal)),ISNUMBER(SEARCH(_xlpm.principal,_xlpm.genCat)),AND(_xlpm.orig&lt;&gt;"",OR(ISNUMBER(SEARCH(_xlpm.genCat,_xlpm.orig)),ISNUMBER(SEARCH(_xlpm.orig,_xlpm.genCat))))),"OK","⚠️ À vérifier"))))</f>
        <v>OK</v>
      </c>
      <c r="T302" t="str">
        <f>IF(S302="","",IF(S302="OK (Autre)","Diagnostic générique = 'Autre – …'",IF(S302="OK","Concordance générique/principal","Écart entre générique et principal")))</f>
        <v>Concordance générique/principal</v>
      </c>
      <c r="U302" t="str" cm="1">
        <f t="array" ref="U302">_xlfn.LET(_xlpm.yr, A302, _xlpm.diag, IF(N302&lt;&gt;"", N302, H302), _xlpm.base, TRIM(SUBSTITUTE(SUBSTITUTE(SUBSTITUTE(SUBSTITUTE(_xlpm.diag,"•"," "),CHAR(160)," "),CHAR(10)," "),"  "," ")), LOWER(_xlpm.yr&amp;"|"&amp;_xlpm.base))</f>
        <v>2023|psychose induite par substances</v>
      </c>
      <c r="V302" t="str">
        <f>IFERROR(_xlfn.XLOOKUP($AB302,'Cas 2013-2017'!$K:$K,'Cas 2013-2017'!$D:$D,""),"")</f>
        <v/>
      </c>
      <c r="W302" t="str">
        <f>IFERROR(_xlfn.XLOOKUP($AB302,'Cas 2013-2017'!$K:$K,'Cas 2013-2017'!$E:$E,""),"")</f>
        <v/>
      </c>
      <c r="X302" t="str">
        <f>IFERROR(_xlfn.XLOOKUP($AB302,'Cas 2013-2017'!$K:$K,'Cas 2013-2017'!$F:$F,""),"")</f>
        <v/>
      </c>
      <c r="Y302" t="str">
        <f>IFERROR(_xlfn.XLOOKUP($AB302,'Cas 2013-2017'!$K:$K,'Cas 2013-2017'!$G:$G,""),"")</f>
        <v/>
      </c>
      <c r="Z302" t="str">
        <f>IFERROR(_xlfn.XLOOKUP($AB302,'Cas 2013-2017'!$K:$K,'Cas 2013-2017'!$I:$I,""),"")</f>
        <v/>
      </c>
      <c r="AA302" t="str">
        <f>IFERROR(_xlfn.XLOOKUP($AB302,'Cas 2013-2017'!$K:$K,'Cas 2013-2017'!$H:$H,""),"")</f>
        <v/>
      </c>
      <c r="AB302" t="str">
        <f>LOWER($A302 &amp; "|" &amp; $AF302)</f>
        <v>2023|psychose induite par substances</v>
      </c>
      <c r="AC302" t="str">
        <f>TRIM(SUBSTITUTE(SUBSTITUTE(SUBSTITUTE(SUBSTITUTE(" " &amp; LOWER(TRIM(IF($N302&lt;&gt;"", $N302, $H302))) &amp; " ", " aomi ", " arteriopathie des membres inferieurs "), " hta ", " hypertension arterielle "), " saos ", " syndrome d'apnees obstructives du sommeil "), " rgo ", " reflux gastro-oesophagien ") )</f>
        <v>psychose induite par substances</v>
      </c>
      <c r="AD302" t="str">
        <f>TRIM(SUBSTITUTE(SUBSTITUTE(SUBSTITUTE(SUBSTITUTE(" " &amp; LOWER(TRIM($AC302)) &amp; " ", " oacr ", " occlusion de l'artere centrale de la retine "), " hsd ", " hematome sous-dural "), " fa ", " fibrillation auriculaire "), " ep ", " embolie pulmonaire ") )</f>
        <v>psychose induite par substances</v>
      </c>
      <c r="AE302" t="str" cm="1">
        <f t="array" ref="AE302">_xlfn.LET(_xlpm.base, " " &amp; LOWER(TRIM($AD302))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psychose induite par substances</v>
      </c>
      <c r="AF302" t="str" cm="1">
        <f t="array" ref="AF302">_xlfn.LET(_xlpm.base, " " &amp; LOWER(TRIM($AE302))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psychose induite par substances</v>
      </c>
    </row>
    <row r="303" spans="1:32" ht="33.75">
      <c r="A303" s="8">
        <v>2023</v>
      </c>
      <c r="B303" s="10" t="s">
        <v>141</v>
      </c>
      <c r="C303" s="8" t="s">
        <v>33</v>
      </c>
      <c r="D303" s="20">
        <v>11</v>
      </c>
      <c r="E303" s="11" t="str">
        <f>IF(D303="","",IFERROR(INDEX(SSP!$E$2:$E$266, MATCH(D303, SSP!$F$2:$F$266, 0)),""))</f>
        <v>Troubles du sommeil (insomnie, hypersomnie, parasomnies)</v>
      </c>
      <c r="F303" s="11" t="str">
        <f>Feuil1!E303</f>
        <v>Trouble du sommeil</v>
      </c>
      <c r="G303" s="12" t="s">
        <v>948</v>
      </c>
      <c r="H303" s="13" t="s">
        <v>948</v>
      </c>
      <c r="I303" s="13"/>
      <c r="J303" s="15" t="s">
        <v>949</v>
      </c>
      <c r="K303" s="9" t="s">
        <v>33</v>
      </c>
      <c r="L303" s="9" t="s">
        <v>33</v>
      </c>
      <c r="M303" s="9" t="s">
        <v>33</v>
      </c>
      <c r="N303" t="s">
        <v>948</v>
      </c>
      <c r="O303" t="str">
        <f>IFERROR(_xlfn.XLOOKUP($D303, SSP!$F:$F, SSP!$E:$E, "Inconnu"), "")</f>
        <v>Troubles du sommeil (insomnie, hypersomnie, parasomnies)</v>
      </c>
      <c r="P303" t="str">
        <f>IF(OR(E303="", O303=""), "", IF(LOWER(E303)=LOWER(O303), "OK", "⚠️ Libellé ≠ n°"))</f>
        <v>OK</v>
      </c>
      <c r="Q303" t="str">
        <f>IF(Feuil1!$E303="", "", IF(LOWER(Feuil1!$E303)=LOWER(E303), "Identique", "Différent"))</f>
        <v>Différent</v>
      </c>
      <c r="R303" t="str">
        <f>IF(OR(P303="⚠️ Libellé ≠ n°", O303="Inconnu"), "⚠️", IF(Q303="Différent", "ℹ️", ""))</f>
        <v>ℹ️</v>
      </c>
      <c r="S303" t="str" cm="1">
        <f t="array" ref="S303">_xlfn.LET(_xlpm.genCat,IFERROR(LOWER(TRIM(G303)),""),_xlpm.principal,IFERROR(LOWER(TRIM(H303)),""),_xlpm.orig,IFERROR(LOWER(TRIM(N303)),""),IF(OR(_xlpm.genCat="",_xlpm.principal=""),"",IF(LEFT(LOWER(G303),5)="autre","OK (Autre)",IF(OR(ISNUMBER(SEARCH(_xlpm.genCat,_xlpm.principal)),ISNUMBER(SEARCH(_xlpm.principal,_xlpm.genCat)),AND(_xlpm.orig&lt;&gt;"",OR(ISNUMBER(SEARCH(_xlpm.genCat,_xlpm.orig)),ISNUMBER(SEARCH(_xlpm.orig,_xlpm.genCat))))),"OK","⚠️ À vérifier"))))</f>
        <v>OK</v>
      </c>
      <c r="T303" t="str">
        <f>IF(S303="","",IF(S303="OK (Autre)","Diagnostic générique = 'Autre – …'",IF(S303="OK","Concordance générique/principal","Écart entre générique et principal")))</f>
        <v>Concordance générique/principal</v>
      </c>
      <c r="U303" t="str" cm="1">
        <f t="array" ref="U303">_xlfn.LET(_xlpm.yr, A303, _xlpm.diag, IF(N303&lt;&gt;"", N303, H303), _xlpm.base, TRIM(SUBSTITUTE(SUBSTITUTE(SUBSTITUTE(SUBSTITUTE(_xlpm.diag,"•"," "),CHAR(160)," "),CHAR(10)," "),"  "," ")), LOWER(_xlpm.yr&amp;"|"&amp;_xlpm.base))</f>
        <v>2023|trouble de l'adaptation</v>
      </c>
      <c r="V303" t="str">
        <f>IFERROR(_xlfn.XLOOKUP($AB303,'Cas 2013-2017'!$K:$K,'Cas 2013-2017'!$D:$D,""),"")</f>
        <v/>
      </c>
      <c r="W303" t="str">
        <f>IFERROR(_xlfn.XLOOKUP($AB303,'Cas 2013-2017'!$K:$K,'Cas 2013-2017'!$E:$E,""),"")</f>
        <v/>
      </c>
      <c r="X303" t="str">
        <f>IFERROR(_xlfn.XLOOKUP($AB303,'Cas 2013-2017'!$K:$K,'Cas 2013-2017'!$F:$F,""),"")</f>
        <v/>
      </c>
      <c r="Y303" t="str">
        <f>IFERROR(_xlfn.XLOOKUP($AB303,'Cas 2013-2017'!$K:$K,'Cas 2013-2017'!$G:$G,""),"")</f>
        <v/>
      </c>
      <c r="Z303" t="str">
        <f>IFERROR(_xlfn.XLOOKUP($AB303,'Cas 2013-2017'!$K:$K,'Cas 2013-2017'!$I:$I,""),"")</f>
        <v/>
      </c>
      <c r="AA303" t="str">
        <f>IFERROR(_xlfn.XLOOKUP($AB303,'Cas 2013-2017'!$K:$K,'Cas 2013-2017'!$H:$H,""),"")</f>
        <v/>
      </c>
      <c r="AB303" t="str">
        <f>LOWER($A303 &amp; "|" &amp; $AF303)</f>
        <v>2023|trouble de l'adaptation</v>
      </c>
      <c r="AC303" t="str">
        <f>TRIM(SUBSTITUTE(SUBSTITUTE(SUBSTITUTE(SUBSTITUTE(" " &amp; LOWER(TRIM(IF($N303&lt;&gt;"", $N303, $H303))) &amp; " ", " aomi ", " arteriopathie des membres inferieurs "), " hta ", " hypertension arterielle "), " saos ", " syndrome d'apnees obstructives du sommeil "), " rgo ", " reflux gastro-oesophagien ") )</f>
        <v>trouble de l'adaptation</v>
      </c>
      <c r="AD303" t="str">
        <f>TRIM(SUBSTITUTE(SUBSTITUTE(SUBSTITUTE(SUBSTITUTE(" " &amp; LOWER(TRIM($AC303)) &amp; " ", " oacr ", " occlusion de l'artere centrale de la retine "), " hsd ", " hematome sous-dural "), " fa ", " fibrillation auriculaire "), " ep ", " embolie pulmonaire ") )</f>
        <v>trouble de l'adaptation</v>
      </c>
      <c r="AE303" t="str" cm="1">
        <f t="array" ref="AE303">_xlfn.LET(_xlpm.base, " " &amp; LOWER(TRIM($AD303))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de l'adaptation</v>
      </c>
      <c r="AF303" t="str" cm="1">
        <f t="array" ref="AF303">_xlfn.LET(_xlpm.base, " " &amp; LOWER(TRIM($AE303))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de l'adaptation</v>
      </c>
    </row>
    <row r="304" spans="1:32" ht="134.25">
      <c r="A304" s="8">
        <v>2023</v>
      </c>
      <c r="B304" s="10" t="s">
        <v>100</v>
      </c>
      <c r="C304" s="8" t="s">
        <v>33</v>
      </c>
      <c r="D304" s="20">
        <v>11</v>
      </c>
      <c r="E304" s="11" t="str">
        <f>IF(D304="","",IFERROR(INDEX(SSP!$E$2:$E$266, MATCH(D304, SSP!$F$2:$F$266, 0)),""))</f>
        <v>Troubles du sommeil (insomnie, hypersomnie, parasomnies)</v>
      </c>
      <c r="F304" s="11" t="str">
        <f>Feuil1!E304</f>
        <v>Trouble du sommeil</v>
      </c>
      <c r="G304" s="12" t="s">
        <v>392</v>
      </c>
      <c r="H304" s="13" t="s">
        <v>392</v>
      </c>
      <c r="I304" s="13"/>
      <c r="J304" s="15" t="s">
        <v>950</v>
      </c>
      <c r="K304" s="9" t="s">
        <v>951</v>
      </c>
      <c r="L304" s="9" t="s">
        <v>33</v>
      </c>
      <c r="M304" s="9" t="s">
        <v>33</v>
      </c>
      <c r="N304" t="s">
        <v>392</v>
      </c>
      <c r="O304" t="str">
        <f>IFERROR(_xlfn.XLOOKUP($D304, SSP!$F:$F, SSP!$E:$E, "Inconnu"), "")</f>
        <v>Troubles du sommeil (insomnie, hypersomnie, parasomnies)</v>
      </c>
      <c r="P304" t="str">
        <f>IF(OR(E304="", O304=""), "", IF(LOWER(E304)=LOWER(O304), "OK", "⚠️ Libellé ≠ n°"))</f>
        <v>OK</v>
      </c>
      <c r="Q304" t="str">
        <f>IF(Feuil1!$E304="", "", IF(LOWER(Feuil1!$E304)=LOWER(E304), "Identique", "Différent"))</f>
        <v>Différent</v>
      </c>
      <c r="R304" t="str">
        <f>IF(OR(P304="⚠️ Libellé ≠ n°", O304="Inconnu"), "⚠️", IF(Q304="Différent", "ℹ️", ""))</f>
        <v>ℹ️</v>
      </c>
      <c r="S304" t="str" cm="1">
        <f t="array" ref="S304">_xlfn.LET(_xlpm.genCat,IFERROR(LOWER(TRIM(G304)),""),_xlpm.principal,IFERROR(LOWER(TRIM(H304)),""),_xlpm.orig,IFERROR(LOWER(TRIM(N304)),""),IF(OR(_xlpm.genCat="",_xlpm.principal=""),"",IF(LEFT(LOWER(G304),5)="autre","OK (Autre)",IF(OR(ISNUMBER(SEARCH(_xlpm.genCat,_xlpm.principal)),ISNUMBER(SEARCH(_xlpm.principal,_xlpm.genCat)),AND(_xlpm.orig&lt;&gt;"",OR(ISNUMBER(SEARCH(_xlpm.genCat,_xlpm.orig)),ISNUMBER(SEARCH(_xlpm.orig,_xlpm.genCat))))),"OK","⚠️ À vérifier"))))</f>
        <v>OK</v>
      </c>
      <c r="T304" t="str">
        <f>IF(S304="","",IF(S304="OK (Autre)","Diagnostic générique = 'Autre – …'",IF(S304="OK","Concordance générique/principal","Écart entre générique et principal")))</f>
        <v>Concordance générique/principal</v>
      </c>
      <c r="U304" t="str" cm="1">
        <f t="array" ref="U304">_xlfn.LET(_xlpm.yr, A304, _xlpm.diag, IF(N304&lt;&gt;"", N304, H304), _xlpm.base, TRIM(SUBSTITUTE(SUBSTITUTE(SUBSTITUTE(SUBSTITUTE(_xlpm.diag,"•"," "),CHAR(160)," "),CHAR(10)," "),"  "," ")), LOWER(_xlpm.yr&amp;"|"&amp;_xlpm.base))</f>
        <v>2023|trouble du sommeil</v>
      </c>
      <c r="V304" t="str">
        <f>IFERROR(_xlfn.XLOOKUP($AB304,'Cas 2013-2017'!$K:$K,'Cas 2013-2017'!$D:$D,""),"")</f>
        <v/>
      </c>
      <c r="W304" t="str">
        <f>IFERROR(_xlfn.XLOOKUP($AB304,'Cas 2013-2017'!$K:$K,'Cas 2013-2017'!$E:$E,""),"")</f>
        <v/>
      </c>
      <c r="X304" t="str">
        <f>IFERROR(_xlfn.XLOOKUP($AB304,'Cas 2013-2017'!$K:$K,'Cas 2013-2017'!$F:$F,""),"")</f>
        <v/>
      </c>
      <c r="Y304" t="str">
        <f>IFERROR(_xlfn.XLOOKUP($AB304,'Cas 2013-2017'!$K:$K,'Cas 2013-2017'!$G:$G,""),"")</f>
        <v/>
      </c>
      <c r="Z304" t="str">
        <f>IFERROR(_xlfn.XLOOKUP($AB304,'Cas 2013-2017'!$K:$K,'Cas 2013-2017'!$I:$I,""),"")</f>
        <v/>
      </c>
      <c r="AA304" t="str">
        <f>IFERROR(_xlfn.XLOOKUP($AB304,'Cas 2013-2017'!$K:$K,'Cas 2013-2017'!$H:$H,""),"")</f>
        <v/>
      </c>
      <c r="AB304" t="str">
        <f>LOWER($A304 &amp; "|" &amp; $AF304)</f>
        <v>2023|trouble du sommeil</v>
      </c>
      <c r="AC304" t="str">
        <f>TRIM(SUBSTITUTE(SUBSTITUTE(SUBSTITUTE(SUBSTITUTE(" " &amp; LOWER(TRIM(IF($N304&lt;&gt;"", $N304, $H304))) &amp; " ", " aomi ", " arteriopathie des membres inferieurs "), " hta ", " hypertension arterielle "), " saos ", " syndrome d'apnees obstructives du sommeil "), " rgo ", " reflux gastro-oesophagien ") )</f>
        <v>trouble du sommeil</v>
      </c>
      <c r="AD304" t="str">
        <f>TRIM(SUBSTITUTE(SUBSTITUTE(SUBSTITUTE(SUBSTITUTE(" " &amp; LOWER(TRIM($AC304)) &amp; " ", " oacr ", " occlusion de l'artere centrale de la retine "), " hsd ", " hematome sous-dural "), " fa ", " fibrillation auriculaire "), " ep ", " embolie pulmonaire ") )</f>
        <v>trouble du sommeil</v>
      </c>
      <c r="AE304" t="str" cm="1">
        <f t="array" ref="AE304">_xlfn.LET(_xlpm.base, " " &amp; LOWER(TRIM($AD304))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du sommeil</v>
      </c>
      <c r="AF304" t="str" cm="1">
        <f t="array" ref="AF304">_xlfn.LET(_xlpm.base, " " &amp; LOWER(TRIM($AE304))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du sommeil</v>
      </c>
    </row>
    <row r="305" spans="1:32" ht="33.75">
      <c r="A305" s="8">
        <v>2023</v>
      </c>
      <c r="B305" s="10" t="s">
        <v>100</v>
      </c>
      <c r="C305" s="8" t="s">
        <v>33</v>
      </c>
      <c r="D305" s="20">
        <v>102</v>
      </c>
      <c r="E305" s="11" t="str">
        <f>IF(D305="","",IFERROR(INDEX(SSP!$E$2:$E$266, MATCH(D305, SSP!$F$2:$F$266, 0)),""))</f>
        <v>Troubles de la mémoire, altération cognitive</v>
      </c>
      <c r="F305" s="11" t="str">
        <f>Feuil1!E305</f>
        <v>Trouble de la mémoire</v>
      </c>
      <c r="G305" s="12" t="s">
        <v>295</v>
      </c>
      <c r="H305" s="13" t="s">
        <v>952</v>
      </c>
      <c r="I305" s="13"/>
      <c r="J305" s="15" t="s">
        <v>953</v>
      </c>
      <c r="K305" s="9" t="s">
        <v>954</v>
      </c>
      <c r="L305" s="9" t="s">
        <v>33</v>
      </c>
      <c r="M305" s="9" t="s">
        <v>33</v>
      </c>
      <c r="N305" t="s">
        <v>952</v>
      </c>
      <c r="O305" t="str">
        <f>IFERROR(_xlfn.XLOOKUP($D305, SSP!$F:$F, SSP!$E:$E, "Inconnu"), "")</f>
        <v>Troubles de la mémoire, altération cognitive</v>
      </c>
      <c r="P305" t="str">
        <f>IF(OR(E305="", O305=""), "", IF(LOWER(E305)=LOWER(O305), "OK", "⚠️ Libellé ≠ n°"))</f>
        <v>OK</v>
      </c>
      <c r="Q305" t="str">
        <f>IF(Feuil1!$E305="", "", IF(LOWER(Feuil1!$E305)=LOWER(E305), "Identique", "Différent"))</f>
        <v>Différent</v>
      </c>
      <c r="R305" t="str">
        <f>IF(OR(P305="⚠️ Libellé ≠ n°", O305="Inconnu"), "⚠️", IF(Q305="Différent", "ℹ️", ""))</f>
        <v>ℹ️</v>
      </c>
      <c r="S305" t="str" cm="1">
        <f t="array" ref="S305">_xlfn.LET(_xlpm.genCat,IFERROR(LOWER(TRIM(G305)),""),_xlpm.principal,IFERROR(LOWER(TRIM(H305)),""),_xlpm.orig,IFERROR(LOWER(TRIM(N305)),""),IF(OR(_xlpm.genCat="",_xlpm.principal=""),"",IF(LEFT(LOWER(G305),5)="autre","OK (Autre)",IF(OR(ISNUMBER(SEARCH(_xlpm.genCat,_xlpm.principal)),ISNUMBER(SEARCH(_xlpm.principal,_xlpm.genCat)),AND(_xlpm.orig&lt;&gt;"",OR(ISNUMBER(SEARCH(_xlpm.genCat,_xlpm.orig)),ISNUMBER(SEARCH(_xlpm.orig,_xlpm.genCat))))),"OK","⚠️ À vérifier"))))</f>
        <v>⚠️ À vérifier</v>
      </c>
      <c r="T305" t="str">
        <f>IF(S305="","",IF(S305="OK (Autre)","Diagnostic générique = 'Autre – …'",IF(S305="OK","Concordance générique/principal","Écart entre générique et principal")))</f>
        <v>Écart entre générique et principal</v>
      </c>
      <c r="U305" t="str" cm="1">
        <f t="array" ref="U305">_xlfn.LET(_xlpm.yr, A305, _xlpm.diag, IF(N305&lt;&gt;"", N305, H305), _xlpm.base, TRIM(SUBSTITUTE(SUBSTITUTE(SUBSTITUTE(SUBSTITUTE(_xlpm.diag,"•"," "),CHAR(160)," "),CHAR(10)," "),"  "," ")), LOWER(_xlpm.yr&amp;"|"&amp;_xlpm.base))</f>
        <v>2023|trouble de la mémoire</v>
      </c>
      <c r="V305" t="str">
        <f>IFERROR(_xlfn.XLOOKUP($AB305,'Cas 2013-2017'!$K:$K,'Cas 2013-2017'!$D:$D,""),"")</f>
        <v/>
      </c>
      <c r="W305" t="str">
        <f>IFERROR(_xlfn.XLOOKUP($AB305,'Cas 2013-2017'!$K:$K,'Cas 2013-2017'!$E:$E,""),"")</f>
        <v/>
      </c>
      <c r="X305" t="str">
        <f>IFERROR(_xlfn.XLOOKUP($AB305,'Cas 2013-2017'!$K:$K,'Cas 2013-2017'!$F:$F,""),"")</f>
        <v/>
      </c>
      <c r="Y305" t="str">
        <f>IFERROR(_xlfn.XLOOKUP($AB305,'Cas 2013-2017'!$K:$K,'Cas 2013-2017'!$G:$G,""),"")</f>
        <v/>
      </c>
      <c r="Z305" t="str">
        <f>IFERROR(_xlfn.XLOOKUP($AB305,'Cas 2013-2017'!$K:$K,'Cas 2013-2017'!$I:$I,""),"")</f>
        <v/>
      </c>
      <c r="AA305" t="str">
        <f>IFERROR(_xlfn.XLOOKUP($AB305,'Cas 2013-2017'!$K:$K,'Cas 2013-2017'!$H:$H,""),"")</f>
        <v/>
      </c>
      <c r="AB305" t="str">
        <f>LOWER($A305 &amp; "|" &amp; $AF305)</f>
        <v>2023|trouble de la mémoire</v>
      </c>
      <c r="AC305" t="str">
        <f>TRIM(SUBSTITUTE(SUBSTITUTE(SUBSTITUTE(SUBSTITUTE(" " &amp; LOWER(TRIM(IF($N305&lt;&gt;"", $N305, $H305))) &amp; " ", " aomi ", " arteriopathie des membres inferieurs "), " hta ", " hypertension arterielle "), " saos ", " syndrome d'apnees obstructives du sommeil "), " rgo ", " reflux gastro-oesophagien ") )</f>
        <v>trouble de la mémoire</v>
      </c>
      <c r="AD305" t="str">
        <f>TRIM(SUBSTITUTE(SUBSTITUTE(SUBSTITUTE(SUBSTITUTE(" " &amp; LOWER(TRIM($AC305)) &amp; " ", " oacr ", " occlusion de l'artere centrale de la retine "), " hsd ", " hematome sous-dural "), " fa ", " fibrillation auriculaire "), " ep ", " embolie pulmonaire ") )</f>
        <v>trouble de la mémoire</v>
      </c>
      <c r="AE305" t="str" cm="1">
        <f t="array" ref="AE305">_xlfn.LET(_xlpm.base, " " &amp; LOWER(TRIM($AD305))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de la mémoire</v>
      </c>
      <c r="AF305" t="str" cm="1">
        <f t="array" ref="AF305">_xlfn.LET(_xlpm.base, " " &amp; LOWER(TRIM($AE305))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de la mémoire</v>
      </c>
    </row>
    <row r="306" spans="1:32" ht="16.5">
      <c r="A306" s="8">
        <v>2023</v>
      </c>
      <c r="B306" s="10" t="s">
        <v>141</v>
      </c>
      <c r="C306" s="8" t="s">
        <v>33</v>
      </c>
      <c r="D306" s="20">
        <v>119</v>
      </c>
      <c r="E306" s="11" t="str">
        <f>IF(D306="","",IFERROR(INDEX(SSP!$E$2:$E$266, MATCH(D306, SSP!$F$2:$F$266, 0)),""))</f>
        <v>Trouble du déficit de l’attention</v>
      </c>
      <c r="F306" s="11" t="str">
        <f>Feuil1!E306</f>
        <v> </v>
      </c>
      <c r="G306" s="12" t="s">
        <v>643</v>
      </c>
      <c r="H306" s="13" t="s">
        <v>643</v>
      </c>
      <c r="I306" s="13"/>
      <c r="J306" s="15" t="s">
        <v>955</v>
      </c>
      <c r="K306" s="9" t="s">
        <v>956</v>
      </c>
      <c r="L306" s="9" t="s">
        <v>33</v>
      </c>
      <c r="M306" s="9" t="s">
        <v>33</v>
      </c>
      <c r="N306" t="s">
        <v>643</v>
      </c>
      <c r="O306" t="str">
        <f>IFERROR(_xlfn.XLOOKUP($D306, SSP!$F:$F, SSP!$E:$E, "Inconnu"), "")</f>
        <v>Trouble du déficit de l’attention</v>
      </c>
      <c r="P306" t="str">
        <f>IF(OR(E306="", O306=""), "", IF(LOWER(E306)=LOWER(O306), "OK", "⚠️ Libellé ≠ n°"))</f>
        <v>OK</v>
      </c>
      <c r="Q306" t="str">
        <f>IF(Feuil1!$E306="", "", IF(LOWER(Feuil1!$E306)=LOWER(E306), "Identique", "Différent"))</f>
        <v>Différent</v>
      </c>
      <c r="R306" t="str">
        <f>IF(OR(P306="⚠️ Libellé ≠ n°", O306="Inconnu"), "⚠️", IF(Q306="Différent", "ℹ️", ""))</f>
        <v>ℹ️</v>
      </c>
      <c r="S306" t="str" cm="1">
        <f t="array" ref="S306">_xlfn.LET(_xlpm.genCat,IFERROR(LOWER(TRIM(G306)),""),_xlpm.principal,IFERROR(LOWER(TRIM(H306)),""),_xlpm.orig,IFERROR(LOWER(TRIM(N306)),""),IF(OR(_xlpm.genCat="",_xlpm.principal=""),"",IF(LEFT(LOWER(G306),5)="autre","OK (Autre)",IF(OR(ISNUMBER(SEARCH(_xlpm.genCat,_xlpm.principal)),ISNUMBER(SEARCH(_xlpm.principal,_xlpm.genCat)),AND(_xlpm.orig&lt;&gt;"",OR(ISNUMBER(SEARCH(_xlpm.genCat,_xlpm.orig)),ISNUMBER(SEARCH(_xlpm.orig,_xlpm.genCat))))),"OK","⚠️ À vérifier"))))</f>
        <v>OK</v>
      </c>
      <c r="T306" t="str">
        <f>IF(S306="","",IF(S306="OK (Autre)","Diagnostic générique = 'Autre – …'",IF(S306="OK","Concordance générique/principal","Écart entre générique et principal")))</f>
        <v>Concordance générique/principal</v>
      </c>
      <c r="U306" t="str" cm="1">
        <f t="array" ref="U306">_xlfn.LET(_xlpm.yr, A306, _xlpm.diag, IF(N306&lt;&gt;"", N306, H306), _xlpm.base, TRIM(SUBSTITUTE(SUBSTITUTE(SUBSTITUTE(SUBSTITUTE(_xlpm.diag,"•"," "),CHAR(160)," "),CHAR(10)," "),"  "," ")), LOWER(_xlpm.yr&amp;"|"&amp;_xlpm.base))</f>
        <v>2023|tdah</v>
      </c>
      <c r="V306" t="str">
        <f>IFERROR(_xlfn.XLOOKUP($AB306,'Cas 2013-2017'!$K:$K,'Cas 2013-2017'!$D:$D,""),"")</f>
        <v/>
      </c>
      <c r="W306" t="str">
        <f>IFERROR(_xlfn.XLOOKUP($AB306,'Cas 2013-2017'!$K:$K,'Cas 2013-2017'!$E:$E,""),"")</f>
        <v/>
      </c>
      <c r="X306" t="str">
        <f>IFERROR(_xlfn.XLOOKUP($AB306,'Cas 2013-2017'!$K:$K,'Cas 2013-2017'!$F:$F,""),"")</f>
        <v/>
      </c>
      <c r="Y306" t="str">
        <f>IFERROR(_xlfn.XLOOKUP($AB306,'Cas 2013-2017'!$K:$K,'Cas 2013-2017'!$G:$G,""),"")</f>
        <v/>
      </c>
      <c r="Z306" t="str">
        <f>IFERROR(_xlfn.XLOOKUP($AB306,'Cas 2013-2017'!$K:$K,'Cas 2013-2017'!$I:$I,""),"")</f>
        <v/>
      </c>
      <c r="AA306" t="str">
        <f>IFERROR(_xlfn.XLOOKUP($AB306,'Cas 2013-2017'!$K:$K,'Cas 2013-2017'!$H:$H,""),"")</f>
        <v/>
      </c>
      <c r="AB306" t="str">
        <f>LOWER($A306 &amp; "|" &amp; $AF306)</f>
        <v>2023|tdah</v>
      </c>
      <c r="AC306" t="str">
        <f>TRIM(SUBSTITUTE(SUBSTITUTE(SUBSTITUTE(SUBSTITUTE(" " &amp; LOWER(TRIM(IF($N306&lt;&gt;"", $N306, $H306))) &amp; " ", " aomi ", " arteriopathie des membres inferieurs "), " hta ", " hypertension arterielle "), " saos ", " syndrome d'apnees obstructives du sommeil "), " rgo ", " reflux gastro-oesophagien ") )</f>
        <v>tdah</v>
      </c>
      <c r="AD306" t="str">
        <f>TRIM(SUBSTITUTE(SUBSTITUTE(SUBSTITUTE(SUBSTITUTE(" " &amp; LOWER(TRIM($AC306)) &amp; " ", " oacr ", " occlusion de l'artere centrale de la retine "), " hsd ", " hematome sous-dural "), " fa ", " fibrillation auriculaire "), " ep ", " embolie pulmonaire ") )</f>
        <v>tdah</v>
      </c>
      <c r="AE306" t="str" cm="1">
        <f t="array" ref="AE306">_xlfn.LET(_xlpm.base, " " &amp; LOWER(TRIM($AD306))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tdah</v>
      </c>
      <c r="AF306" t="str" cm="1">
        <f t="array" ref="AF306">_xlfn.LET(_xlpm.base, " " &amp; LOWER(TRIM($AE306))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tdah</v>
      </c>
    </row>
    <row r="307" spans="1:32" ht="33.75">
      <c r="A307" s="8">
        <v>2023</v>
      </c>
      <c r="B307" s="10" t="s">
        <v>221</v>
      </c>
      <c r="C307" s="8" t="s">
        <v>33</v>
      </c>
      <c r="D307" s="20"/>
      <c r="E307" s="11" t="str">
        <f>IF(D307="","",IFERROR(INDEX(SSP!$E$2:$E$266, MATCH(D307, SSP!$F$2:$F$266, 0)),""))</f>
        <v/>
      </c>
      <c r="F307" s="11" t="str">
        <f>Feuil1!E307</f>
        <v> </v>
      </c>
      <c r="G307" s="12" t="s">
        <v>226</v>
      </c>
      <c r="H307" s="13" t="s">
        <v>957</v>
      </c>
      <c r="I307" s="13"/>
      <c r="J307" s="15" t="s">
        <v>33</v>
      </c>
      <c r="K307" s="9" t="s">
        <v>33</v>
      </c>
      <c r="L307" s="9" t="s">
        <v>33</v>
      </c>
      <c r="M307" s="9" t="s">
        <v>33</v>
      </c>
      <c r="N307" t="s">
        <v>957</v>
      </c>
      <c r="O307">
        <f>IFERROR(_xlfn.XLOOKUP($D307, SSP!$F:$F, SSP!$E:$E, "Inconnu"), "")</f>
        <v>0</v>
      </c>
      <c r="P307" t="str">
        <f>IF(OR(E307="", O307=""), "", IF(LOWER(E307)=LOWER(O307), "OK", "⚠️ Libellé ≠ n°"))</f>
        <v/>
      </c>
      <c r="Q307" t="str">
        <f>IF(Feuil1!$E307="", "", IF(LOWER(Feuil1!$E307)=LOWER(E307), "Identique", "Différent"))</f>
        <v>Différent</v>
      </c>
      <c r="R307" t="str">
        <f>IF(OR(P307="⚠️ Libellé ≠ n°", O307="Inconnu"), "⚠️", IF(Q307="Différent", "ℹ️", ""))</f>
        <v>ℹ️</v>
      </c>
      <c r="S307" t="str" cm="1">
        <f t="array" ref="S307">_xlfn.LET(_xlpm.genCat,IFERROR(LOWER(TRIM(G307)),""),_xlpm.principal,IFERROR(LOWER(TRIM(H307)),""),_xlpm.orig,IFERROR(LOWER(TRIM(N307)),""),IF(OR(_xlpm.genCat="",_xlpm.principal=""),"",IF(LEFT(LOWER(G307),5)="autre","OK (Autre)",IF(OR(ISNUMBER(SEARCH(_xlpm.genCat,_xlpm.principal)),ISNUMBER(SEARCH(_xlpm.principal,_xlpm.genCat)),AND(_xlpm.orig&lt;&gt;"",OR(ISNUMBER(SEARCH(_xlpm.genCat,_xlpm.orig)),ISNUMBER(SEARCH(_xlpm.orig,_xlpm.genCat))))),"OK","⚠️ À vérifier"))))</f>
        <v>OK (Autre)</v>
      </c>
      <c r="T307" t="str">
        <f>IF(S307="","",IF(S307="OK (Autre)","Diagnostic générique = 'Autre – …'",IF(S307="OK","Concordance générique/principal","Écart entre générique et principal")))</f>
        <v>Diagnostic générique = 'Autre – …'</v>
      </c>
      <c r="U307" t="str" cm="1">
        <f t="array" ref="U307">_xlfn.LET(_xlpm.yr, A307, _xlpm.diag, IF(N307&lt;&gt;"", N307, H307), _xlpm.base, TRIM(SUBSTITUTE(SUBSTITUTE(SUBSTITUTE(SUBSTITUTE(_xlpm.diag,"•"," "),CHAR(160)," "),CHAR(10)," "),"  "," ")), LOWER(_xlpm.yr&amp;"|"&amp;_xlpm.base))</f>
        <v>2023|spondylarthrite ankylosante</v>
      </c>
      <c r="V307" t="str">
        <f>IFERROR(_xlfn.XLOOKUP($AB307,'Cas 2013-2017'!$K:$K,'Cas 2013-2017'!$D:$D,""),"")</f>
        <v/>
      </c>
      <c r="W307" t="str">
        <f>IFERROR(_xlfn.XLOOKUP($AB307,'Cas 2013-2017'!$K:$K,'Cas 2013-2017'!$E:$E,""),"")</f>
        <v/>
      </c>
      <c r="X307" t="str">
        <f>IFERROR(_xlfn.XLOOKUP($AB307,'Cas 2013-2017'!$K:$K,'Cas 2013-2017'!$F:$F,""),"")</f>
        <v/>
      </c>
      <c r="Y307" t="str">
        <f>IFERROR(_xlfn.XLOOKUP($AB307,'Cas 2013-2017'!$K:$K,'Cas 2013-2017'!$G:$G,""),"")</f>
        <v/>
      </c>
      <c r="Z307" t="str">
        <f>IFERROR(_xlfn.XLOOKUP($AB307,'Cas 2013-2017'!$K:$K,'Cas 2013-2017'!$I:$I,""),"")</f>
        <v/>
      </c>
      <c r="AA307" t="str">
        <f>IFERROR(_xlfn.XLOOKUP($AB307,'Cas 2013-2017'!$K:$K,'Cas 2013-2017'!$H:$H,""),"")</f>
        <v/>
      </c>
      <c r="AB307" t="str">
        <f>LOWER($A307 &amp; "|" &amp; $AF307)</f>
        <v>2023|spondylarthrite ankylosante</v>
      </c>
      <c r="AC307" t="str">
        <f>TRIM(SUBSTITUTE(SUBSTITUTE(SUBSTITUTE(SUBSTITUTE(" " &amp; LOWER(TRIM(IF($N307&lt;&gt;"", $N307, $H307))) &amp; " ", " aomi ", " arteriopathie des membres inferieurs "), " hta ", " hypertension arterielle "), " saos ", " syndrome d'apnees obstructives du sommeil "), " rgo ", " reflux gastro-oesophagien ") )</f>
        <v>spondylarthrite ankylosante</v>
      </c>
      <c r="AD307" t="str">
        <f>TRIM(SUBSTITUTE(SUBSTITUTE(SUBSTITUTE(SUBSTITUTE(" " &amp; LOWER(TRIM($AC307)) &amp; " ", " oacr ", " occlusion de l'artere centrale de la retine "), " hsd ", " hematome sous-dural "), " fa ", " fibrillation auriculaire "), " ep ", " embolie pulmonaire ") )</f>
        <v>spondylarthrite ankylosante</v>
      </c>
      <c r="AE307" t="str" cm="1">
        <f t="array" ref="AE307">_xlfn.LET(_xlpm.base, " " &amp; LOWER(TRIM($AD307))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spondylarthrite ankylosante</v>
      </c>
      <c r="AF307" t="str" cm="1">
        <f t="array" ref="AF307">_xlfn.LET(_xlpm.base, " " &amp; LOWER(TRIM($AE307))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spondylarthrite ankylosante</v>
      </c>
    </row>
    <row r="308" spans="1:32" ht="50.25">
      <c r="A308" s="8">
        <v>2023</v>
      </c>
      <c r="B308" s="10" t="s">
        <v>91</v>
      </c>
      <c r="C308" s="8" t="s">
        <v>352</v>
      </c>
      <c r="D308" s="20">
        <v>93</v>
      </c>
      <c r="E308" s="11" t="str">
        <f>IF(D308="","",IFERROR(INDEX(SSP!$E$2:$E$266, MATCH(D308, SSP!$F$2:$F$266, 0)),""))</f>
        <v>Macules, papules, pustules, vésicules, ulcères, abcès, bulles, épaississement cutané, nécrose, tumeur cutanée</v>
      </c>
      <c r="F308" s="11" t="str">
        <f>Feuil1!E308</f>
        <v>Éruption cutanée</v>
      </c>
      <c r="G308" s="12" t="s">
        <v>160</v>
      </c>
      <c r="H308" s="13" t="s">
        <v>729</v>
      </c>
      <c r="I308" s="13"/>
      <c r="J308" s="15" t="s">
        <v>958</v>
      </c>
      <c r="K308" s="9" t="s">
        <v>33</v>
      </c>
      <c r="L308" s="9" t="s">
        <v>33</v>
      </c>
      <c r="M308" s="9" t="s">
        <v>33</v>
      </c>
      <c r="N308" t="s">
        <v>729</v>
      </c>
      <c r="O308" t="str">
        <f>IFERROR(_xlfn.XLOOKUP($D308, SSP!$F:$F, SSP!$E:$E, "Inconnu"), "")</f>
        <v>Macules, papules, pustules, vésicules, ulcères, abcès, bulles, épaississement cutané, nécrose, tumeur cutanée</v>
      </c>
      <c r="P308" t="str">
        <f>IF(OR(E308="", O308=""), "", IF(LOWER(E308)=LOWER(O308), "OK", "⚠️ Libellé ≠ n°"))</f>
        <v>OK</v>
      </c>
      <c r="Q308" t="str">
        <f>IF(Feuil1!$E308="", "", IF(LOWER(Feuil1!$E308)=LOWER(E308), "Identique", "Différent"))</f>
        <v>Différent</v>
      </c>
      <c r="R308" t="str">
        <f>IF(OR(P308="⚠️ Libellé ≠ n°", O308="Inconnu"), "⚠️", IF(Q308="Différent", "ℹ️", ""))</f>
        <v>ℹ️</v>
      </c>
      <c r="S308" t="str" cm="1">
        <f t="array" ref="S308">_xlfn.LET(_xlpm.genCat,IFERROR(LOWER(TRIM(G308)),""),_xlpm.principal,IFERROR(LOWER(TRIM(H308)),""),_xlpm.orig,IFERROR(LOWER(TRIM(N308)),""),IF(OR(_xlpm.genCat="",_xlpm.principal=""),"",IF(LEFT(LOWER(G308),5)="autre","OK (Autre)",IF(OR(ISNUMBER(SEARCH(_xlpm.genCat,_xlpm.principal)),ISNUMBER(SEARCH(_xlpm.principal,_xlpm.genCat)),AND(_xlpm.orig&lt;&gt;"",OR(ISNUMBER(SEARCH(_xlpm.genCat,_xlpm.orig)),ISNUMBER(SEARCH(_xlpm.orig,_xlpm.genCat))))),"OK","⚠️ À vérifier"))))</f>
        <v>OK (Autre)</v>
      </c>
      <c r="T308" t="str">
        <f>IF(S308="","",IF(S308="OK (Autre)","Diagnostic générique = 'Autre – …'",IF(S308="OK","Concordance générique/principal","Écart entre générique et principal")))</f>
        <v>Diagnostic générique = 'Autre – …'</v>
      </c>
      <c r="U308" t="str" cm="1">
        <f t="array" ref="U308">_xlfn.LET(_xlpm.yr, A308, _xlpm.diag, IF(N308&lt;&gt;"", N308, H308), _xlpm.base, TRIM(SUBSTITUTE(SUBSTITUTE(SUBSTITUTE(SUBSTITUTE(_xlpm.diag,"•"," "),CHAR(160)," "),CHAR(10)," "),"  "," ")), LOWER(_xlpm.yr&amp;"|"&amp;_xlpm.base))</f>
        <v>2023|choc anaphylactique</v>
      </c>
      <c r="V308" t="str">
        <f>IFERROR(_xlfn.XLOOKUP($AB308,'Cas 2013-2017'!$K:$K,'Cas 2013-2017'!$D:$D,""),"")</f>
        <v/>
      </c>
      <c r="W308" t="str">
        <f>IFERROR(_xlfn.XLOOKUP($AB308,'Cas 2013-2017'!$K:$K,'Cas 2013-2017'!$E:$E,""),"")</f>
        <v/>
      </c>
      <c r="X308" t="str">
        <f>IFERROR(_xlfn.XLOOKUP($AB308,'Cas 2013-2017'!$K:$K,'Cas 2013-2017'!$F:$F,""),"")</f>
        <v/>
      </c>
      <c r="Y308" t="str">
        <f>IFERROR(_xlfn.XLOOKUP($AB308,'Cas 2013-2017'!$K:$K,'Cas 2013-2017'!$G:$G,""),"")</f>
        <v/>
      </c>
      <c r="Z308" t="str">
        <f>IFERROR(_xlfn.XLOOKUP($AB308,'Cas 2013-2017'!$K:$K,'Cas 2013-2017'!$I:$I,""),"")</f>
        <v/>
      </c>
      <c r="AA308" t="str">
        <f>IFERROR(_xlfn.XLOOKUP($AB308,'Cas 2013-2017'!$K:$K,'Cas 2013-2017'!$H:$H,""),"")</f>
        <v/>
      </c>
      <c r="AB308" t="str">
        <f>LOWER($A308 &amp; "|" &amp; $AF308)</f>
        <v>2023|choc anaphylactique</v>
      </c>
      <c r="AC308" t="str">
        <f>TRIM(SUBSTITUTE(SUBSTITUTE(SUBSTITUTE(SUBSTITUTE(" " &amp; LOWER(TRIM(IF($N308&lt;&gt;"", $N308, $H308))) &amp; " ", " aomi ", " arteriopathie des membres inferieurs "), " hta ", " hypertension arterielle "), " saos ", " syndrome d'apnees obstructives du sommeil "), " rgo ", " reflux gastro-oesophagien ") )</f>
        <v>choc anaphylactique</v>
      </c>
      <c r="AD308" t="str">
        <f>TRIM(SUBSTITUTE(SUBSTITUTE(SUBSTITUTE(SUBSTITUTE(" " &amp; LOWER(TRIM($AC308)) &amp; " ", " oacr ", " occlusion de l'artere centrale de la retine "), " hsd ", " hematome sous-dural "), " fa ", " fibrillation auriculaire "), " ep ", " embolie pulmonaire ") )</f>
        <v>choc anaphylactique</v>
      </c>
      <c r="AE308" t="str" cm="1">
        <f t="array" ref="AE308">_xlfn.LET(_xlpm.base, " " &amp; LOWER(TRIM($AD308))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choc anaphylactique</v>
      </c>
      <c r="AF308" t="str" cm="1">
        <f t="array" ref="AF308">_xlfn.LET(_xlpm.base, " " &amp; LOWER(TRIM($AE308))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choc anaphylactique</v>
      </c>
    </row>
    <row r="309" spans="1:32" ht="16.5">
      <c r="A309" s="8">
        <v>2023</v>
      </c>
      <c r="B309" s="10" t="s">
        <v>91</v>
      </c>
      <c r="C309" s="8" t="s">
        <v>33</v>
      </c>
      <c r="D309" s="20">
        <v>220</v>
      </c>
      <c r="E309" s="11" t="str">
        <f>IF(D309="","",IFERROR(INDEX(SSP!$E$2:$E$266, MATCH(D309, SSP!$F$2:$F$266, 0)),""))</f>
        <v>Traumatisme simple et bénin</v>
      </c>
      <c r="F309" s="11" t="str">
        <f>Feuil1!E309</f>
        <v>Chute / traumatisme</v>
      </c>
      <c r="G309" s="12" t="s">
        <v>160</v>
      </c>
      <c r="H309" s="13" t="s">
        <v>959</v>
      </c>
      <c r="I309" s="13"/>
      <c r="J309" s="15" t="s">
        <v>960</v>
      </c>
      <c r="K309" s="9" t="s">
        <v>33</v>
      </c>
      <c r="L309" s="9" t="s">
        <v>33</v>
      </c>
      <c r="M309" s="9" t="s">
        <v>33</v>
      </c>
      <c r="N309" t="s">
        <v>959</v>
      </c>
      <c r="O309" t="str">
        <f>IFERROR(_xlfn.XLOOKUP($D309, SSP!$F:$F, SSP!$E:$E, "Inconnu"), "")</f>
        <v>Traumatisme simple et bénin</v>
      </c>
      <c r="P309" t="str">
        <f>IF(OR(E309="", O309=""), "", IF(LOWER(E309)=LOWER(O309), "OK", "⚠️ Libellé ≠ n°"))</f>
        <v>OK</v>
      </c>
      <c r="Q309" t="str">
        <f>IF(Feuil1!$E309="", "", IF(LOWER(Feuil1!$E309)=LOWER(E309), "Identique", "Différent"))</f>
        <v>Différent</v>
      </c>
      <c r="R309" t="str">
        <f>IF(OR(P309="⚠️ Libellé ≠ n°", O309="Inconnu"), "⚠️", IF(Q309="Différent", "ℹ️", ""))</f>
        <v>ℹ️</v>
      </c>
      <c r="S309" t="str" cm="1">
        <f t="array" ref="S309">_xlfn.LET(_xlpm.genCat,IFERROR(LOWER(TRIM(G309)),""),_xlpm.principal,IFERROR(LOWER(TRIM(H309)),""),_xlpm.orig,IFERROR(LOWER(TRIM(N309)),""),IF(OR(_xlpm.genCat="",_xlpm.principal=""),"",IF(LEFT(LOWER(G309),5)="autre","OK (Autre)",IF(OR(ISNUMBER(SEARCH(_xlpm.genCat,_xlpm.principal)),ISNUMBER(SEARCH(_xlpm.principal,_xlpm.genCat)),AND(_xlpm.orig&lt;&gt;"",OR(ISNUMBER(SEARCH(_xlpm.genCat,_xlpm.orig)),ISNUMBER(SEARCH(_xlpm.orig,_xlpm.genCat))))),"OK","⚠️ À vérifier"))))</f>
        <v>OK (Autre)</v>
      </c>
      <c r="T309" t="str">
        <f>IF(S309="","",IF(S309="OK (Autre)","Diagnostic générique = 'Autre – …'",IF(S309="OK","Concordance générique/principal","Écart entre générique et principal")))</f>
        <v>Diagnostic générique = 'Autre – …'</v>
      </c>
      <c r="U309" t="str" cm="1">
        <f t="array" ref="U309">_xlfn.LET(_xlpm.yr, A309, _xlpm.diag, IF(N309&lt;&gt;"", N309, H309), _xlpm.base, TRIM(SUBSTITUTE(SUBSTITUTE(SUBSTITUTE(SUBSTITUTE(_xlpm.diag,"•"," "),CHAR(160)," "),CHAR(10)," "),"  "," ")), LOWER(_xlpm.yr&amp;"|"&amp;_xlpm.base))</f>
        <v>2023|choc hémorragique</v>
      </c>
      <c r="V309" t="str">
        <f>IFERROR(_xlfn.XLOOKUP($AB309,'Cas 2013-2017'!$K:$K,'Cas 2013-2017'!$D:$D,""),"")</f>
        <v/>
      </c>
      <c r="W309" t="str">
        <f>IFERROR(_xlfn.XLOOKUP($AB309,'Cas 2013-2017'!$K:$K,'Cas 2013-2017'!$E:$E,""),"")</f>
        <v/>
      </c>
      <c r="X309" t="str">
        <f>IFERROR(_xlfn.XLOOKUP($AB309,'Cas 2013-2017'!$K:$K,'Cas 2013-2017'!$F:$F,""),"")</f>
        <v/>
      </c>
      <c r="Y309" t="str">
        <f>IFERROR(_xlfn.XLOOKUP($AB309,'Cas 2013-2017'!$K:$K,'Cas 2013-2017'!$G:$G,""),"")</f>
        <v/>
      </c>
      <c r="Z309" t="str">
        <f>IFERROR(_xlfn.XLOOKUP($AB309,'Cas 2013-2017'!$K:$K,'Cas 2013-2017'!$I:$I,""),"")</f>
        <v/>
      </c>
      <c r="AA309" t="str">
        <f>IFERROR(_xlfn.XLOOKUP($AB309,'Cas 2013-2017'!$K:$K,'Cas 2013-2017'!$H:$H,""),"")</f>
        <v/>
      </c>
      <c r="AB309" t="str">
        <f>LOWER($A309 &amp; "|" &amp; $AF309)</f>
        <v>2023|choc hémorragique</v>
      </c>
      <c r="AC309" t="str">
        <f>TRIM(SUBSTITUTE(SUBSTITUTE(SUBSTITUTE(SUBSTITUTE(" " &amp; LOWER(TRIM(IF($N309&lt;&gt;"", $N309, $H309))) &amp; " ", " aomi ", " arteriopathie des membres inferieurs "), " hta ", " hypertension arterielle "), " saos ", " syndrome d'apnees obstructives du sommeil "), " rgo ", " reflux gastro-oesophagien ") )</f>
        <v>choc hémorragique</v>
      </c>
      <c r="AD309" t="str">
        <f>TRIM(SUBSTITUTE(SUBSTITUTE(SUBSTITUTE(SUBSTITUTE(" " &amp; LOWER(TRIM($AC309)) &amp; " ", " oacr ", " occlusion de l'artere centrale de la retine "), " hsd ", " hematome sous-dural "), " fa ", " fibrillation auriculaire "), " ep ", " embolie pulmonaire ") )</f>
        <v>choc hémorragique</v>
      </c>
      <c r="AE309" t="str" cm="1">
        <f t="array" ref="AE309">_xlfn.LET(_xlpm.base, " " &amp; LOWER(TRIM($AD309))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choc hémorragique</v>
      </c>
      <c r="AF309" t="str" cm="1">
        <f t="array" ref="AF309">_xlfn.LET(_xlpm.base, " " &amp; LOWER(TRIM($AE309))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choc hémorragique</v>
      </c>
    </row>
    <row r="310" spans="1:32" ht="33.75">
      <c r="A310" s="8">
        <v>2023</v>
      </c>
      <c r="B310" s="10" t="s">
        <v>87</v>
      </c>
      <c r="C310" s="8" t="s">
        <v>33</v>
      </c>
      <c r="D310" s="20">
        <v>64</v>
      </c>
      <c r="E310" s="11" t="str">
        <f>IF(D310="","",IFERROR(INDEX(SSP!$E$2:$E$266, MATCH(D310, SSP!$F$2:$F$266, 0)),""))</f>
        <v>Dysurie, pyurie, hématurie</v>
      </c>
      <c r="F310" s="11" t="str">
        <f>Feuil1!E310</f>
        <v> </v>
      </c>
      <c r="G310" s="12" t="s">
        <v>299</v>
      </c>
      <c r="H310" s="13" t="s">
        <v>300</v>
      </c>
      <c r="I310" s="13" t="s">
        <v>961</v>
      </c>
      <c r="J310" s="15" t="s">
        <v>962</v>
      </c>
      <c r="K310" s="9" t="s">
        <v>33</v>
      </c>
      <c r="L310" s="9" t="s">
        <v>33</v>
      </c>
      <c r="M310" s="9" t="s">
        <v>33</v>
      </c>
      <c r="N310" t="s">
        <v>300</v>
      </c>
      <c r="O310" t="str">
        <f>IFERROR(_xlfn.XLOOKUP($D310, SSP!$F:$F, SSP!$E:$E, "Inconnu"), "")</f>
        <v>Dysurie, pyurie, hématurie</v>
      </c>
      <c r="P310" t="str">
        <f>IF(OR(E310="", O310=""), "", IF(LOWER(E310)=LOWER(O310), "OK", "⚠️ Libellé ≠ n°"))</f>
        <v>OK</v>
      </c>
      <c r="Q310" t="str">
        <f>IF(Feuil1!$E310="", "", IF(LOWER(Feuil1!$E310)=LOWER(E310), "Identique", "Différent"))</f>
        <v>Différent</v>
      </c>
      <c r="R310" t="str">
        <f>IF(OR(P310="⚠️ Libellé ≠ n°", O310="Inconnu"), "⚠️", IF(Q310="Différent", "ℹ️", ""))</f>
        <v>ℹ️</v>
      </c>
      <c r="S310" t="str" cm="1">
        <f t="array" ref="S310">_xlfn.LET(_xlpm.genCat,IFERROR(LOWER(TRIM(G310)),""),_xlpm.principal,IFERROR(LOWER(TRIM(H310)),""),_xlpm.orig,IFERROR(LOWER(TRIM(N310)),""),IF(OR(_xlpm.genCat="",_xlpm.principal=""),"",IF(LEFT(LOWER(G310),5)="autre","OK (Autre)",IF(OR(ISNUMBER(SEARCH(_xlpm.genCat,_xlpm.principal)),ISNUMBER(SEARCH(_xlpm.principal,_xlpm.genCat)),AND(_xlpm.orig&lt;&gt;"",OR(ISNUMBER(SEARCH(_xlpm.genCat,_xlpm.orig)),ISNUMBER(SEARCH(_xlpm.orig,_xlpm.genCat))))),"OK","⚠️ À vérifier"))))</f>
        <v>⚠️ À vérifier</v>
      </c>
      <c r="T310" t="str">
        <f>IF(S310="","",IF(S310="OK (Autre)","Diagnostic générique = 'Autre – …'",IF(S310="OK","Concordance générique/principal","Écart entre générique et principal")))</f>
        <v>Écart entre générique et principal</v>
      </c>
      <c r="U310" t="str" cm="1">
        <f t="array" ref="U310">_xlfn.LET(_xlpm.yr, A310, _xlpm.diag, IF(N310&lt;&gt;"", N310, H310), _xlpm.base, TRIM(SUBSTITUTE(SUBSTITUTE(SUBSTITUTE(SUBSTITUTE(_xlpm.diag,"•"," "),CHAR(160)," "),CHAR(10)," "),"  "," ")), LOWER(_xlpm.yr&amp;"|"&amp;_xlpm.base))</f>
        <v>2023|hypertrophie bénigne de la prostate (hppb)</v>
      </c>
      <c r="V310" t="str">
        <f>IFERROR(_xlfn.XLOOKUP($AB310,'Cas 2013-2017'!$K:$K,'Cas 2013-2017'!$D:$D,""),"")</f>
        <v/>
      </c>
      <c r="W310" t="str">
        <f>IFERROR(_xlfn.XLOOKUP($AB310,'Cas 2013-2017'!$K:$K,'Cas 2013-2017'!$E:$E,""),"")</f>
        <v/>
      </c>
      <c r="X310" t="str">
        <f>IFERROR(_xlfn.XLOOKUP($AB310,'Cas 2013-2017'!$K:$K,'Cas 2013-2017'!$F:$F,""),"")</f>
        <v/>
      </c>
      <c r="Y310" t="str">
        <f>IFERROR(_xlfn.XLOOKUP($AB310,'Cas 2013-2017'!$K:$K,'Cas 2013-2017'!$G:$G,""),"")</f>
        <v/>
      </c>
      <c r="Z310" t="str">
        <f>IFERROR(_xlfn.XLOOKUP($AB310,'Cas 2013-2017'!$K:$K,'Cas 2013-2017'!$I:$I,""),"")</f>
        <v/>
      </c>
      <c r="AA310" t="str">
        <f>IFERROR(_xlfn.XLOOKUP($AB310,'Cas 2013-2017'!$K:$K,'Cas 2013-2017'!$H:$H,""),"")</f>
        <v/>
      </c>
      <c r="AB310" t="str">
        <f>LOWER($A310 &amp; "|" &amp; $AF310)</f>
        <v>2023|hypertrophie bénigne de la prostate (hppb)</v>
      </c>
      <c r="AC310" t="str">
        <f>TRIM(SUBSTITUTE(SUBSTITUTE(SUBSTITUTE(SUBSTITUTE(" " &amp; LOWER(TRIM(IF($N310&lt;&gt;"", $N310, $H310))) &amp; " ", " aomi ", " arteriopathie des membres inferieurs "), " hta ", " hypertension arterielle "), " saos ", " syndrome d'apnees obstructives du sommeil "), " rgo ", " reflux gastro-oesophagien ") )</f>
        <v>hypertrophie bénigne de la prostate (hppb)</v>
      </c>
      <c r="AD310" t="str">
        <f>TRIM(SUBSTITUTE(SUBSTITUTE(SUBSTITUTE(SUBSTITUTE(" " &amp; LOWER(TRIM($AC310)) &amp; " ", " oacr ", " occlusion de l'artere centrale de la retine "), " hsd ", " hematome sous-dural "), " fa ", " fibrillation auriculaire "), " ep ", " embolie pulmonaire ") )</f>
        <v>hypertrophie bénigne de la prostate (hppb)</v>
      </c>
      <c r="AE310" t="str" cm="1">
        <f t="array" ref="AE310">_xlfn.LET(_xlpm.base, " " &amp; LOWER(TRIM($AD310))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hypertrophie bénigne de la prostate (hppb)</v>
      </c>
      <c r="AF310" t="str" cm="1">
        <f t="array" ref="AF310">_xlfn.LET(_xlpm.base, " " &amp; LOWER(TRIM($AE310))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hypertrophie bénigne de la prostate (hppb)</v>
      </c>
    </row>
    <row r="311" spans="1:32" ht="50.25">
      <c r="A311" s="8">
        <v>2024</v>
      </c>
      <c r="B311" s="10" t="s">
        <v>32</v>
      </c>
      <c r="C311" s="8" t="s">
        <v>352</v>
      </c>
      <c r="D311" s="20">
        <v>44</v>
      </c>
      <c r="E311" s="11" t="str">
        <f>IF(D311="","",IFERROR(INDEX(SSP!$E$2:$E$266, MATCH(D311, SSP!$F$2:$F$266, 0)),""))</f>
        <v>Douleur thoracique</v>
      </c>
      <c r="F311" s="11" t="str">
        <f>Feuil1!E311</f>
        <v>Douleur thoracique</v>
      </c>
      <c r="G311" s="12" t="s">
        <v>649</v>
      </c>
      <c r="H311" s="13" t="s">
        <v>650</v>
      </c>
      <c r="I311" s="13"/>
      <c r="J311" s="15" t="s">
        <v>33</v>
      </c>
      <c r="K311" s="9" t="s">
        <v>963</v>
      </c>
      <c r="L311" s="9" t="s">
        <v>33</v>
      </c>
      <c r="M311" s="9" t="s">
        <v>33</v>
      </c>
      <c r="N311" t="s">
        <v>650</v>
      </c>
      <c r="O311" t="str">
        <f>IFERROR(_xlfn.XLOOKUP($D311, SSP!$F:$F, SSP!$E:$E, "Inconnu"), "")</f>
        <v>Douleur thoracique</v>
      </c>
      <c r="P311" t="str">
        <f>IF(OR(E311="", O311=""), "", IF(LOWER(E311)=LOWER(O311), "OK", "⚠️ Libellé ≠ n°"))</f>
        <v>OK</v>
      </c>
      <c r="Q311" t="str">
        <f>IF(Feuil1!$E311="", "", IF(LOWER(Feuil1!$E311)=LOWER(E311), "Identique", "Différent"))</f>
        <v>Identique</v>
      </c>
      <c r="R311" t="str">
        <f>IF(OR(P311="⚠️ Libellé ≠ n°", O311="Inconnu"), "⚠️", IF(Q311="Différent", "ℹ️", ""))</f>
        <v/>
      </c>
      <c r="S311" t="str" cm="1">
        <f t="array" ref="S311">_xlfn.LET(_xlpm.genCat,IFERROR(LOWER(TRIM(G311)),""),_xlpm.principal,IFERROR(LOWER(TRIM(H311)),""),_xlpm.orig,IFERROR(LOWER(TRIM(N311)),""),IF(OR(_xlpm.genCat="",_xlpm.principal=""),"",IF(LEFT(LOWER(G311),5)="autre","OK (Autre)",IF(OR(ISNUMBER(SEARCH(_xlpm.genCat,_xlpm.principal)),ISNUMBER(SEARCH(_xlpm.principal,_xlpm.genCat)),AND(_xlpm.orig&lt;&gt;"",OR(ISNUMBER(SEARCH(_xlpm.genCat,_xlpm.orig)),ISNUMBER(SEARCH(_xlpm.orig,_xlpm.genCat))))),"OK","⚠️ À vérifier"))))</f>
        <v>⚠️ À vérifier</v>
      </c>
      <c r="T311" t="str">
        <f>IF(S311="","",IF(S311="OK (Autre)","Diagnostic générique = 'Autre – …'",IF(S311="OK","Concordance générique/principal","Écart entre générique et principal")))</f>
        <v>Écart entre générique et principal</v>
      </c>
      <c r="U311" t="str" cm="1">
        <f t="array" ref="U311">_xlfn.LET(_xlpm.yr, A311, _xlpm.diag, IF(N311&lt;&gt;"", N311, H311), _xlpm.base, TRIM(SUBSTITUTE(SUBSTITUTE(SUBSTITUTE(SUBSTITUTE(_xlpm.diag,"•"," "),CHAR(160)," "),CHAR(10)," "),"  "," ")), LOWER(_xlpm.yr&amp;"|"&amp;_xlpm.base))</f>
        <v>2024|dissection aortique</v>
      </c>
      <c r="V311" t="str">
        <f>IFERROR(_xlfn.XLOOKUP($AB311,'Cas 2013-2017'!$K:$K,'Cas 2013-2017'!$D:$D,""),"")</f>
        <v/>
      </c>
      <c r="W311" t="str">
        <f>IFERROR(_xlfn.XLOOKUP($AB311,'Cas 2013-2017'!$K:$K,'Cas 2013-2017'!$E:$E,""),"")</f>
        <v/>
      </c>
      <c r="X311" t="str">
        <f>IFERROR(_xlfn.XLOOKUP($AB311,'Cas 2013-2017'!$K:$K,'Cas 2013-2017'!$F:$F,""),"")</f>
        <v/>
      </c>
      <c r="Y311" t="str">
        <f>IFERROR(_xlfn.XLOOKUP($AB311,'Cas 2013-2017'!$K:$K,'Cas 2013-2017'!$G:$G,""),"")</f>
        <v/>
      </c>
      <c r="Z311" t="str">
        <f>IFERROR(_xlfn.XLOOKUP($AB311,'Cas 2013-2017'!$K:$K,'Cas 2013-2017'!$I:$I,""),"")</f>
        <v/>
      </c>
      <c r="AA311" t="str">
        <f>IFERROR(_xlfn.XLOOKUP($AB311,'Cas 2013-2017'!$K:$K,'Cas 2013-2017'!$H:$H,""),"")</f>
        <v/>
      </c>
      <c r="AB311" t="str">
        <f>LOWER($A311 &amp; "|" &amp; $AF311)</f>
        <v>2024|dissection aortique</v>
      </c>
      <c r="AC311" t="str">
        <f>TRIM(SUBSTITUTE(SUBSTITUTE(SUBSTITUTE(SUBSTITUTE(" " &amp; LOWER(TRIM(IF($N311&lt;&gt;"", $N311, $H311))) &amp; " ", " aomi ", " arteriopathie des membres inferieurs "), " hta ", " hypertension arterielle "), " saos ", " syndrome d'apnees obstructives du sommeil "), " rgo ", " reflux gastro-oesophagien ") )</f>
        <v>dissection aortique</v>
      </c>
      <c r="AD311" t="str">
        <f>TRIM(SUBSTITUTE(SUBSTITUTE(SUBSTITUTE(SUBSTITUTE(" " &amp; LOWER(TRIM($AC311)) &amp; " ", " oacr ", " occlusion de l'artere centrale de la retine "), " hsd ", " hematome sous-dural "), " fa ", " fibrillation auriculaire "), " ep ", " embolie pulmonaire ") )</f>
        <v>dissection aortique</v>
      </c>
      <c r="AE311" t="str" cm="1">
        <f t="array" ref="AE311">_xlfn.LET(_xlpm.base, " " &amp; LOWER(TRIM($AD311))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dissection aortique</v>
      </c>
      <c r="AF311" t="str" cm="1">
        <f t="array" ref="AF311">_xlfn.LET(_xlpm.base, " " &amp; LOWER(TRIM($AE311))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dissection aortique</v>
      </c>
    </row>
    <row r="312" spans="1:32" ht="16.5">
      <c r="A312" s="8">
        <v>2024</v>
      </c>
      <c r="B312" s="10" t="s">
        <v>51</v>
      </c>
      <c r="C312" s="8" t="s">
        <v>33</v>
      </c>
      <c r="D312" s="20"/>
      <c r="E312" s="11" t="str">
        <f>IF(D312="","",IFERROR(INDEX(SSP!$E$2:$E$266, MATCH(D312, SSP!$F$2:$F$266, 0)),""))</f>
        <v/>
      </c>
      <c r="F312" s="11" t="str">
        <f>Feuil1!E312</f>
        <v> </v>
      </c>
      <c r="G312" s="12" t="s">
        <v>83</v>
      </c>
      <c r="H312" s="13" t="s">
        <v>964</v>
      </c>
      <c r="I312" s="13"/>
      <c r="J312" s="15" t="s">
        <v>33</v>
      </c>
      <c r="K312" s="9" t="s">
        <v>33</v>
      </c>
      <c r="L312" s="9" t="s">
        <v>33</v>
      </c>
      <c r="M312" s="9" t="s">
        <v>33</v>
      </c>
      <c r="N312" t="s">
        <v>965</v>
      </c>
      <c r="O312">
        <f>IFERROR(_xlfn.XLOOKUP($D312, SSP!$F:$F, SSP!$E:$E, "Inconnu"), "")</f>
        <v>0</v>
      </c>
      <c r="P312" t="str">
        <f>IF(OR(E312="", O312=""), "", IF(LOWER(E312)=LOWER(O312), "OK", "⚠️ Libellé ≠ n°"))</f>
        <v/>
      </c>
      <c r="Q312" t="str">
        <f>IF(Feuil1!$E312="", "", IF(LOWER(Feuil1!$E312)=LOWER(E312), "Identique", "Différent"))</f>
        <v>Différent</v>
      </c>
      <c r="R312" t="str">
        <f>IF(OR(P312="⚠️ Libellé ≠ n°", O312="Inconnu"), "⚠️", IF(Q312="Différent", "ℹ️", ""))</f>
        <v>ℹ️</v>
      </c>
      <c r="S312" t="str" cm="1">
        <f t="array" ref="S312">_xlfn.LET(_xlpm.genCat,IFERROR(LOWER(TRIM(G312)),""),_xlpm.principal,IFERROR(LOWER(TRIM(H312)),""),_xlpm.orig,IFERROR(LOWER(TRIM(N312)),""),IF(OR(_xlpm.genCat="",_xlpm.principal=""),"",IF(LEFT(LOWER(G312),5)="autre","OK (Autre)",IF(OR(ISNUMBER(SEARCH(_xlpm.genCat,_xlpm.principal)),ISNUMBER(SEARCH(_xlpm.principal,_xlpm.genCat)),AND(_xlpm.orig&lt;&gt;"",OR(ISNUMBER(SEARCH(_xlpm.genCat,_xlpm.orig)),ISNUMBER(SEARCH(_xlpm.orig,_xlpm.genCat))))),"OK","⚠️ À vérifier"))))</f>
        <v>OK (Autre)</v>
      </c>
      <c r="T312" t="str">
        <f>IF(S312="","",IF(S312="OK (Autre)","Diagnostic générique = 'Autre – …'",IF(S312="OK","Concordance générique/principal","Écart entre générique et principal")))</f>
        <v>Diagnostic générique = 'Autre – …'</v>
      </c>
      <c r="U312" t="str" cm="1">
        <f t="array" ref="U312">_xlfn.LET(_xlpm.yr, A312, _xlpm.diag, IF(N312&lt;&gt;"", N312, H312), _xlpm.base, TRIM(SUBSTITUTE(SUBSTITUTE(SUBSTITUTE(SUBSTITUTE(_xlpm.diag,"•"," "),CHAR(160)," "),CHAR(10)," "),"  "," ")), LOWER(_xlpm.yr&amp;"|"&amp;_xlpm.base))</f>
        <v>2024|infection cutanée</v>
      </c>
      <c r="V312" t="str">
        <f>IFERROR(_xlfn.XLOOKUP($AB312,'Cas 2013-2017'!$K:$K,'Cas 2013-2017'!$D:$D,""),"")</f>
        <v/>
      </c>
      <c r="W312" t="str">
        <f>IFERROR(_xlfn.XLOOKUP($AB312,'Cas 2013-2017'!$K:$K,'Cas 2013-2017'!$E:$E,""),"")</f>
        <v/>
      </c>
      <c r="X312" t="str">
        <f>IFERROR(_xlfn.XLOOKUP($AB312,'Cas 2013-2017'!$K:$K,'Cas 2013-2017'!$F:$F,""),"")</f>
        <v/>
      </c>
      <c r="Y312" t="str">
        <f>IFERROR(_xlfn.XLOOKUP($AB312,'Cas 2013-2017'!$K:$K,'Cas 2013-2017'!$G:$G,""),"")</f>
        <v/>
      </c>
      <c r="Z312" t="str">
        <f>IFERROR(_xlfn.XLOOKUP($AB312,'Cas 2013-2017'!$K:$K,'Cas 2013-2017'!$I:$I,""),"")</f>
        <v/>
      </c>
      <c r="AA312" t="str">
        <f>IFERROR(_xlfn.XLOOKUP($AB312,'Cas 2013-2017'!$K:$K,'Cas 2013-2017'!$H:$H,""),"")</f>
        <v/>
      </c>
      <c r="AB312" t="str">
        <f>LOWER($A312 &amp; "|" &amp; $AF312)</f>
        <v>2024|infection cutanée</v>
      </c>
      <c r="AC312" t="str">
        <f>TRIM(SUBSTITUTE(SUBSTITUTE(SUBSTITUTE(SUBSTITUTE(" " &amp; LOWER(TRIM(IF($N312&lt;&gt;"", $N312, $H312))) &amp; " ", " aomi ", " arteriopathie des membres inferieurs "), " hta ", " hypertension arterielle "), " saos ", " syndrome d'apnees obstructives du sommeil "), " rgo ", " reflux gastro-oesophagien ") )</f>
        <v>infection cutanée</v>
      </c>
      <c r="AD312" t="str">
        <f>TRIM(SUBSTITUTE(SUBSTITUTE(SUBSTITUTE(SUBSTITUTE(" " &amp; LOWER(TRIM($AC312)) &amp; " ", " oacr ", " occlusion de l'artere centrale de la retine "), " hsd ", " hematome sous-dural "), " fa ", " fibrillation auriculaire "), " ep ", " embolie pulmonaire ") )</f>
        <v>infection cutanée</v>
      </c>
      <c r="AE312" t="str" cm="1">
        <f t="array" ref="AE312">_xlfn.LET(_xlpm.base, " " &amp; LOWER(TRIM($AD312))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infection cutanée</v>
      </c>
      <c r="AF312" t="str" cm="1">
        <f t="array" ref="AF312">_xlfn.LET(_xlpm.base, " " &amp; LOWER(TRIM($AE312))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infection cutanée</v>
      </c>
    </row>
    <row r="313" spans="1:32" ht="16.5">
      <c r="A313" s="8">
        <v>2024</v>
      </c>
      <c r="B313" s="10" t="s">
        <v>100</v>
      </c>
      <c r="C313" s="8" t="s">
        <v>33</v>
      </c>
      <c r="D313" s="20">
        <v>46</v>
      </c>
      <c r="E313" s="11" t="str">
        <f>IF(D313="","",IFERROR(INDEX(SSP!$E$2:$E$266, MATCH(D313, SSP!$F$2:$F$266, 0)),""))</f>
        <v>Dyspnée</v>
      </c>
      <c r="F313" s="11" t="str">
        <f>Feuil1!E313</f>
        <v> </v>
      </c>
      <c r="G313" s="12" t="s">
        <v>501</v>
      </c>
      <c r="H313" s="13" t="s">
        <v>966</v>
      </c>
      <c r="I313" s="13"/>
      <c r="J313" s="15" t="s">
        <v>33</v>
      </c>
      <c r="K313" s="9" t="s">
        <v>33</v>
      </c>
      <c r="L313" s="9" t="s">
        <v>33</v>
      </c>
      <c r="M313" s="9" t="s">
        <v>33</v>
      </c>
      <c r="N313" t="s">
        <v>967</v>
      </c>
      <c r="O313" t="str">
        <f>IFERROR(_xlfn.XLOOKUP($D313, SSP!$F:$F, SSP!$E:$E, "Inconnu"), "")</f>
        <v>Dyspnée</v>
      </c>
      <c r="P313" t="str">
        <f>IF(OR(E313="", O313=""), "", IF(LOWER(E313)=LOWER(O313), "OK", "⚠️ Libellé ≠ n°"))</f>
        <v>OK</v>
      </c>
      <c r="Q313" t="str">
        <f>IF(Feuil1!$E313="", "", IF(LOWER(Feuil1!$E313)=LOWER(E313), "Identique", "Différent"))</f>
        <v>Différent</v>
      </c>
      <c r="R313" t="str">
        <f>IF(OR(P313="⚠️ Libellé ≠ n°", O313="Inconnu"), "⚠️", IF(Q313="Différent", "ℹ️", ""))</f>
        <v>ℹ️</v>
      </c>
      <c r="S313" t="str" cm="1">
        <f t="array" ref="S313">_xlfn.LET(_xlpm.genCat,IFERROR(LOWER(TRIM(G313)),""),_xlpm.principal,IFERROR(LOWER(TRIM(H313)),""),_xlpm.orig,IFERROR(LOWER(TRIM(N313)),""),IF(OR(_xlpm.genCat="",_xlpm.principal=""),"",IF(LEFT(LOWER(G313),5)="autre","OK (Autre)",IF(OR(ISNUMBER(SEARCH(_xlpm.genCat,_xlpm.principal)),ISNUMBER(SEARCH(_xlpm.principal,_xlpm.genCat)),AND(_xlpm.orig&lt;&gt;"",OR(ISNUMBER(SEARCH(_xlpm.genCat,_xlpm.orig)),ISNUMBER(SEARCH(_xlpm.orig,_xlpm.genCat))))),"OK","⚠️ À vérifier"))))</f>
        <v>OK</v>
      </c>
      <c r="T313" t="str">
        <f>IF(S313="","",IF(S313="OK (Autre)","Diagnostic générique = 'Autre – …'",IF(S313="OK","Concordance générique/principal","Écart entre générique et principal")))</f>
        <v>Concordance générique/principal</v>
      </c>
      <c r="U313" t="str" cm="1">
        <f t="array" ref="U313">_xlfn.LET(_xlpm.yr, A313, _xlpm.diag, IF(N313&lt;&gt;"", N313, H313), _xlpm.base, TRIM(SUBSTITUTE(SUBSTITUTE(SUBSTITUTE(SUBSTITUTE(_xlpm.diag,"•"," "),CHAR(160)," "),CHAR(10)," "),"  "," ")), LOWER(_xlpm.yr&amp;"|"&amp;_xlpm.base))</f>
        <v>2024|épilepsie absence</v>
      </c>
      <c r="V313" t="str">
        <f>IFERROR(_xlfn.XLOOKUP($AB313,'Cas 2013-2017'!$K:$K,'Cas 2013-2017'!$D:$D,""),"")</f>
        <v/>
      </c>
      <c r="W313" t="str">
        <f>IFERROR(_xlfn.XLOOKUP($AB313,'Cas 2013-2017'!$K:$K,'Cas 2013-2017'!$E:$E,""),"")</f>
        <v/>
      </c>
      <c r="X313" t="str">
        <f>IFERROR(_xlfn.XLOOKUP($AB313,'Cas 2013-2017'!$K:$K,'Cas 2013-2017'!$F:$F,""),"")</f>
        <v/>
      </c>
      <c r="Y313" t="str">
        <f>IFERROR(_xlfn.XLOOKUP($AB313,'Cas 2013-2017'!$K:$K,'Cas 2013-2017'!$G:$G,""),"")</f>
        <v/>
      </c>
      <c r="Z313" t="str">
        <f>IFERROR(_xlfn.XLOOKUP($AB313,'Cas 2013-2017'!$K:$K,'Cas 2013-2017'!$I:$I,""),"")</f>
        <v/>
      </c>
      <c r="AA313" t="str">
        <f>IFERROR(_xlfn.XLOOKUP($AB313,'Cas 2013-2017'!$K:$K,'Cas 2013-2017'!$H:$H,""),"")</f>
        <v/>
      </c>
      <c r="AB313" t="str">
        <f>LOWER($A313 &amp; "|" &amp; $AF313)</f>
        <v>2024|épilepsie absence</v>
      </c>
      <c r="AC313" t="str">
        <f>TRIM(SUBSTITUTE(SUBSTITUTE(SUBSTITUTE(SUBSTITUTE(" " &amp; LOWER(TRIM(IF($N313&lt;&gt;"", $N313, $H313))) &amp; " ", " aomi ", " arteriopathie des membres inferieurs "), " hta ", " hypertension arterielle "), " saos ", " syndrome d'apnees obstructives du sommeil "), " rgo ", " reflux gastro-oesophagien ") )</f>
        <v>épilepsie absence</v>
      </c>
      <c r="AD313" t="str">
        <f>TRIM(SUBSTITUTE(SUBSTITUTE(SUBSTITUTE(SUBSTITUTE(" " &amp; LOWER(TRIM($AC313)) &amp; " ", " oacr ", " occlusion de l'artere centrale de la retine "), " hsd ", " hematome sous-dural "), " fa ", " fibrillation auriculaire "), " ep ", " embolie pulmonaire ") )</f>
        <v>épilepsie absence</v>
      </c>
      <c r="AE313" t="str" cm="1">
        <f t="array" ref="AE313">_xlfn.LET(_xlpm.base, " " &amp; LOWER(TRIM($AD313))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épilepsie absence</v>
      </c>
      <c r="AF313" t="str" cm="1">
        <f t="array" ref="AF313">_xlfn.LET(_xlpm.base, " " &amp; LOWER(TRIM($AE313))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épilepsie absence</v>
      </c>
    </row>
    <row r="314" spans="1:32" ht="16.5">
      <c r="A314" s="8">
        <v>2024</v>
      </c>
      <c r="B314" s="10" t="s">
        <v>64</v>
      </c>
      <c r="C314" s="8" t="s">
        <v>33</v>
      </c>
      <c r="D314" s="20">
        <v>16</v>
      </c>
      <c r="E314" s="11" t="str">
        <f>IF(D314="","",IFERROR(INDEX(SSP!$E$2:$E$266, MATCH(D314, SSP!$F$2:$F$266, 0)),""))</f>
        <v>Perte de poids, malnutrition, anorexie</v>
      </c>
      <c r="F314" s="11" t="str">
        <f>Feuil1!E314</f>
        <v> </v>
      </c>
      <c r="G314" s="12" t="s">
        <v>65</v>
      </c>
      <c r="H314" s="13" t="s">
        <v>968</v>
      </c>
      <c r="I314" s="13"/>
      <c r="J314" s="15" t="s">
        <v>969</v>
      </c>
      <c r="K314" s="9" t="s">
        <v>33</v>
      </c>
      <c r="L314" s="9" t="s">
        <v>33</v>
      </c>
      <c r="M314" s="9" t="s">
        <v>33</v>
      </c>
      <c r="N314" t="s">
        <v>970</v>
      </c>
      <c r="O314" t="str">
        <f>IFERROR(_xlfn.XLOOKUP($D314, SSP!$F:$F, SSP!$E:$E, "Inconnu"), "")</f>
        <v>Perte de poids, malnutrition, anorexie</v>
      </c>
      <c r="P314" t="str">
        <f>IF(OR(E314="", O314=""), "", IF(LOWER(E314)=LOWER(O314), "OK", "⚠️ Libellé ≠ n°"))</f>
        <v>OK</v>
      </c>
      <c r="Q314" t="str">
        <f>IF(Feuil1!$E314="", "", IF(LOWER(Feuil1!$E314)=LOWER(E314), "Identique", "Différent"))</f>
        <v>Différent</v>
      </c>
      <c r="R314" t="str">
        <f>IF(OR(P314="⚠️ Libellé ≠ n°", O314="Inconnu"), "⚠️", IF(Q314="Différent", "ℹ️", ""))</f>
        <v>ℹ️</v>
      </c>
      <c r="S314" t="str" cm="1">
        <f t="array" ref="S314">_xlfn.LET(_xlpm.genCat,IFERROR(LOWER(TRIM(G314)),""),_xlpm.principal,IFERROR(LOWER(TRIM(H314)),""),_xlpm.orig,IFERROR(LOWER(TRIM(N314)),""),IF(OR(_xlpm.genCat="",_xlpm.principal=""),"",IF(LEFT(LOWER(G314),5)="autre","OK (Autre)",IF(OR(ISNUMBER(SEARCH(_xlpm.genCat,_xlpm.principal)),ISNUMBER(SEARCH(_xlpm.principal,_xlpm.genCat)),AND(_xlpm.orig&lt;&gt;"",OR(ISNUMBER(SEARCH(_xlpm.genCat,_xlpm.orig)),ISNUMBER(SEARCH(_xlpm.orig,_xlpm.genCat))))),"OK","⚠️ À vérifier"))))</f>
        <v>OK</v>
      </c>
      <c r="T314" t="str">
        <f>IF(S314="","",IF(S314="OK (Autre)","Diagnostic générique = 'Autre – …'",IF(S314="OK","Concordance générique/principal","Écart entre générique et principal")))</f>
        <v>Concordance générique/principal</v>
      </c>
      <c r="U314" t="str" cm="1">
        <f t="array" ref="U314">_xlfn.LET(_xlpm.yr, A314, _xlpm.diag, IF(N314&lt;&gt;"", N314, H314), _xlpm.base, TRIM(SUBSTITUTE(SUBSTITUTE(SUBSTITUTE(SUBSTITUTE(_xlpm.diag,"•"," "),CHAR(160)," "),CHAR(10)," "),"  "," ")), LOWER(_xlpm.yr&amp;"|"&amp;_xlpm.base))</f>
        <v>2024|ca cordes vocales</v>
      </c>
      <c r="V314" t="str">
        <f>IFERROR(_xlfn.XLOOKUP($AB314,'Cas 2013-2017'!$K:$K,'Cas 2013-2017'!$D:$D,""),"")</f>
        <v/>
      </c>
      <c r="W314" t="str">
        <f>IFERROR(_xlfn.XLOOKUP($AB314,'Cas 2013-2017'!$K:$K,'Cas 2013-2017'!$E:$E,""),"")</f>
        <v/>
      </c>
      <c r="X314" t="str">
        <f>IFERROR(_xlfn.XLOOKUP($AB314,'Cas 2013-2017'!$K:$K,'Cas 2013-2017'!$F:$F,""),"")</f>
        <v/>
      </c>
      <c r="Y314" t="str">
        <f>IFERROR(_xlfn.XLOOKUP($AB314,'Cas 2013-2017'!$K:$K,'Cas 2013-2017'!$G:$G,""),"")</f>
        <v/>
      </c>
      <c r="Z314" t="str">
        <f>IFERROR(_xlfn.XLOOKUP($AB314,'Cas 2013-2017'!$K:$K,'Cas 2013-2017'!$I:$I,""),"")</f>
        <v/>
      </c>
      <c r="AA314" t="str">
        <f>IFERROR(_xlfn.XLOOKUP($AB314,'Cas 2013-2017'!$K:$K,'Cas 2013-2017'!$H:$H,""),"")</f>
        <v/>
      </c>
      <c r="AB314" t="str">
        <f>LOWER($A314 &amp; "|" &amp; $AF314)</f>
        <v>2024|ca cordes vocales</v>
      </c>
      <c r="AC314" t="str">
        <f>TRIM(SUBSTITUTE(SUBSTITUTE(SUBSTITUTE(SUBSTITUTE(" " &amp; LOWER(TRIM(IF($N314&lt;&gt;"", $N314, $H314))) &amp; " ", " aomi ", " arteriopathie des membres inferieurs "), " hta ", " hypertension arterielle "), " saos ", " syndrome d'apnees obstructives du sommeil "), " rgo ", " reflux gastro-oesophagien ") )</f>
        <v>ca cordes vocales</v>
      </c>
      <c r="AD314" t="str">
        <f>TRIM(SUBSTITUTE(SUBSTITUTE(SUBSTITUTE(SUBSTITUTE(" " &amp; LOWER(TRIM($AC314)) &amp; " ", " oacr ", " occlusion de l'artere centrale de la retine "), " hsd ", " hematome sous-dural "), " fa ", " fibrillation auriculaire "), " ep ", " embolie pulmonaire ") )</f>
        <v>ca cordes vocales</v>
      </c>
      <c r="AE314" t="str" cm="1">
        <f t="array" ref="AE314">_xlfn.LET(_xlpm.base, " " &amp; LOWER(TRIM($AD314))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 cordes vocales</v>
      </c>
      <c r="AF314" t="str" cm="1">
        <f t="array" ref="AF314">_xlfn.LET(_xlpm.base, " " &amp; LOWER(TRIM($AE314))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 cordes vocales</v>
      </c>
    </row>
    <row r="315" spans="1:32" ht="66.75">
      <c r="A315" s="8">
        <v>2024</v>
      </c>
      <c r="B315" s="10" t="s">
        <v>51</v>
      </c>
      <c r="C315" s="8" t="s">
        <v>33</v>
      </c>
      <c r="D315" s="20">
        <v>93</v>
      </c>
      <c r="E315" s="11" t="str">
        <f>IF(D315="","",IFERROR(INDEX(SSP!$E$2:$E$266, MATCH(D315, SSP!$F$2:$F$266, 0)),""))</f>
        <v>Macules, papules, pustules, vésicules, ulcères, abcès, bulles, épaississement cutané, nécrose, tumeur cutanée</v>
      </c>
      <c r="F315" s="11" t="str">
        <f>Feuil1!E315</f>
        <v>Éruption cutanée</v>
      </c>
      <c r="G315" s="12" t="s">
        <v>183</v>
      </c>
      <c r="H315" s="13" t="s">
        <v>184</v>
      </c>
      <c r="I315" s="13" t="s">
        <v>971</v>
      </c>
      <c r="J315" s="15" t="s">
        <v>972</v>
      </c>
      <c r="K315" s="9" t="s">
        <v>33</v>
      </c>
      <c r="L315" s="9" t="s">
        <v>33</v>
      </c>
      <c r="M315" s="9" t="s">
        <v>33</v>
      </c>
      <c r="N315" t="s">
        <v>973</v>
      </c>
      <c r="O315" t="str">
        <f>IFERROR(_xlfn.XLOOKUP($D315, SSP!$F:$F, SSP!$E:$E, "Inconnu"), "")</f>
        <v>Macules, papules, pustules, vésicules, ulcères, abcès, bulles, épaississement cutané, nécrose, tumeur cutanée</v>
      </c>
      <c r="P315" t="str">
        <f>IF(OR(E315="", O315=""), "", IF(LOWER(E315)=LOWER(O315), "OK", "⚠️ Libellé ≠ n°"))</f>
        <v>OK</v>
      </c>
      <c r="Q315" t="str">
        <f>IF(Feuil1!$E315="", "", IF(LOWER(Feuil1!$E315)=LOWER(E315), "Identique", "Différent"))</f>
        <v>Différent</v>
      </c>
      <c r="R315" t="str">
        <f>IF(OR(P315="⚠️ Libellé ≠ n°", O315="Inconnu"), "⚠️", IF(Q315="Différent", "ℹ️", ""))</f>
        <v>ℹ️</v>
      </c>
      <c r="S315" t="str" cm="1">
        <f t="array" ref="S315">_xlfn.LET(_xlpm.genCat,IFERROR(LOWER(TRIM(G315)),""),_xlpm.principal,IFERROR(LOWER(TRIM(H315)),""),_xlpm.orig,IFERROR(LOWER(TRIM(N315)),""),IF(OR(_xlpm.genCat="",_xlpm.principal=""),"",IF(LEFT(LOWER(G315),5)="autre","OK (Autre)",IF(OR(ISNUMBER(SEARCH(_xlpm.genCat,_xlpm.principal)),ISNUMBER(SEARCH(_xlpm.principal,_xlpm.genCat)),AND(_xlpm.orig&lt;&gt;"",OR(ISNUMBER(SEARCH(_xlpm.genCat,_xlpm.orig)),ISNUMBER(SEARCH(_xlpm.orig,_xlpm.genCat))))),"OK","⚠️ À vérifier"))))</f>
        <v>OK</v>
      </c>
      <c r="T315" t="str">
        <f>IF(S315="","",IF(S315="OK (Autre)","Diagnostic générique = 'Autre – …'",IF(S315="OK","Concordance générique/principal","Écart entre générique et principal")))</f>
        <v>Concordance générique/principal</v>
      </c>
      <c r="U315" t="str" cm="1">
        <f t="array" ref="U315">_xlfn.LET(_xlpm.yr, A315, _xlpm.diag, IF(N315&lt;&gt;"", N315, H315), _xlpm.base, TRIM(SUBSTITUTE(SUBSTITUTE(SUBSTITUTE(SUBSTITUTE(_xlpm.diag,"•"," "),CHAR(160)," "),CHAR(10)," "),"  "," ")), LOWER(_xlpm.yr&amp;"|"&amp;_xlpm.base))</f>
        <v>2024|eczema vs allergie vs collagenoses (dermatomyosite)</v>
      </c>
      <c r="V315" t="str">
        <f>IFERROR(_xlfn.XLOOKUP($AB315,'Cas 2013-2017'!$K:$K,'Cas 2013-2017'!$D:$D,""),"")</f>
        <v/>
      </c>
      <c r="W315" t="str">
        <f>IFERROR(_xlfn.XLOOKUP($AB315,'Cas 2013-2017'!$K:$K,'Cas 2013-2017'!$E:$E,""),"")</f>
        <v/>
      </c>
      <c r="X315" t="str">
        <f>IFERROR(_xlfn.XLOOKUP($AB315,'Cas 2013-2017'!$K:$K,'Cas 2013-2017'!$F:$F,""),"")</f>
        <v/>
      </c>
      <c r="Y315" t="str">
        <f>IFERROR(_xlfn.XLOOKUP($AB315,'Cas 2013-2017'!$K:$K,'Cas 2013-2017'!$G:$G,""),"")</f>
        <v/>
      </c>
      <c r="Z315" t="str">
        <f>IFERROR(_xlfn.XLOOKUP($AB315,'Cas 2013-2017'!$K:$K,'Cas 2013-2017'!$I:$I,""),"")</f>
        <v/>
      </c>
      <c r="AA315" t="str">
        <f>IFERROR(_xlfn.XLOOKUP($AB315,'Cas 2013-2017'!$K:$K,'Cas 2013-2017'!$H:$H,""),"")</f>
        <v/>
      </c>
      <c r="AB315" t="str">
        <f>LOWER($A315 &amp; "|" &amp; $AF315)</f>
        <v>2024|eczema vs allergie vs collagenoses (dermatomyosite)</v>
      </c>
      <c r="AC315" t="str">
        <f>TRIM(SUBSTITUTE(SUBSTITUTE(SUBSTITUTE(SUBSTITUTE(" " &amp; LOWER(TRIM(IF($N315&lt;&gt;"", $N315, $H315))) &amp; " ", " aomi ", " arteriopathie des membres inferieurs "), " hta ", " hypertension arterielle "), " saos ", " syndrome d'apnees obstructives du sommeil "), " rgo ", " reflux gastro-oesophagien ") )</f>
        <v>eczema vs allergie vs collagenoses (dermatomyosite)</v>
      </c>
      <c r="AD315" t="str">
        <f>TRIM(SUBSTITUTE(SUBSTITUTE(SUBSTITUTE(SUBSTITUTE(" " &amp; LOWER(TRIM($AC315)) &amp; " ", " oacr ", " occlusion de l'artere centrale de la retine "), " hsd ", " hematome sous-dural "), " fa ", " fibrillation auriculaire "), " ep ", " embolie pulmonaire ") )</f>
        <v>eczema vs allergie vs collagenoses (dermatomyosite)</v>
      </c>
      <c r="AE315" t="str" cm="1">
        <f t="array" ref="AE315">_xlfn.LET(_xlpm.base, " " &amp; LOWER(TRIM($AD315))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eczema vs allergie vs collagenoses (dermatomyosite)</v>
      </c>
      <c r="AF315" t="str" cm="1">
        <f t="array" ref="AF315">_xlfn.LET(_xlpm.base, " " &amp; LOWER(TRIM($AE315))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eczema vs allergie vs collagenoses (dermatomyosite)</v>
      </c>
    </row>
    <row r="316" spans="1:32" ht="33.75">
      <c r="A316" s="8">
        <v>2024</v>
      </c>
      <c r="B316" s="10" t="s">
        <v>82</v>
      </c>
      <c r="C316" s="8" t="s">
        <v>33</v>
      </c>
      <c r="D316" s="20">
        <v>79</v>
      </c>
      <c r="E316" s="11" t="str">
        <f>IF(D316="","",IFERROR(INDEX(SSP!$E$2:$E$266, MATCH(D316, SSP!$F$2:$F$266, 0)),""))</f>
        <v>Métrorragies, saignement vaginal</v>
      </c>
      <c r="F316" s="11" t="str">
        <f>Feuil1!E316</f>
        <v>Saignement vaginal</v>
      </c>
      <c r="G316" s="12" t="s">
        <v>498</v>
      </c>
      <c r="H316" s="13" t="s">
        <v>974</v>
      </c>
      <c r="I316" s="13" t="s">
        <v>975</v>
      </c>
      <c r="J316" s="15" t="s">
        <v>976</v>
      </c>
      <c r="K316" s="9" t="s">
        <v>33</v>
      </c>
      <c r="L316" s="9" t="s">
        <v>33</v>
      </c>
      <c r="M316" s="9" t="s">
        <v>33</v>
      </c>
      <c r="N316" t="s">
        <v>977</v>
      </c>
      <c r="O316" t="str">
        <f>IFERROR(_xlfn.XLOOKUP($D316, SSP!$F:$F, SSP!$E:$E, "Inconnu"), "")</f>
        <v>Métrorragies, saignement vaginal</v>
      </c>
      <c r="P316" t="str">
        <f>IF(OR(E316="", O316=""), "", IF(LOWER(E316)=LOWER(O316), "OK", "⚠️ Libellé ≠ n°"))</f>
        <v>OK</v>
      </c>
      <c r="Q316" t="str">
        <f>IF(Feuil1!$E316="", "", IF(LOWER(Feuil1!$E316)=LOWER(E316), "Identique", "Différent"))</f>
        <v>Différent</v>
      </c>
      <c r="R316" t="str">
        <f>IF(OR(P316="⚠️ Libellé ≠ n°", O316="Inconnu"), "⚠️", IF(Q316="Différent", "ℹ️", ""))</f>
        <v>ℹ️</v>
      </c>
      <c r="S316" t="str" cm="1">
        <f t="array" ref="S316">_xlfn.LET(_xlpm.genCat,IFERROR(LOWER(TRIM(G316)),""),_xlpm.principal,IFERROR(LOWER(TRIM(H316)),""),_xlpm.orig,IFERROR(LOWER(TRIM(N316)),""),IF(OR(_xlpm.genCat="",_xlpm.principal=""),"",IF(LEFT(LOWER(G316),5)="autre","OK (Autre)",IF(OR(ISNUMBER(SEARCH(_xlpm.genCat,_xlpm.principal)),ISNUMBER(SEARCH(_xlpm.principal,_xlpm.genCat)),AND(_xlpm.orig&lt;&gt;"",OR(ISNUMBER(SEARCH(_xlpm.genCat,_xlpm.orig)),ISNUMBER(SEARCH(_xlpm.orig,_xlpm.genCat))))),"OK","⚠️ À vérifier"))))</f>
        <v>OK (Autre)</v>
      </c>
      <c r="T316" t="str">
        <f>IF(S316="","",IF(S316="OK (Autre)","Diagnostic générique = 'Autre – …'",IF(S316="OK","Concordance générique/principal","Écart entre générique et principal")))</f>
        <v>Diagnostic générique = 'Autre – …'</v>
      </c>
      <c r="U316" t="str" cm="1">
        <f t="array" ref="U316">_xlfn.LET(_xlpm.yr, A316, _xlpm.diag, IF(N316&lt;&gt;"", N316, H316), _xlpm.base, TRIM(SUBSTITUTE(SUBSTITUTE(SUBSTITUTE(SUBSTITUTE(_xlpm.diag,"•"," "),CHAR(160)," "),CHAR(10)," "),"  "," ")), LOWER(_xlpm.yr&amp;"|"&amp;_xlpm.base))</f>
        <v>2024|polype vs myome</v>
      </c>
      <c r="V316" t="str">
        <f>IFERROR(_xlfn.XLOOKUP($AB316,'Cas 2013-2017'!$K:$K,'Cas 2013-2017'!$D:$D,""),"")</f>
        <v/>
      </c>
      <c r="W316" t="str">
        <f>IFERROR(_xlfn.XLOOKUP($AB316,'Cas 2013-2017'!$K:$K,'Cas 2013-2017'!$E:$E,""),"")</f>
        <v/>
      </c>
      <c r="X316" t="str">
        <f>IFERROR(_xlfn.XLOOKUP($AB316,'Cas 2013-2017'!$K:$K,'Cas 2013-2017'!$F:$F,""),"")</f>
        <v/>
      </c>
      <c r="Y316" t="str">
        <f>IFERROR(_xlfn.XLOOKUP($AB316,'Cas 2013-2017'!$K:$K,'Cas 2013-2017'!$G:$G,""),"")</f>
        <v/>
      </c>
      <c r="Z316" t="str">
        <f>IFERROR(_xlfn.XLOOKUP($AB316,'Cas 2013-2017'!$K:$K,'Cas 2013-2017'!$I:$I,""),"")</f>
        <v/>
      </c>
      <c r="AA316" t="str">
        <f>IFERROR(_xlfn.XLOOKUP($AB316,'Cas 2013-2017'!$K:$K,'Cas 2013-2017'!$H:$H,""),"")</f>
        <v/>
      </c>
      <c r="AB316" t="str">
        <f>LOWER($A316 &amp; "|" &amp; $AF316)</f>
        <v>2024|polype vs myome</v>
      </c>
      <c r="AC316" t="str">
        <f>TRIM(SUBSTITUTE(SUBSTITUTE(SUBSTITUTE(SUBSTITUTE(" " &amp; LOWER(TRIM(IF($N316&lt;&gt;"", $N316, $H316))) &amp; " ", " aomi ", " arteriopathie des membres inferieurs "), " hta ", " hypertension arterielle "), " saos ", " syndrome d'apnees obstructives du sommeil "), " rgo ", " reflux gastro-oesophagien ") )</f>
        <v>polype vs myome</v>
      </c>
      <c r="AD316" t="str">
        <f>TRIM(SUBSTITUTE(SUBSTITUTE(SUBSTITUTE(SUBSTITUTE(" " &amp; LOWER(TRIM($AC316)) &amp; " ", " oacr ", " occlusion de l'artere centrale de la retine "), " hsd ", " hematome sous-dural "), " fa ", " fibrillation auriculaire "), " ep ", " embolie pulmonaire ") )</f>
        <v>polype vs myome</v>
      </c>
      <c r="AE316" t="str" cm="1">
        <f t="array" ref="AE316">_xlfn.LET(_xlpm.base, " " &amp; LOWER(TRIM($AD316))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polype vs myome</v>
      </c>
      <c r="AF316" t="str" cm="1">
        <f t="array" ref="AF316">_xlfn.LET(_xlpm.base, " " &amp; LOWER(TRIM($AE316))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polype vs myome</v>
      </c>
    </row>
    <row r="317" spans="1:32" ht="33.75">
      <c r="A317" s="8">
        <v>2024</v>
      </c>
      <c r="B317" s="10" t="s">
        <v>100</v>
      </c>
      <c r="C317" s="8" t="s">
        <v>33</v>
      </c>
      <c r="D317" s="20">
        <v>207</v>
      </c>
      <c r="E317" s="11" t="str">
        <f>IF(D317="","",IFERROR(INDEX(SSP!$E$2:$E$266, MATCH(D317, SSP!$F$2:$F$266, 0)),""))</f>
        <v>Céphalée aiguë intense, syndrome méningé</v>
      </c>
      <c r="F317" s="11" t="str">
        <f>Feuil1!E317</f>
        <v>Céphalée</v>
      </c>
      <c r="G317" s="12" t="s">
        <v>106</v>
      </c>
      <c r="H317" s="13" t="s">
        <v>792</v>
      </c>
      <c r="I317" s="13"/>
      <c r="J317" s="15" t="s">
        <v>113</v>
      </c>
      <c r="K317" s="9" t="s">
        <v>978</v>
      </c>
      <c r="L317" s="9" t="s">
        <v>33</v>
      </c>
      <c r="M317" s="9" t="s">
        <v>33</v>
      </c>
      <c r="N317" t="s">
        <v>979</v>
      </c>
      <c r="O317" t="str">
        <f>IFERROR(_xlfn.XLOOKUP($D317, SSP!$F:$F, SSP!$E:$E, "Inconnu"), "")</f>
        <v>Céphalée aiguë intense, syndrome méningé</v>
      </c>
      <c r="P317" t="str">
        <f>IF(OR(E317="", O317=""), "", IF(LOWER(E317)=LOWER(O317), "OK", "⚠️ Libellé ≠ n°"))</f>
        <v>OK</v>
      </c>
      <c r="Q317" t="str">
        <f>IF(Feuil1!$E317="", "", IF(LOWER(Feuil1!$E317)=LOWER(E317), "Identique", "Différent"))</f>
        <v>Différent</v>
      </c>
      <c r="R317" t="str">
        <f>IF(OR(P317="⚠️ Libellé ≠ n°", O317="Inconnu"), "⚠️", IF(Q317="Différent", "ℹ️", ""))</f>
        <v>ℹ️</v>
      </c>
      <c r="S317" t="str" cm="1">
        <f t="array" ref="S317">_xlfn.LET(_xlpm.genCat,IFERROR(LOWER(TRIM(G317)),""),_xlpm.principal,IFERROR(LOWER(TRIM(H317)),""),_xlpm.orig,IFERROR(LOWER(TRIM(N317)),""),IF(OR(_xlpm.genCat="",_xlpm.principal=""),"",IF(LEFT(LOWER(G317),5)="autre","OK (Autre)",IF(OR(ISNUMBER(SEARCH(_xlpm.genCat,_xlpm.principal)),ISNUMBER(SEARCH(_xlpm.principal,_xlpm.genCat)),AND(_xlpm.orig&lt;&gt;"",OR(ISNUMBER(SEARCH(_xlpm.genCat,_xlpm.orig)),ISNUMBER(SEARCH(_xlpm.orig,_xlpm.genCat))))),"OK","⚠️ À vérifier"))))</f>
        <v>⚠️ À vérifier</v>
      </c>
      <c r="T317" t="str">
        <f>IF(S317="","",IF(S317="OK (Autre)","Diagnostic générique = 'Autre – …'",IF(S317="OK","Concordance générique/principal","Écart entre générique et principal")))</f>
        <v>Écart entre générique et principal</v>
      </c>
      <c r="U317" t="str" cm="1">
        <f t="array" ref="U317">_xlfn.LET(_xlpm.yr, A317, _xlpm.diag, IF(N317&lt;&gt;"", N317, H317), _xlpm.base, TRIM(SUBSTITUTE(SUBSTITUTE(SUBSTITUTE(SUBSTITUTE(_xlpm.diag,"•"," "),CHAR(160)," "),CHAR(10)," "),"  "," ")), LOWER(_xlpm.yr&amp;"|"&amp;_xlpm.base))</f>
        <v>2024|cluster headache</v>
      </c>
      <c r="V317" t="str">
        <f>IFERROR(_xlfn.XLOOKUP($AB317,'Cas 2013-2017'!$K:$K,'Cas 2013-2017'!$D:$D,""),"")</f>
        <v/>
      </c>
      <c r="W317" t="str">
        <f>IFERROR(_xlfn.XLOOKUP($AB317,'Cas 2013-2017'!$K:$K,'Cas 2013-2017'!$E:$E,""),"")</f>
        <v/>
      </c>
      <c r="X317" t="str">
        <f>IFERROR(_xlfn.XLOOKUP($AB317,'Cas 2013-2017'!$K:$K,'Cas 2013-2017'!$F:$F,""),"")</f>
        <v/>
      </c>
      <c r="Y317" t="str">
        <f>IFERROR(_xlfn.XLOOKUP($AB317,'Cas 2013-2017'!$K:$K,'Cas 2013-2017'!$G:$G,""),"")</f>
        <v/>
      </c>
      <c r="Z317" t="str">
        <f>IFERROR(_xlfn.XLOOKUP($AB317,'Cas 2013-2017'!$K:$K,'Cas 2013-2017'!$I:$I,""),"")</f>
        <v/>
      </c>
      <c r="AA317" t="str">
        <f>IFERROR(_xlfn.XLOOKUP($AB317,'Cas 2013-2017'!$K:$K,'Cas 2013-2017'!$H:$H,""),"")</f>
        <v/>
      </c>
      <c r="AB317" t="str">
        <f>LOWER($A317 &amp; "|" &amp; $AF317)</f>
        <v>2024|cluster headache</v>
      </c>
      <c r="AC317" t="str">
        <f>TRIM(SUBSTITUTE(SUBSTITUTE(SUBSTITUTE(SUBSTITUTE(" " &amp; LOWER(TRIM(IF($N317&lt;&gt;"", $N317, $H317))) &amp; " ", " aomi ", " arteriopathie des membres inferieurs "), " hta ", " hypertension arterielle "), " saos ", " syndrome d'apnees obstructives du sommeil "), " rgo ", " reflux gastro-oesophagien ") )</f>
        <v>cluster headache</v>
      </c>
      <c r="AD317" t="str">
        <f>TRIM(SUBSTITUTE(SUBSTITUTE(SUBSTITUTE(SUBSTITUTE(" " &amp; LOWER(TRIM($AC317)) &amp; " ", " oacr ", " occlusion de l'artere centrale de la retine "), " hsd ", " hematome sous-dural "), " fa ", " fibrillation auriculaire "), " ep ", " embolie pulmonaire ") )</f>
        <v>cluster headache</v>
      </c>
      <c r="AE317" t="str" cm="1">
        <f t="array" ref="AE317">_xlfn.LET(_xlpm.base, " " &amp; LOWER(TRIM($AD317))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cluster headache</v>
      </c>
      <c r="AF317" t="str" cm="1">
        <f t="array" ref="AF317">_xlfn.LET(_xlpm.base, " " &amp; LOWER(TRIM($AE317))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cluster headache</v>
      </c>
    </row>
    <row r="318" spans="1:32" ht="50.25">
      <c r="A318" s="8">
        <v>2024</v>
      </c>
      <c r="B318" s="10" t="s">
        <v>51</v>
      </c>
      <c r="C318" s="8" t="s">
        <v>33</v>
      </c>
      <c r="D318" s="20">
        <v>93</v>
      </c>
      <c r="E318" s="11" t="str">
        <f>IF(D318="","",IFERROR(INDEX(SSP!$E$2:$E$266, MATCH(D318, SSP!$F$2:$F$266, 0)),""))</f>
        <v>Macules, papules, pustules, vésicules, ulcères, abcès, bulles, épaississement cutané, nécrose, tumeur cutanée</v>
      </c>
      <c r="F318" s="11" t="str">
        <f>Feuil1!E318</f>
        <v>Éruption cutanée</v>
      </c>
      <c r="G318" s="12" t="s">
        <v>183</v>
      </c>
      <c r="H318" s="13" t="s">
        <v>980</v>
      </c>
      <c r="I318" s="13"/>
      <c r="J318" s="15" t="s">
        <v>981</v>
      </c>
      <c r="K318" s="9" t="s">
        <v>33</v>
      </c>
      <c r="L318" s="9" t="s">
        <v>33</v>
      </c>
      <c r="M318" s="9" t="s">
        <v>33</v>
      </c>
      <c r="N318" t="s">
        <v>982</v>
      </c>
      <c r="O318" t="str">
        <f>IFERROR(_xlfn.XLOOKUP($D318, SSP!$F:$F, SSP!$E:$E, "Inconnu"), "")</f>
        <v>Macules, papules, pustules, vésicules, ulcères, abcès, bulles, épaississement cutané, nécrose, tumeur cutanée</v>
      </c>
      <c r="P318" t="str">
        <f>IF(OR(E318="", O318=""), "", IF(LOWER(E318)=LOWER(O318), "OK", "⚠️ Libellé ≠ n°"))</f>
        <v>OK</v>
      </c>
      <c r="Q318" t="str">
        <f>IF(Feuil1!$E318="", "", IF(LOWER(Feuil1!$E318)=LOWER(E318), "Identique", "Différent"))</f>
        <v>Différent</v>
      </c>
      <c r="R318" t="str">
        <f>IF(OR(P318="⚠️ Libellé ≠ n°", O318="Inconnu"), "⚠️", IF(Q318="Différent", "ℹ️", ""))</f>
        <v>ℹ️</v>
      </c>
      <c r="S318" t="str" cm="1">
        <f t="array" ref="S318">_xlfn.LET(_xlpm.genCat,IFERROR(LOWER(TRIM(G318)),""),_xlpm.principal,IFERROR(LOWER(TRIM(H318)),""),_xlpm.orig,IFERROR(LOWER(TRIM(N318)),""),IF(OR(_xlpm.genCat="",_xlpm.principal=""),"",IF(LEFT(LOWER(G318),5)="autre","OK (Autre)",IF(OR(ISNUMBER(SEARCH(_xlpm.genCat,_xlpm.principal)),ISNUMBER(SEARCH(_xlpm.principal,_xlpm.genCat)),AND(_xlpm.orig&lt;&gt;"",OR(ISNUMBER(SEARCH(_xlpm.genCat,_xlpm.orig)),ISNUMBER(SEARCH(_xlpm.orig,_xlpm.genCat))))),"OK","⚠️ À vérifier"))))</f>
        <v>⚠️ À vérifier</v>
      </c>
      <c r="T318" t="str">
        <f>IF(S318="","",IF(S318="OK (Autre)","Diagnostic générique = 'Autre – …'",IF(S318="OK","Concordance générique/principal","Écart entre générique et principal")))</f>
        <v>Écart entre générique et principal</v>
      </c>
      <c r="U318" t="str" cm="1">
        <f t="array" ref="U318">_xlfn.LET(_xlpm.yr, A318, _xlpm.diag, IF(N318&lt;&gt;"", N318, H318), _xlpm.base, TRIM(SUBSTITUTE(SUBSTITUTE(SUBSTITUTE(SUBSTITUTE(_xlpm.diag,"•"," "),CHAR(160)," "),CHAR(10)," "),"  "," ")), LOWER(_xlpm.yr&amp;"|"&amp;_xlpm.base))</f>
        <v>2024|teigne? eczema? parasitose?</v>
      </c>
      <c r="V318" t="str">
        <f>IFERROR(_xlfn.XLOOKUP($AB318,'Cas 2013-2017'!$K:$K,'Cas 2013-2017'!$D:$D,""),"")</f>
        <v/>
      </c>
      <c r="W318" t="str">
        <f>IFERROR(_xlfn.XLOOKUP($AB318,'Cas 2013-2017'!$K:$K,'Cas 2013-2017'!$E:$E,""),"")</f>
        <v/>
      </c>
      <c r="X318" t="str">
        <f>IFERROR(_xlfn.XLOOKUP($AB318,'Cas 2013-2017'!$K:$K,'Cas 2013-2017'!$F:$F,""),"")</f>
        <v/>
      </c>
      <c r="Y318" t="str">
        <f>IFERROR(_xlfn.XLOOKUP($AB318,'Cas 2013-2017'!$K:$K,'Cas 2013-2017'!$G:$G,""),"")</f>
        <v/>
      </c>
      <c r="Z318" t="str">
        <f>IFERROR(_xlfn.XLOOKUP($AB318,'Cas 2013-2017'!$K:$K,'Cas 2013-2017'!$I:$I,""),"")</f>
        <v/>
      </c>
      <c r="AA318" t="str">
        <f>IFERROR(_xlfn.XLOOKUP($AB318,'Cas 2013-2017'!$K:$K,'Cas 2013-2017'!$H:$H,""),"")</f>
        <v/>
      </c>
      <c r="AB318" t="str">
        <f>LOWER($A318 &amp; "|" &amp; $AF318)</f>
        <v>2024|teigne? eczema? parasitose?</v>
      </c>
      <c r="AC318" t="str">
        <f>TRIM(SUBSTITUTE(SUBSTITUTE(SUBSTITUTE(SUBSTITUTE(" " &amp; LOWER(TRIM(IF($N318&lt;&gt;"", $N318, $H318))) &amp; " ", " aomi ", " arteriopathie des membres inferieurs "), " hta ", " hypertension arterielle "), " saos ", " syndrome d'apnees obstructives du sommeil "), " rgo ", " reflux gastro-oesophagien ") )</f>
        <v>teigne? eczema? parasitose?</v>
      </c>
      <c r="AD318" t="str">
        <f>TRIM(SUBSTITUTE(SUBSTITUTE(SUBSTITUTE(SUBSTITUTE(" " &amp; LOWER(TRIM($AC318)) &amp; " ", " oacr ", " occlusion de l'artere centrale de la retine "), " hsd ", " hematome sous-dural "), " fa ", " fibrillation auriculaire "), " ep ", " embolie pulmonaire ") )</f>
        <v>teigne? eczema? parasitose?</v>
      </c>
      <c r="AE318" t="str" cm="1">
        <f t="array" ref="AE318">_xlfn.LET(_xlpm.base, " " &amp; LOWER(TRIM($AD318))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teigne? eczema? parasitose?</v>
      </c>
      <c r="AF318" t="str" cm="1">
        <f t="array" ref="AF318">_xlfn.LET(_xlpm.base, " " &amp; LOWER(TRIM($AE318))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teigne? eczema? parasitose?</v>
      </c>
    </row>
    <row r="319" spans="1:32" ht="84">
      <c r="A319" s="8">
        <v>2024</v>
      </c>
      <c r="B319" s="10" t="s">
        <v>115</v>
      </c>
      <c r="C319" s="8" t="s">
        <v>33</v>
      </c>
      <c r="D319" s="20">
        <v>18</v>
      </c>
      <c r="E319" s="11" t="str">
        <f>IF(D319="","",IFERROR(INDEX(SSP!$E$2:$E$266, MATCH(D319, SSP!$F$2:$F$266, 0)),""))</f>
        <v>Perte de vision aiguë ou progressive (brutale, lente, transitoire, partielle)</v>
      </c>
      <c r="F319" s="11" t="str">
        <f>Feuil1!E319</f>
        <v>Trouble de la vision</v>
      </c>
      <c r="G319" s="12" t="s">
        <v>240</v>
      </c>
      <c r="H319" s="13" t="s">
        <v>241</v>
      </c>
      <c r="I319" s="13"/>
      <c r="J319" s="15" t="s">
        <v>983</v>
      </c>
      <c r="K319" s="9" t="s">
        <v>984</v>
      </c>
      <c r="L319" s="9" t="s">
        <v>33</v>
      </c>
      <c r="M319" s="9" t="s">
        <v>33</v>
      </c>
      <c r="N319" t="s">
        <v>241</v>
      </c>
      <c r="O319" t="str">
        <f>IFERROR(_xlfn.XLOOKUP($D319, SSP!$F:$F, SSP!$E:$E, "Inconnu"), "")</f>
        <v>Perte de vision aiguë ou progressive (brutale, lente, transitoire, partielle)</v>
      </c>
      <c r="P319" t="str">
        <f>IF(OR(E319="", O319=""), "", IF(LOWER(E319)=LOWER(O319), "OK", "⚠️ Libellé ≠ n°"))</f>
        <v>OK</v>
      </c>
      <c r="Q319" t="str">
        <f>IF(Feuil1!$E319="", "", IF(LOWER(Feuil1!$E319)=LOWER(E319), "Identique", "Différent"))</f>
        <v>Différent</v>
      </c>
      <c r="R319" t="str">
        <f>IF(OR(P319="⚠️ Libellé ≠ n°", O319="Inconnu"), "⚠️", IF(Q319="Différent", "ℹ️", ""))</f>
        <v>ℹ️</v>
      </c>
      <c r="S319" t="str" cm="1">
        <f t="array" ref="S319">_xlfn.LET(_xlpm.genCat,IFERROR(LOWER(TRIM(G319)),""),_xlpm.principal,IFERROR(LOWER(TRIM(H319)),""),_xlpm.orig,IFERROR(LOWER(TRIM(N319)),""),IF(OR(_xlpm.genCat="",_xlpm.principal=""),"",IF(LEFT(LOWER(G319),5)="autre","OK (Autre)",IF(OR(ISNUMBER(SEARCH(_xlpm.genCat,_xlpm.principal)),ISNUMBER(SEARCH(_xlpm.principal,_xlpm.genCat)),AND(_xlpm.orig&lt;&gt;"",OR(ISNUMBER(SEARCH(_xlpm.genCat,_xlpm.orig)),ISNUMBER(SEARCH(_xlpm.orig,_xlpm.genCat))))),"OK","⚠️ À vérifier"))))</f>
        <v>⚠️ À vérifier</v>
      </c>
      <c r="T319" t="str">
        <f>IF(S319="","",IF(S319="OK (Autre)","Diagnostic générique = 'Autre – …'",IF(S319="OK","Concordance générique/principal","Écart entre générique et principal")))</f>
        <v>Écart entre générique et principal</v>
      </c>
      <c r="U319" t="str" cm="1">
        <f t="array" ref="U319">_xlfn.LET(_xlpm.yr, A319, _xlpm.diag, IF(N319&lt;&gt;"", N319, H319), _xlpm.base, TRIM(SUBSTITUTE(SUBSTITUTE(SUBSTITUTE(SUBSTITUTE(_xlpm.diag,"•"," "),CHAR(160)," "),CHAR(10)," "),"  "," ")), LOWER(_xlpm.yr&amp;"|"&amp;_xlpm.base))</f>
        <v>2024|dmla</v>
      </c>
      <c r="V319" t="str">
        <f>IFERROR(_xlfn.XLOOKUP($AB319,'Cas 2013-2017'!$K:$K,'Cas 2013-2017'!$D:$D,""),"")</f>
        <v/>
      </c>
      <c r="W319" t="str">
        <f>IFERROR(_xlfn.XLOOKUP($AB319,'Cas 2013-2017'!$K:$K,'Cas 2013-2017'!$E:$E,""),"")</f>
        <v/>
      </c>
      <c r="X319" t="str">
        <f>IFERROR(_xlfn.XLOOKUP($AB319,'Cas 2013-2017'!$K:$K,'Cas 2013-2017'!$F:$F,""),"")</f>
        <v/>
      </c>
      <c r="Y319" t="str">
        <f>IFERROR(_xlfn.XLOOKUP($AB319,'Cas 2013-2017'!$K:$K,'Cas 2013-2017'!$G:$G,""),"")</f>
        <v/>
      </c>
      <c r="Z319" t="str">
        <f>IFERROR(_xlfn.XLOOKUP($AB319,'Cas 2013-2017'!$K:$K,'Cas 2013-2017'!$I:$I,""),"")</f>
        <v/>
      </c>
      <c r="AA319" t="str">
        <f>IFERROR(_xlfn.XLOOKUP($AB319,'Cas 2013-2017'!$K:$K,'Cas 2013-2017'!$H:$H,""),"")</f>
        <v/>
      </c>
      <c r="AB319" t="str">
        <f>LOWER($A319 &amp; "|" &amp; $AF319)</f>
        <v>2024|degenerescence maculaire liee a l age</v>
      </c>
      <c r="AC319" t="str">
        <f>TRIM(SUBSTITUTE(SUBSTITUTE(SUBSTITUTE(SUBSTITUTE(" " &amp; LOWER(TRIM(IF($N319&lt;&gt;"", $N319, $H319))) &amp; " ", " aomi ", " arteriopathie des membres inferieurs "), " hta ", " hypertension arterielle "), " saos ", " syndrome d'apnees obstructives du sommeil "), " rgo ", " reflux gastro-oesophagien ") )</f>
        <v>dmla</v>
      </c>
      <c r="AD319" t="str">
        <f>TRIM(SUBSTITUTE(SUBSTITUTE(SUBSTITUTE(SUBSTITUTE(" " &amp; LOWER(TRIM($AC319)) &amp; " ", " oacr ", " occlusion de l'artere centrale de la retine "), " hsd ", " hematome sous-dural "), " fa ", " fibrillation auriculaire "), " ep ", " embolie pulmonaire ") )</f>
        <v>dmla</v>
      </c>
      <c r="AE319" t="str" cm="1">
        <f t="array" ref="AE319">_xlfn.LET(_xlpm.base, " " &amp; LOWER(TRIM($AD319))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degenerescence maculaire liee a l age</v>
      </c>
      <c r="AF319" t="str" cm="1">
        <f t="array" ref="AF319">_xlfn.LET(_xlpm.base, " " &amp; LOWER(TRIM($AE319))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degenerescence maculaire liee a l age</v>
      </c>
    </row>
    <row r="320" spans="1:32" ht="50.25">
      <c r="A320" s="8">
        <v>2024</v>
      </c>
      <c r="B320" s="10" t="s">
        <v>68</v>
      </c>
      <c r="C320" s="8" t="s">
        <v>352</v>
      </c>
      <c r="D320" s="20">
        <v>210</v>
      </c>
      <c r="E320" s="11" t="str">
        <f>IF(D320="","",IFERROR(INDEX(SSP!$E$2:$E$266, MATCH(D320, SSP!$F$2:$F$266, 0)),""))</f>
        <v>Hématémèse</v>
      </c>
      <c r="F320" s="11" t="str">
        <f>Feuil1!E320</f>
        <v>Hématémèse</v>
      </c>
      <c r="G320" s="12" t="s">
        <v>321</v>
      </c>
      <c r="H320" s="13" t="s">
        <v>985</v>
      </c>
      <c r="I320" s="13" t="s">
        <v>986</v>
      </c>
      <c r="J320" s="15" t="s">
        <v>987</v>
      </c>
      <c r="K320" s="9" t="s">
        <v>988</v>
      </c>
      <c r="L320" s="9" t="s">
        <v>33</v>
      </c>
      <c r="M320" s="9" t="s">
        <v>33</v>
      </c>
      <c r="N320" t="s">
        <v>985</v>
      </c>
      <c r="O320" t="str">
        <f>IFERROR(_xlfn.XLOOKUP($D320, SSP!$F:$F, SSP!$E:$E, "Inconnu"), "")</f>
        <v>Hématémèse</v>
      </c>
      <c r="P320" t="str">
        <f>IF(OR(E320="", O320=""), "", IF(LOWER(E320)=LOWER(O320), "OK", "⚠️ Libellé ≠ n°"))</f>
        <v>OK</v>
      </c>
      <c r="Q320" t="str">
        <f>IF(Feuil1!$E320="", "", IF(LOWER(Feuil1!$E320)=LOWER(E320), "Identique", "Différent"))</f>
        <v>Identique</v>
      </c>
      <c r="R320" t="str">
        <f>IF(OR(P320="⚠️ Libellé ≠ n°", O320="Inconnu"), "⚠️", IF(Q320="Différent", "ℹ️", ""))</f>
        <v/>
      </c>
      <c r="S320" t="str" cm="1">
        <f t="array" ref="S320">_xlfn.LET(_xlpm.genCat,IFERROR(LOWER(TRIM(G320)),""),_xlpm.principal,IFERROR(LOWER(TRIM(H320)),""),_xlpm.orig,IFERROR(LOWER(TRIM(N320)),""),IF(OR(_xlpm.genCat="",_xlpm.principal=""),"",IF(LEFT(LOWER(G320),5)="autre","OK (Autre)",IF(OR(ISNUMBER(SEARCH(_xlpm.genCat,_xlpm.principal)),ISNUMBER(SEARCH(_xlpm.principal,_xlpm.genCat)),AND(_xlpm.orig&lt;&gt;"",OR(ISNUMBER(SEARCH(_xlpm.genCat,_xlpm.orig)),ISNUMBER(SEARCH(_xlpm.orig,_xlpm.genCat))))),"OK","⚠️ À vérifier"))))</f>
        <v>⚠️ À vérifier</v>
      </c>
      <c r="T320" t="str">
        <f>IF(S320="","",IF(S320="OK (Autre)","Diagnostic générique = 'Autre – …'",IF(S320="OK","Concordance générique/principal","Écart entre générique et principal")))</f>
        <v>Écart entre générique et principal</v>
      </c>
      <c r="U320" t="str" cm="1">
        <f t="array" ref="U320">_xlfn.LET(_xlpm.yr, A320, _xlpm.diag, IF(N320&lt;&gt;"", N320, H320), _xlpm.base, TRIM(SUBSTITUTE(SUBSTITUTE(SUBSTITUTE(SUBSTITUTE(_xlpm.diag,"•"," "),CHAR(160)," "),CHAR(10)," "),"  "," ")), LOWER(_xlpm.yr&amp;"|"&amp;_xlpm.base))</f>
        <v>2024|mallory-weiss</v>
      </c>
      <c r="V320" t="str">
        <f>IFERROR(_xlfn.XLOOKUP($AB320,'Cas 2013-2017'!$K:$K,'Cas 2013-2017'!$D:$D,""),"")</f>
        <v/>
      </c>
      <c r="W320" t="str">
        <f>IFERROR(_xlfn.XLOOKUP($AB320,'Cas 2013-2017'!$K:$K,'Cas 2013-2017'!$E:$E,""),"")</f>
        <v/>
      </c>
      <c r="X320" t="str">
        <f>IFERROR(_xlfn.XLOOKUP($AB320,'Cas 2013-2017'!$K:$K,'Cas 2013-2017'!$F:$F,""),"")</f>
        <v/>
      </c>
      <c r="Y320" t="str">
        <f>IFERROR(_xlfn.XLOOKUP($AB320,'Cas 2013-2017'!$K:$K,'Cas 2013-2017'!$G:$G,""),"")</f>
        <v/>
      </c>
      <c r="Z320" t="str">
        <f>IFERROR(_xlfn.XLOOKUP($AB320,'Cas 2013-2017'!$K:$K,'Cas 2013-2017'!$I:$I,""),"")</f>
        <v/>
      </c>
      <c r="AA320" t="str">
        <f>IFERROR(_xlfn.XLOOKUP($AB320,'Cas 2013-2017'!$K:$K,'Cas 2013-2017'!$H:$H,""),"")</f>
        <v/>
      </c>
      <c r="AB320" t="str">
        <f>LOWER($A320 &amp; "|" &amp; $AF320)</f>
        <v>2024|mallory-weiss</v>
      </c>
      <c r="AC320" t="str">
        <f>TRIM(SUBSTITUTE(SUBSTITUTE(SUBSTITUTE(SUBSTITUTE(" " &amp; LOWER(TRIM(IF($N320&lt;&gt;"", $N320, $H320))) &amp; " ", " aomi ", " arteriopathie des membres inferieurs "), " hta ", " hypertension arterielle "), " saos ", " syndrome d'apnees obstructives du sommeil "), " rgo ", " reflux gastro-oesophagien ") )</f>
        <v>mallory-weiss</v>
      </c>
      <c r="AD320" t="str">
        <f>TRIM(SUBSTITUTE(SUBSTITUTE(SUBSTITUTE(SUBSTITUTE(" " &amp; LOWER(TRIM($AC320)) &amp; " ", " oacr ", " occlusion de l'artere centrale de la retine "), " hsd ", " hematome sous-dural "), " fa ", " fibrillation auriculaire "), " ep ", " embolie pulmonaire ") )</f>
        <v>mallory-weiss</v>
      </c>
      <c r="AE320" t="str" cm="1">
        <f t="array" ref="AE320">_xlfn.LET(_xlpm.base, " " &amp; LOWER(TRIM($AD320))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mallory-weiss</v>
      </c>
      <c r="AF320" t="str" cm="1">
        <f t="array" ref="AF320">_xlfn.LET(_xlpm.base, " " &amp; LOWER(TRIM($AE320))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mallory-weiss</v>
      </c>
    </row>
    <row r="321" spans="1:32" ht="84">
      <c r="A321" s="8">
        <v>2024</v>
      </c>
      <c r="B321" s="10" t="s">
        <v>141</v>
      </c>
      <c r="C321" s="8" t="s">
        <v>33</v>
      </c>
      <c r="D321" s="20">
        <v>122</v>
      </c>
      <c r="E321" s="11" t="str">
        <f>IF(D321="","",IFERROR(INDEX(SSP!$E$2:$E$266, MATCH(D321, SSP!$F$2:$F$266, 0)),""))</f>
        <v>Changement d’humeur</v>
      </c>
      <c r="F321" s="11" t="str">
        <f>Feuil1!E321</f>
        <v> </v>
      </c>
      <c r="G321" s="12" t="s">
        <v>142</v>
      </c>
      <c r="H321" s="13" t="s">
        <v>142</v>
      </c>
      <c r="I321" s="13"/>
      <c r="J321" s="15" t="s">
        <v>989</v>
      </c>
      <c r="K321" s="9" t="s">
        <v>33</v>
      </c>
      <c r="L321" s="9" t="s">
        <v>33</v>
      </c>
      <c r="M321" s="9" t="s">
        <v>33</v>
      </c>
      <c r="N321" t="s">
        <v>142</v>
      </c>
      <c r="O321" t="str">
        <f>IFERROR(_xlfn.XLOOKUP($D321, SSP!$F:$F, SSP!$E:$E, "Inconnu"), "")</f>
        <v>Changement d’humeur</v>
      </c>
      <c r="P321" t="str">
        <f>IF(OR(E321="", O321=""), "", IF(LOWER(E321)=LOWER(O321), "OK", "⚠️ Libellé ≠ n°"))</f>
        <v>OK</v>
      </c>
      <c r="Q321" t="str">
        <f>IF(Feuil1!$E321="", "", IF(LOWER(Feuil1!$E321)=LOWER(E321), "Identique", "Différent"))</f>
        <v>Différent</v>
      </c>
      <c r="R321" t="str">
        <f>IF(OR(P321="⚠️ Libellé ≠ n°", O321="Inconnu"), "⚠️", IF(Q321="Différent", "ℹ️", ""))</f>
        <v>ℹ️</v>
      </c>
      <c r="S321" t="str" cm="1">
        <f t="array" ref="S321">_xlfn.LET(_xlpm.genCat,IFERROR(LOWER(TRIM(G321)),""),_xlpm.principal,IFERROR(LOWER(TRIM(H321)),""),_xlpm.orig,IFERROR(LOWER(TRIM(N321)),""),IF(OR(_xlpm.genCat="",_xlpm.principal=""),"",IF(LEFT(LOWER(G321),5)="autre","OK (Autre)",IF(OR(ISNUMBER(SEARCH(_xlpm.genCat,_xlpm.principal)),ISNUMBER(SEARCH(_xlpm.principal,_xlpm.genCat)),AND(_xlpm.orig&lt;&gt;"",OR(ISNUMBER(SEARCH(_xlpm.genCat,_xlpm.orig)),ISNUMBER(SEARCH(_xlpm.orig,_xlpm.genCat))))),"OK","⚠️ À vérifier"))))</f>
        <v>OK</v>
      </c>
      <c r="T321" t="str">
        <f>IF(S321="","",IF(S321="OK (Autre)","Diagnostic générique = 'Autre – …'",IF(S321="OK","Concordance générique/principal","Écart entre générique et principal")))</f>
        <v>Concordance générique/principal</v>
      </c>
      <c r="U321" t="str" cm="1">
        <f t="array" ref="U321">_xlfn.LET(_xlpm.yr, A321, _xlpm.diag, IF(N321&lt;&gt;"", N321, H321), _xlpm.base, TRIM(SUBSTITUTE(SUBSTITUTE(SUBSTITUTE(SUBSTITUTE(_xlpm.diag,"•"," "),CHAR(160)," "),CHAR(10)," "),"  "," ")), LOWER(_xlpm.yr&amp;"|"&amp;_xlpm.base))</f>
        <v>2024|trouble bipolaire</v>
      </c>
      <c r="V321" t="str">
        <f>IFERROR(_xlfn.XLOOKUP($AB321,'Cas 2013-2017'!$K:$K,'Cas 2013-2017'!$D:$D,""),"")</f>
        <v/>
      </c>
      <c r="W321" t="str">
        <f>IFERROR(_xlfn.XLOOKUP($AB321,'Cas 2013-2017'!$K:$K,'Cas 2013-2017'!$E:$E,""),"")</f>
        <v/>
      </c>
      <c r="X321" t="str">
        <f>IFERROR(_xlfn.XLOOKUP($AB321,'Cas 2013-2017'!$K:$K,'Cas 2013-2017'!$F:$F,""),"")</f>
        <v/>
      </c>
      <c r="Y321" t="str">
        <f>IFERROR(_xlfn.XLOOKUP($AB321,'Cas 2013-2017'!$K:$K,'Cas 2013-2017'!$G:$G,""),"")</f>
        <v/>
      </c>
      <c r="Z321" t="str">
        <f>IFERROR(_xlfn.XLOOKUP($AB321,'Cas 2013-2017'!$K:$K,'Cas 2013-2017'!$I:$I,""),"")</f>
        <v/>
      </c>
      <c r="AA321" t="str">
        <f>IFERROR(_xlfn.XLOOKUP($AB321,'Cas 2013-2017'!$K:$K,'Cas 2013-2017'!$H:$H,""),"")</f>
        <v/>
      </c>
      <c r="AB321" t="str">
        <f>LOWER($A321 &amp; "|" &amp; $AF321)</f>
        <v>2024|trouble bipolaire</v>
      </c>
      <c r="AC321" t="str">
        <f>TRIM(SUBSTITUTE(SUBSTITUTE(SUBSTITUTE(SUBSTITUTE(" " &amp; LOWER(TRIM(IF($N321&lt;&gt;"", $N321, $H321))) &amp; " ", " aomi ", " arteriopathie des membres inferieurs "), " hta ", " hypertension arterielle "), " saos ", " syndrome d'apnees obstructives du sommeil "), " rgo ", " reflux gastro-oesophagien ") )</f>
        <v>trouble bipolaire</v>
      </c>
      <c r="AD321" t="str">
        <f>TRIM(SUBSTITUTE(SUBSTITUTE(SUBSTITUTE(SUBSTITUTE(" " &amp; LOWER(TRIM($AC321)) &amp; " ", " oacr ", " occlusion de l'artere centrale de la retine "), " hsd ", " hematome sous-dural "), " fa ", " fibrillation auriculaire "), " ep ", " embolie pulmonaire ") )</f>
        <v>trouble bipolaire</v>
      </c>
      <c r="AE321" t="str" cm="1">
        <f t="array" ref="AE321">_xlfn.LET(_xlpm.base, " " &amp; LOWER(TRIM($AD321))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bipolaire</v>
      </c>
      <c r="AF321" t="str" cm="1">
        <f t="array" ref="AF321">_xlfn.LET(_xlpm.base, " " &amp; LOWER(TRIM($AE321))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bipolaire</v>
      </c>
    </row>
    <row r="322" spans="1:32" ht="16.5">
      <c r="A322" s="8">
        <v>2024</v>
      </c>
      <c r="B322" s="10" t="s">
        <v>64</v>
      </c>
      <c r="C322" s="8" t="s">
        <v>990</v>
      </c>
      <c r="D322" s="20">
        <v>16</v>
      </c>
      <c r="E322" s="11" t="str">
        <f>IF(D322="","",IFERROR(INDEX(SSP!$E$2:$E$266, MATCH(D322, SSP!$F$2:$F$266, 0)),""))</f>
        <v>Perte de poids, malnutrition, anorexie</v>
      </c>
      <c r="F322" s="11" t="str">
        <f>Feuil1!E322</f>
        <v> </v>
      </c>
      <c r="G322" s="12" t="s">
        <v>65</v>
      </c>
      <c r="H322" s="13" t="s">
        <v>991</v>
      </c>
      <c r="I322" s="13" t="s">
        <v>992</v>
      </c>
      <c r="J322" s="15" t="s">
        <v>993</v>
      </c>
      <c r="K322" s="9" t="s">
        <v>33</v>
      </c>
      <c r="L322" s="9" t="s">
        <v>33</v>
      </c>
      <c r="M322" s="9" t="s">
        <v>33</v>
      </c>
      <c r="N322" t="s">
        <v>991</v>
      </c>
      <c r="O322" t="str">
        <f>IFERROR(_xlfn.XLOOKUP($D322, SSP!$F:$F, SSP!$E:$E, "Inconnu"), "")</f>
        <v>Perte de poids, malnutrition, anorexie</v>
      </c>
      <c r="P322" t="str">
        <f>IF(OR(E322="", O322=""), "", IF(LOWER(E322)=LOWER(O322), "OK", "⚠️ Libellé ≠ n°"))</f>
        <v>OK</v>
      </c>
      <c r="Q322" t="str">
        <f>IF(Feuil1!$E322="", "", IF(LOWER(Feuil1!$E322)=LOWER(E322), "Identique", "Différent"))</f>
        <v>Différent</v>
      </c>
      <c r="R322" t="str">
        <f>IF(OR(P322="⚠️ Libellé ≠ n°", O322="Inconnu"), "⚠️", IF(Q322="Différent", "ℹ️", ""))</f>
        <v>ℹ️</v>
      </c>
      <c r="S322" t="str" cm="1">
        <f t="array" ref="S322">_xlfn.LET(_xlpm.genCat,IFERROR(LOWER(TRIM(G322)),""),_xlpm.principal,IFERROR(LOWER(TRIM(H322)),""),_xlpm.orig,IFERROR(LOWER(TRIM(N322)),""),IF(OR(_xlpm.genCat="",_xlpm.principal=""),"",IF(LEFT(LOWER(G322),5)="autre","OK (Autre)",IF(OR(ISNUMBER(SEARCH(_xlpm.genCat,_xlpm.principal)),ISNUMBER(SEARCH(_xlpm.principal,_xlpm.genCat)),AND(_xlpm.orig&lt;&gt;"",OR(ISNUMBER(SEARCH(_xlpm.genCat,_xlpm.orig)),ISNUMBER(SEARCH(_xlpm.orig,_xlpm.genCat))))),"OK","⚠️ À vérifier"))))</f>
        <v>OK</v>
      </c>
      <c r="T322" t="str">
        <f>IF(S322="","",IF(S322="OK (Autre)","Diagnostic générique = 'Autre – …'",IF(S322="OK","Concordance générique/principal","Écart entre générique et principal")))</f>
        <v>Concordance générique/principal</v>
      </c>
      <c r="U322" t="str" cm="1">
        <f t="array" ref="U322">_xlfn.LET(_xlpm.yr, A322, _xlpm.diag, IF(N322&lt;&gt;"", N322, H322), _xlpm.base, TRIM(SUBSTITUTE(SUBSTITUTE(SUBSTITUTE(SUBSTITUTE(_xlpm.diag,"•"," "),CHAR(160)," "),CHAR(10)," "),"  "," ")), LOWER(_xlpm.yr&amp;"|"&amp;_xlpm.base))</f>
        <v>2024|cancer de la vessie</v>
      </c>
      <c r="V322" t="str">
        <f>IFERROR(_xlfn.XLOOKUP($AB322,'Cas 2013-2017'!$K:$K,'Cas 2013-2017'!$D:$D,""),"")</f>
        <v/>
      </c>
      <c r="W322" t="str">
        <f>IFERROR(_xlfn.XLOOKUP($AB322,'Cas 2013-2017'!$K:$K,'Cas 2013-2017'!$E:$E,""),"")</f>
        <v/>
      </c>
      <c r="X322" t="str">
        <f>IFERROR(_xlfn.XLOOKUP($AB322,'Cas 2013-2017'!$K:$K,'Cas 2013-2017'!$F:$F,""),"")</f>
        <v/>
      </c>
      <c r="Y322" t="str">
        <f>IFERROR(_xlfn.XLOOKUP($AB322,'Cas 2013-2017'!$K:$K,'Cas 2013-2017'!$G:$G,""),"")</f>
        <v/>
      </c>
      <c r="Z322" t="str">
        <f>IFERROR(_xlfn.XLOOKUP($AB322,'Cas 2013-2017'!$K:$K,'Cas 2013-2017'!$I:$I,""),"")</f>
        <v/>
      </c>
      <c r="AA322" t="str">
        <f>IFERROR(_xlfn.XLOOKUP($AB322,'Cas 2013-2017'!$K:$K,'Cas 2013-2017'!$H:$H,""),"")</f>
        <v/>
      </c>
      <c r="AB322" t="str">
        <f>LOWER($A322 &amp; "|" &amp; $AF322)</f>
        <v>2024|cancer de la vessie</v>
      </c>
      <c r="AC322" t="str">
        <f>TRIM(SUBSTITUTE(SUBSTITUTE(SUBSTITUTE(SUBSTITUTE(" " &amp; LOWER(TRIM(IF($N322&lt;&gt;"", $N322, $H322))) &amp; " ", " aomi ", " arteriopathie des membres inferieurs "), " hta ", " hypertension arterielle "), " saos ", " syndrome d'apnees obstructives du sommeil "), " rgo ", " reflux gastro-oesophagien ") )</f>
        <v>cancer de la vessie</v>
      </c>
      <c r="AD322" t="str">
        <f>TRIM(SUBSTITUTE(SUBSTITUTE(SUBSTITUTE(SUBSTITUTE(" " &amp; LOWER(TRIM($AC322)) &amp; " ", " oacr ", " occlusion de l'artere centrale de la retine "), " hsd ", " hematome sous-dural "), " fa ", " fibrillation auriculaire "), " ep ", " embolie pulmonaire ") )</f>
        <v>cancer de la vessie</v>
      </c>
      <c r="AE322" t="str" cm="1">
        <f t="array" ref="AE322">_xlfn.LET(_xlpm.base, " " &amp; LOWER(TRIM($AD322))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cancer de la vessie</v>
      </c>
      <c r="AF322" t="str" cm="1">
        <f t="array" ref="AF322">_xlfn.LET(_xlpm.base, " " &amp; LOWER(TRIM($AE322))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cancer de la vessie</v>
      </c>
    </row>
    <row r="323" spans="1:32" ht="16.5">
      <c r="A323" s="8">
        <v>2024</v>
      </c>
      <c r="B323" s="10" t="s">
        <v>100</v>
      </c>
      <c r="C323" s="8" t="s">
        <v>33</v>
      </c>
      <c r="D323" s="20">
        <v>103</v>
      </c>
      <c r="E323" s="11" t="str">
        <f>IF(D323="","",IFERROR(INDEX(SSP!$E$2:$E$266, MATCH(D323, SSP!$F$2:$F$266, 0)),""))</f>
        <v>Paresie, paralysie</v>
      </c>
      <c r="F323" s="11" t="str">
        <f>Feuil1!E323</f>
        <v> </v>
      </c>
      <c r="G323" s="12" t="s">
        <v>599</v>
      </c>
      <c r="H323" s="13" t="s">
        <v>600</v>
      </c>
      <c r="I323" s="13" t="s">
        <v>994</v>
      </c>
      <c r="J323" s="15" t="s">
        <v>995</v>
      </c>
      <c r="K323" s="9" t="s">
        <v>33</v>
      </c>
      <c r="L323" s="9" t="s">
        <v>33</v>
      </c>
      <c r="M323" s="9" t="s">
        <v>33</v>
      </c>
      <c r="N323" t="s">
        <v>996</v>
      </c>
      <c r="O323" t="str">
        <f>IFERROR(_xlfn.XLOOKUP($D323, SSP!$F:$F, SSP!$E:$E, "Inconnu"), "")</f>
        <v>Paresie, paralysie</v>
      </c>
      <c r="P323" t="str">
        <f>IF(OR(E323="", O323=""), "", IF(LOWER(E323)=LOWER(O323), "OK", "⚠️ Libellé ≠ n°"))</f>
        <v>OK</v>
      </c>
      <c r="Q323" t="str">
        <f>IF(Feuil1!$E323="", "", IF(LOWER(Feuil1!$E323)=LOWER(E323), "Identique", "Différent"))</f>
        <v>Différent</v>
      </c>
      <c r="R323" t="str">
        <f>IF(OR(P323="⚠️ Libellé ≠ n°", O323="Inconnu"), "⚠️", IF(Q323="Différent", "ℹ️", ""))</f>
        <v>ℹ️</v>
      </c>
      <c r="S323" t="str" cm="1">
        <f t="array" ref="S323">_xlfn.LET(_xlpm.genCat,IFERROR(LOWER(TRIM(G323)),""),_xlpm.principal,IFERROR(LOWER(TRIM(H323)),""),_xlpm.orig,IFERROR(LOWER(TRIM(N323)),""),IF(OR(_xlpm.genCat="",_xlpm.principal=""),"",IF(LEFT(LOWER(G323),5)="autre","OK (Autre)",IF(OR(ISNUMBER(SEARCH(_xlpm.genCat,_xlpm.principal)),ISNUMBER(SEARCH(_xlpm.principal,_xlpm.genCat)),AND(_xlpm.orig&lt;&gt;"",OR(ISNUMBER(SEARCH(_xlpm.genCat,_xlpm.orig)),ISNUMBER(SEARCH(_xlpm.orig,_xlpm.genCat))))),"OK","⚠️ À vérifier"))))</f>
        <v>⚠️ À vérifier</v>
      </c>
      <c r="T323" t="str">
        <f>IF(S323="","",IF(S323="OK (Autre)","Diagnostic générique = 'Autre – …'",IF(S323="OK","Concordance générique/principal","Écart entre générique et principal")))</f>
        <v>Écart entre générique et principal</v>
      </c>
      <c r="U323" t="str" cm="1">
        <f t="array" ref="U323">_xlfn.LET(_xlpm.yr, A323, _xlpm.diag, IF(N323&lt;&gt;"", N323, H323), _xlpm.base, TRIM(SUBSTITUTE(SUBSTITUTE(SUBSTITUTE(SUBSTITUTE(_xlpm.diag,"•"," "),CHAR(160)," "),CHAR(10)," "),"  "," ")), LOWER(_xlpm.yr&amp;"|"&amp;_xlpm.base))</f>
        <v>2024|guillain-barré</v>
      </c>
      <c r="V323" t="str">
        <f>IFERROR(_xlfn.XLOOKUP($AB323,'Cas 2013-2017'!$K:$K,'Cas 2013-2017'!$D:$D,""),"")</f>
        <v/>
      </c>
      <c r="W323" t="str">
        <f>IFERROR(_xlfn.XLOOKUP($AB323,'Cas 2013-2017'!$K:$K,'Cas 2013-2017'!$E:$E,""),"")</f>
        <v/>
      </c>
      <c r="X323" t="str">
        <f>IFERROR(_xlfn.XLOOKUP($AB323,'Cas 2013-2017'!$K:$K,'Cas 2013-2017'!$F:$F,""),"")</f>
        <v/>
      </c>
      <c r="Y323" t="str">
        <f>IFERROR(_xlfn.XLOOKUP($AB323,'Cas 2013-2017'!$K:$K,'Cas 2013-2017'!$G:$G,""),"")</f>
        <v/>
      </c>
      <c r="Z323" t="str">
        <f>IFERROR(_xlfn.XLOOKUP($AB323,'Cas 2013-2017'!$K:$K,'Cas 2013-2017'!$I:$I,""),"")</f>
        <v/>
      </c>
      <c r="AA323" t="str">
        <f>IFERROR(_xlfn.XLOOKUP($AB323,'Cas 2013-2017'!$K:$K,'Cas 2013-2017'!$H:$H,""),"")</f>
        <v/>
      </c>
      <c r="AB323" t="str">
        <f>LOWER($A323 &amp; "|" &amp; $AF323)</f>
        <v>2024|guillain-barré</v>
      </c>
      <c r="AC323" t="str">
        <f>TRIM(SUBSTITUTE(SUBSTITUTE(SUBSTITUTE(SUBSTITUTE(" " &amp; LOWER(TRIM(IF($N323&lt;&gt;"", $N323, $H323))) &amp; " ", " aomi ", " arteriopathie des membres inferieurs "), " hta ", " hypertension arterielle "), " saos ", " syndrome d'apnees obstructives du sommeil "), " rgo ", " reflux gastro-oesophagien ") )</f>
        <v>guillain-barré</v>
      </c>
      <c r="AD323" t="str">
        <f>TRIM(SUBSTITUTE(SUBSTITUTE(SUBSTITUTE(SUBSTITUTE(" " &amp; LOWER(TRIM($AC323)) &amp; " ", " oacr ", " occlusion de l'artere centrale de la retine "), " hsd ", " hematome sous-dural "), " fa ", " fibrillation auriculaire "), " ep ", " embolie pulmonaire ") )</f>
        <v>guillain-barré</v>
      </c>
      <c r="AE323" t="str" cm="1">
        <f t="array" ref="AE323">_xlfn.LET(_xlpm.base, " " &amp; LOWER(TRIM($AD323))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guillain-barré</v>
      </c>
      <c r="AF323" t="str" cm="1">
        <f t="array" ref="AF323">_xlfn.LET(_xlpm.base, " " &amp; LOWER(TRIM($AE323))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guillain-barré</v>
      </c>
    </row>
    <row r="324" spans="1:32" ht="50.25">
      <c r="A324" s="8">
        <v>2024</v>
      </c>
      <c r="B324" s="10" t="s">
        <v>82</v>
      </c>
      <c r="C324" s="8" t="s">
        <v>352</v>
      </c>
      <c r="D324" s="20">
        <v>130</v>
      </c>
      <c r="E324" s="11" t="str">
        <f>IF(D324="","",IFERROR(INDEX(SSP!$E$2:$E$266, MATCH(D324, SSP!$F$2:$F$266, 0)),""))</f>
        <v>Usage non médical de substances, dépendance (tabac, alcool, drogues, jeux, etc.)</v>
      </c>
      <c r="F324" s="11" t="str">
        <f>Feuil1!E324</f>
        <v> </v>
      </c>
      <c r="G324" s="12" t="s">
        <v>56</v>
      </c>
      <c r="H324" s="13" t="s">
        <v>997</v>
      </c>
      <c r="I324" s="13"/>
      <c r="J324" s="15" t="s">
        <v>998</v>
      </c>
      <c r="K324" s="9" t="s">
        <v>33</v>
      </c>
      <c r="L324" s="9" t="s">
        <v>33</v>
      </c>
      <c r="M324" s="9" t="s">
        <v>33</v>
      </c>
      <c r="N324" t="s">
        <v>997</v>
      </c>
      <c r="O324" t="str">
        <f>IFERROR(_xlfn.XLOOKUP($D324, SSP!$F:$F, SSP!$E:$E, "Inconnu"), "")</f>
        <v>Usage non médical de substances, dépendance (tabac, alcool, drogues, jeux, etc.)</v>
      </c>
      <c r="P324" t="str">
        <f>IF(OR(E324="", O324=""), "", IF(LOWER(E324)=LOWER(O324), "OK", "⚠️ Libellé ≠ n°"))</f>
        <v>OK</v>
      </c>
      <c r="Q324" t="str">
        <f>IF(Feuil1!$E324="", "", IF(LOWER(Feuil1!$E324)=LOWER(E324), "Identique", "Différent"))</f>
        <v>Différent</v>
      </c>
      <c r="R324" t="str">
        <f>IF(OR(P324="⚠️ Libellé ≠ n°", O324="Inconnu"), "⚠️", IF(Q324="Différent", "ℹ️", ""))</f>
        <v>ℹ️</v>
      </c>
      <c r="S324" t="str" cm="1">
        <f t="array" ref="S324">_xlfn.LET(_xlpm.genCat,IFERROR(LOWER(TRIM(G324)),""),_xlpm.principal,IFERROR(LOWER(TRIM(H324)),""),_xlpm.orig,IFERROR(LOWER(TRIM(N324)),""),IF(OR(_xlpm.genCat="",_xlpm.principal=""),"",IF(LEFT(LOWER(G324),5)="autre","OK (Autre)",IF(OR(ISNUMBER(SEARCH(_xlpm.genCat,_xlpm.principal)),ISNUMBER(SEARCH(_xlpm.principal,_xlpm.genCat)),AND(_xlpm.orig&lt;&gt;"",OR(ISNUMBER(SEARCH(_xlpm.genCat,_xlpm.orig)),ISNUMBER(SEARCH(_xlpm.orig,_xlpm.genCat))))),"OK","⚠️ À vérifier"))))</f>
        <v>⚠️ À vérifier</v>
      </c>
      <c r="T324" t="str">
        <f>IF(S324="","",IF(S324="OK (Autre)","Diagnostic générique = 'Autre – …'",IF(S324="OK","Concordance générique/principal","Écart entre générique et principal")))</f>
        <v>Écart entre générique et principal</v>
      </c>
      <c r="U324" t="str" cm="1">
        <f t="array" ref="U324">_xlfn.LET(_xlpm.yr, A324, _xlpm.diag, IF(N324&lt;&gt;"", N324, H324), _xlpm.base, TRIM(SUBSTITUTE(SUBSTITUTE(SUBSTITUTE(SUBSTITUTE(_xlpm.diag,"•"," "),CHAR(160)," "),CHAR(10)," "),"  "," ")), LOWER(_xlpm.yr&amp;"|"&amp;_xlpm.base))</f>
        <v>2024|syndrome de sevrage alcoolique</v>
      </c>
      <c r="V324" t="str">
        <f>IFERROR(_xlfn.XLOOKUP($AB324,'Cas 2013-2017'!$K:$K,'Cas 2013-2017'!$D:$D,""),"")</f>
        <v/>
      </c>
      <c r="W324" t="str">
        <f>IFERROR(_xlfn.XLOOKUP($AB324,'Cas 2013-2017'!$K:$K,'Cas 2013-2017'!$E:$E,""),"")</f>
        <v/>
      </c>
      <c r="X324" t="str">
        <f>IFERROR(_xlfn.XLOOKUP($AB324,'Cas 2013-2017'!$K:$K,'Cas 2013-2017'!$F:$F,""),"")</f>
        <v/>
      </c>
      <c r="Y324" t="str">
        <f>IFERROR(_xlfn.XLOOKUP($AB324,'Cas 2013-2017'!$K:$K,'Cas 2013-2017'!$G:$G,""),"")</f>
        <v/>
      </c>
      <c r="Z324" t="str">
        <f>IFERROR(_xlfn.XLOOKUP($AB324,'Cas 2013-2017'!$K:$K,'Cas 2013-2017'!$I:$I,""),"")</f>
        <v/>
      </c>
      <c r="AA324" t="str">
        <f>IFERROR(_xlfn.XLOOKUP($AB324,'Cas 2013-2017'!$K:$K,'Cas 2013-2017'!$H:$H,""),"")</f>
        <v/>
      </c>
      <c r="AB324" t="str">
        <f>LOWER($A324 &amp; "|" &amp; $AF324)</f>
        <v>2024|syndrome de sevrage alcoolique</v>
      </c>
      <c r="AC324" t="str">
        <f>TRIM(SUBSTITUTE(SUBSTITUTE(SUBSTITUTE(SUBSTITUTE(" " &amp; LOWER(TRIM(IF($N324&lt;&gt;"", $N324, $H324))) &amp; " ", " aomi ", " arteriopathie des membres inferieurs "), " hta ", " hypertension arterielle "), " saos ", " syndrome d'apnees obstructives du sommeil "), " rgo ", " reflux gastro-oesophagien ") )</f>
        <v>syndrome de sevrage alcoolique</v>
      </c>
      <c r="AD324" t="str">
        <f>TRIM(SUBSTITUTE(SUBSTITUTE(SUBSTITUTE(SUBSTITUTE(" " &amp; LOWER(TRIM($AC324)) &amp; " ", " oacr ", " occlusion de l'artere centrale de la retine "), " hsd ", " hematome sous-dural "), " fa ", " fibrillation auriculaire "), " ep ", " embolie pulmonaire ") )</f>
        <v>syndrome de sevrage alcoolique</v>
      </c>
      <c r="AE324" t="str" cm="1">
        <f t="array" ref="AE324">_xlfn.LET(_xlpm.base, " " &amp; LOWER(TRIM($AD324))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de sevrage alcoolique</v>
      </c>
      <c r="AF324" t="str" cm="1">
        <f t="array" ref="AF324">_xlfn.LET(_xlpm.base, " " &amp; LOWER(TRIM($AE324))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de sevrage alcoolique</v>
      </c>
    </row>
    <row r="325" spans="1:32" ht="50.25">
      <c r="A325" s="8">
        <v>2024</v>
      </c>
      <c r="B325" s="10" t="s">
        <v>133</v>
      </c>
      <c r="C325" s="8" t="s">
        <v>33</v>
      </c>
      <c r="D325" s="20">
        <v>6</v>
      </c>
      <c r="E325" s="11" t="str">
        <f>IF(D325="","",IFERROR(INDEX(SSP!$E$2:$E$266, MATCH(D325, SSP!$F$2:$F$266, 0)),""))</f>
        <v>Fièvre, frissons, hyperthermie</v>
      </c>
      <c r="F325" s="11" t="str">
        <f>Feuil1!E325</f>
        <v>Fièvre</v>
      </c>
      <c r="G325" s="12" t="s">
        <v>258</v>
      </c>
      <c r="H325" s="13" t="s">
        <v>259</v>
      </c>
      <c r="I325" s="13" t="s">
        <v>999</v>
      </c>
      <c r="J325" s="15" t="s">
        <v>1000</v>
      </c>
      <c r="K325" s="9" t="s">
        <v>33</v>
      </c>
      <c r="L325" s="9" t="s">
        <v>33</v>
      </c>
      <c r="M325" s="9" t="s">
        <v>33</v>
      </c>
      <c r="N325" t="s">
        <v>259</v>
      </c>
      <c r="O325" t="str">
        <f>IFERROR(_xlfn.XLOOKUP($D325, SSP!$F:$F, SSP!$E:$E, "Inconnu"), "")</f>
        <v>Fièvre, frissons, hyperthermie</v>
      </c>
      <c r="P325" t="str">
        <f>IF(OR(E325="", O325=""), "", IF(LOWER(E325)=LOWER(O325), "OK", "⚠️ Libellé ≠ n°"))</f>
        <v>OK</v>
      </c>
      <c r="Q325" t="str">
        <f>IF(Feuil1!$E325="", "", IF(LOWER(Feuil1!$E325)=LOWER(E325), "Identique", "Différent"))</f>
        <v>Différent</v>
      </c>
      <c r="R325" t="str">
        <f>IF(OR(P325="⚠️ Libellé ≠ n°", O325="Inconnu"), "⚠️", IF(Q325="Différent", "ℹ️", ""))</f>
        <v>ℹ️</v>
      </c>
      <c r="S325" t="str" cm="1">
        <f t="array" ref="S325">_xlfn.LET(_xlpm.genCat,IFERROR(LOWER(TRIM(G325)),""),_xlpm.principal,IFERROR(LOWER(TRIM(H325)),""),_xlpm.orig,IFERROR(LOWER(TRIM(N325)),""),IF(OR(_xlpm.genCat="",_xlpm.principal=""),"",IF(LEFT(LOWER(G325),5)="autre","OK (Autre)",IF(OR(ISNUMBER(SEARCH(_xlpm.genCat,_xlpm.principal)),ISNUMBER(SEARCH(_xlpm.principal,_xlpm.genCat)),AND(_xlpm.orig&lt;&gt;"",OR(ISNUMBER(SEARCH(_xlpm.genCat,_xlpm.orig)),ISNUMBER(SEARCH(_xlpm.orig,_xlpm.genCat))))),"OK","⚠️ À vérifier"))))</f>
        <v>⚠️ À vérifier</v>
      </c>
      <c r="T325" t="str">
        <f>IF(S325="","",IF(S325="OK (Autre)","Diagnostic générique = 'Autre – …'",IF(S325="OK","Concordance générique/principal","Écart entre générique et principal")))</f>
        <v>Écart entre générique et principal</v>
      </c>
      <c r="U325" t="str" cm="1">
        <f t="array" ref="U325">_xlfn.LET(_xlpm.yr, A325, _xlpm.diag, IF(N325&lt;&gt;"", N325, H325), _xlpm.base, TRIM(SUBSTITUTE(SUBSTITUTE(SUBSTITUTE(SUBSTITUTE(_xlpm.diag,"•"," "),CHAR(160)," "),CHAR(10)," "),"  "," ")), LOWER(_xlpm.yr&amp;"|"&amp;_xlpm.base))</f>
        <v>2024|bronchiolite</v>
      </c>
      <c r="V325" t="str">
        <f>IFERROR(_xlfn.XLOOKUP($AB325,'Cas 2013-2017'!$K:$K,'Cas 2013-2017'!$D:$D,""),"")</f>
        <v/>
      </c>
      <c r="W325" t="str">
        <f>IFERROR(_xlfn.XLOOKUP($AB325,'Cas 2013-2017'!$K:$K,'Cas 2013-2017'!$E:$E,""),"")</f>
        <v/>
      </c>
      <c r="X325" t="str">
        <f>IFERROR(_xlfn.XLOOKUP($AB325,'Cas 2013-2017'!$K:$K,'Cas 2013-2017'!$F:$F,""),"")</f>
        <v/>
      </c>
      <c r="Y325" t="str">
        <f>IFERROR(_xlfn.XLOOKUP($AB325,'Cas 2013-2017'!$K:$K,'Cas 2013-2017'!$G:$G,""),"")</f>
        <v/>
      </c>
      <c r="Z325" t="str">
        <f>IFERROR(_xlfn.XLOOKUP($AB325,'Cas 2013-2017'!$K:$K,'Cas 2013-2017'!$I:$I,""),"")</f>
        <v/>
      </c>
      <c r="AA325" t="str">
        <f>IFERROR(_xlfn.XLOOKUP($AB325,'Cas 2013-2017'!$K:$K,'Cas 2013-2017'!$H:$H,""),"")</f>
        <v/>
      </c>
      <c r="AB325" t="str">
        <f>LOWER($A325 &amp; "|" &amp; $AF325)</f>
        <v>2024|bronchiolite</v>
      </c>
      <c r="AC325" t="str">
        <f>TRIM(SUBSTITUTE(SUBSTITUTE(SUBSTITUTE(SUBSTITUTE(" " &amp; LOWER(TRIM(IF($N325&lt;&gt;"", $N325, $H325))) &amp; " ", " aomi ", " arteriopathie des membres inferieurs "), " hta ", " hypertension arterielle "), " saos ", " syndrome d'apnees obstructives du sommeil "), " rgo ", " reflux gastro-oesophagien ") )</f>
        <v>bronchiolite</v>
      </c>
      <c r="AD325" t="str">
        <f>TRIM(SUBSTITUTE(SUBSTITUTE(SUBSTITUTE(SUBSTITUTE(" " &amp; LOWER(TRIM($AC325)) &amp; " ", " oacr ", " occlusion de l'artere centrale de la retine "), " hsd ", " hematome sous-dural "), " fa ", " fibrillation auriculaire "), " ep ", " embolie pulmonaire ") )</f>
        <v>bronchiolite</v>
      </c>
      <c r="AE325" t="str" cm="1">
        <f t="array" ref="AE325">_xlfn.LET(_xlpm.base, " " &amp; LOWER(TRIM($AD325))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bronchiolite</v>
      </c>
      <c r="AF325" t="str" cm="1">
        <f t="array" ref="AF325">_xlfn.LET(_xlpm.base, " " &amp; LOWER(TRIM($AE325))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bronchiolite</v>
      </c>
    </row>
    <row r="326" spans="1:32" ht="33.75">
      <c r="A326" s="8">
        <v>2024</v>
      </c>
      <c r="B326" s="10" t="s">
        <v>221</v>
      </c>
      <c r="C326" s="8" t="s">
        <v>33</v>
      </c>
      <c r="D326" s="20">
        <v>10</v>
      </c>
      <c r="E326" s="11" t="str">
        <f>IF(D326="","",IFERROR(INDEX(SSP!$E$2:$E$266, MATCH(D326, SSP!$F$2:$F$266, 0)),""))</f>
        <v>Douleur (toutes localisations et types confondus)</v>
      </c>
      <c r="F326" s="11" t="str">
        <f>Feuil1!E326</f>
        <v>Douleur dorsale</v>
      </c>
      <c r="G326" s="12" t="s">
        <v>470</v>
      </c>
      <c r="H326" s="13" t="s">
        <v>1001</v>
      </c>
      <c r="I326" s="13"/>
      <c r="J326" s="15" t="s">
        <v>1002</v>
      </c>
      <c r="K326" s="9" t="s">
        <v>33</v>
      </c>
      <c r="L326" s="9" t="s">
        <v>33</v>
      </c>
      <c r="M326" s="9" t="s">
        <v>33</v>
      </c>
      <c r="N326" t="s">
        <v>1001</v>
      </c>
      <c r="O326" t="str">
        <f>IFERROR(_xlfn.XLOOKUP($D326, SSP!$F:$F, SSP!$E:$E, "Inconnu"), "")</f>
        <v>Douleur (toutes localisations et types confondus)</v>
      </c>
      <c r="P326" t="str">
        <f>IF(OR(E326="", O326=""), "", IF(LOWER(E326)=LOWER(O326), "OK", "⚠️ Libellé ≠ n°"))</f>
        <v>OK</v>
      </c>
      <c r="Q326" t="str">
        <f>IF(Feuil1!$E326="", "", IF(LOWER(Feuil1!$E326)=LOWER(E326), "Identique", "Différent"))</f>
        <v>Différent</v>
      </c>
      <c r="R326" t="str">
        <f>IF(OR(P326="⚠️ Libellé ≠ n°", O326="Inconnu"), "⚠️", IF(Q326="Différent", "ℹ️", ""))</f>
        <v>ℹ️</v>
      </c>
      <c r="S326" t="str" cm="1">
        <f t="array" ref="S326">_xlfn.LET(_xlpm.genCat,IFERROR(LOWER(TRIM(G326)),""),_xlpm.principal,IFERROR(LOWER(TRIM(H326)),""),_xlpm.orig,IFERROR(LOWER(TRIM(N326)),""),IF(OR(_xlpm.genCat="",_xlpm.principal=""),"",IF(LEFT(LOWER(G326),5)="autre","OK (Autre)",IF(OR(ISNUMBER(SEARCH(_xlpm.genCat,_xlpm.principal)),ISNUMBER(SEARCH(_xlpm.principal,_xlpm.genCat)),AND(_xlpm.orig&lt;&gt;"",OR(ISNUMBER(SEARCH(_xlpm.genCat,_xlpm.orig)),ISNUMBER(SEARCH(_xlpm.orig,_xlpm.genCat))))),"OK","⚠️ À vérifier"))))</f>
        <v>⚠️ À vérifier</v>
      </c>
      <c r="T326" t="str">
        <f>IF(S326="","",IF(S326="OK (Autre)","Diagnostic générique = 'Autre – …'",IF(S326="OK","Concordance générique/principal","Écart entre générique et principal")))</f>
        <v>Écart entre générique et principal</v>
      </c>
      <c r="U326" t="str" cm="1">
        <f t="array" ref="U326">_xlfn.LET(_xlpm.yr, A326, _xlpm.diag, IF(N326&lt;&gt;"", N326, H326), _xlpm.base, TRIM(SUBSTITUTE(SUBSTITUTE(SUBSTITUTE(SUBSTITUTE(_xlpm.diag,"•"," "),CHAR(160)," "),CHAR(10)," "),"  "," ")), LOWER(_xlpm.yr&amp;"|"&amp;_xlpm.base))</f>
        <v>2024|lumbago</v>
      </c>
      <c r="V326" t="str">
        <f>IFERROR(_xlfn.XLOOKUP($AB326,'Cas 2013-2017'!$K:$K,'Cas 2013-2017'!$D:$D,""),"")</f>
        <v/>
      </c>
      <c r="W326" t="str">
        <f>IFERROR(_xlfn.XLOOKUP($AB326,'Cas 2013-2017'!$K:$K,'Cas 2013-2017'!$E:$E,""),"")</f>
        <v/>
      </c>
      <c r="X326" t="str">
        <f>IFERROR(_xlfn.XLOOKUP($AB326,'Cas 2013-2017'!$K:$K,'Cas 2013-2017'!$F:$F,""),"")</f>
        <v/>
      </c>
      <c r="Y326" t="str">
        <f>IFERROR(_xlfn.XLOOKUP($AB326,'Cas 2013-2017'!$K:$K,'Cas 2013-2017'!$G:$G,""),"")</f>
        <v/>
      </c>
      <c r="Z326" t="str">
        <f>IFERROR(_xlfn.XLOOKUP($AB326,'Cas 2013-2017'!$K:$K,'Cas 2013-2017'!$I:$I,""),"")</f>
        <v/>
      </c>
      <c r="AA326" t="str">
        <f>IFERROR(_xlfn.XLOOKUP($AB326,'Cas 2013-2017'!$K:$K,'Cas 2013-2017'!$H:$H,""),"")</f>
        <v/>
      </c>
      <c r="AB326" t="str">
        <f>LOWER($A326 &amp; "|" &amp; $AF326)</f>
        <v>2024|lumbago</v>
      </c>
      <c r="AC326" t="str">
        <f>TRIM(SUBSTITUTE(SUBSTITUTE(SUBSTITUTE(SUBSTITUTE(" " &amp; LOWER(TRIM(IF($N326&lt;&gt;"", $N326, $H326))) &amp; " ", " aomi ", " arteriopathie des membres inferieurs "), " hta ", " hypertension arterielle "), " saos ", " syndrome d'apnees obstructives du sommeil "), " rgo ", " reflux gastro-oesophagien ") )</f>
        <v>lumbago</v>
      </c>
      <c r="AD326" t="str">
        <f>TRIM(SUBSTITUTE(SUBSTITUTE(SUBSTITUTE(SUBSTITUTE(" " &amp; LOWER(TRIM($AC326)) &amp; " ", " oacr ", " occlusion de l'artere centrale de la retine "), " hsd ", " hematome sous-dural "), " fa ", " fibrillation auriculaire "), " ep ", " embolie pulmonaire ") )</f>
        <v>lumbago</v>
      </c>
      <c r="AE326" t="str" cm="1">
        <f t="array" ref="AE326">_xlfn.LET(_xlpm.base, " " &amp; LOWER(TRIM($AD326))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lumbago</v>
      </c>
      <c r="AF326" t="str" cm="1">
        <f t="array" ref="AF326">_xlfn.LET(_xlpm.base, " " &amp; LOWER(TRIM($AE326))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lumbago</v>
      </c>
    </row>
    <row r="327" spans="1:32" ht="33.75">
      <c r="A327" s="8">
        <v>2024</v>
      </c>
      <c r="B327" s="10" t="s">
        <v>32</v>
      </c>
      <c r="C327" s="8" t="s">
        <v>451</v>
      </c>
      <c r="D327" s="20">
        <v>46</v>
      </c>
      <c r="E327" s="11" t="str">
        <f>IF(D327="","",IFERROR(INDEX(SSP!$E$2:$E$266, MATCH(D327, SSP!$F$2:$F$266, 0)),""))</f>
        <v>Dyspnée</v>
      </c>
      <c r="F327" s="11" t="str">
        <f>Feuil1!E327</f>
        <v>Dyspnée</v>
      </c>
      <c r="G327" s="12" t="s">
        <v>312</v>
      </c>
      <c r="H327" s="13" t="s">
        <v>313</v>
      </c>
      <c r="I327" s="13" t="s">
        <v>1003</v>
      </c>
      <c r="J327" s="15" t="s">
        <v>1004</v>
      </c>
      <c r="K327" s="9" t="s">
        <v>1005</v>
      </c>
      <c r="L327" s="9" t="s">
        <v>33</v>
      </c>
      <c r="M327" s="9" t="s">
        <v>33</v>
      </c>
      <c r="N327" t="s">
        <v>313</v>
      </c>
      <c r="O327" t="str">
        <f>IFERROR(_xlfn.XLOOKUP($D327, SSP!$F:$F, SSP!$E:$E, "Inconnu"), "")</f>
        <v>Dyspnée</v>
      </c>
      <c r="P327" t="str">
        <f>IF(OR(E327="", O327=""), "", IF(LOWER(E327)=LOWER(O327), "OK", "⚠️ Libellé ≠ n°"))</f>
        <v>OK</v>
      </c>
      <c r="Q327" t="str">
        <f>IF(Feuil1!$E327="", "", IF(LOWER(Feuil1!$E327)=LOWER(E327), "Identique", "Différent"))</f>
        <v>Identique</v>
      </c>
      <c r="R327" t="str">
        <f>IF(OR(P327="⚠️ Libellé ≠ n°", O327="Inconnu"), "⚠️", IF(Q327="Différent", "ℹ️", ""))</f>
        <v/>
      </c>
      <c r="S327" t="str" cm="1">
        <f t="array" ref="S327">_xlfn.LET(_xlpm.genCat,IFERROR(LOWER(TRIM(G327)),""),_xlpm.principal,IFERROR(LOWER(TRIM(H327)),""),_xlpm.orig,IFERROR(LOWER(TRIM(N327)),""),IF(OR(_xlpm.genCat="",_xlpm.principal=""),"",IF(LEFT(LOWER(G327),5)="autre","OK (Autre)",IF(OR(ISNUMBER(SEARCH(_xlpm.genCat,_xlpm.principal)),ISNUMBER(SEARCH(_xlpm.principal,_xlpm.genCat)),AND(_xlpm.orig&lt;&gt;"",OR(ISNUMBER(SEARCH(_xlpm.genCat,_xlpm.orig)),ISNUMBER(SEARCH(_xlpm.orig,_xlpm.genCat))))),"OK","⚠️ À vérifier"))))</f>
        <v>⚠️ À vérifier</v>
      </c>
      <c r="T327" t="str">
        <f>IF(S327="","",IF(S327="OK (Autre)","Diagnostic générique = 'Autre – …'",IF(S327="OK","Concordance générique/principal","Écart entre générique et principal")))</f>
        <v>Écart entre générique et principal</v>
      </c>
      <c r="U327" t="str" cm="1">
        <f t="array" ref="U327">_xlfn.LET(_xlpm.yr, A327, _xlpm.diag, IF(N327&lt;&gt;"", N327, H327), _xlpm.base, TRIM(SUBSTITUTE(SUBSTITUTE(SUBSTITUTE(SUBSTITUTE(_xlpm.diag,"•"," "),CHAR(160)," "),CHAR(10)," "),"  "," ")), LOWER(_xlpm.yr&amp;"|"&amp;_xlpm.base))</f>
        <v>2024|sténose aortique</v>
      </c>
      <c r="V327" t="str">
        <f>IFERROR(_xlfn.XLOOKUP($AB327,'Cas 2013-2017'!$K:$K,'Cas 2013-2017'!$D:$D,""),"")</f>
        <v/>
      </c>
      <c r="W327" t="str">
        <f>IFERROR(_xlfn.XLOOKUP($AB327,'Cas 2013-2017'!$K:$K,'Cas 2013-2017'!$E:$E,""),"")</f>
        <v/>
      </c>
      <c r="X327" t="str">
        <f>IFERROR(_xlfn.XLOOKUP($AB327,'Cas 2013-2017'!$K:$K,'Cas 2013-2017'!$F:$F,""),"")</f>
        <v/>
      </c>
      <c r="Y327" t="str">
        <f>IFERROR(_xlfn.XLOOKUP($AB327,'Cas 2013-2017'!$K:$K,'Cas 2013-2017'!$G:$G,""),"")</f>
        <v/>
      </c>
      <c r="Z327" t="str">
        <f>IFERROR(_xlfn.XLOOKUP($AB327,'Cas 2013-2017'!$K:$K,'Cas 2013-2017'!$I:$I,""),"")</f>
        <v/>
      </c>
      <c r="AA327" t="str">
        <f>IFERROR(_xlfn.XLOOKUP($AB327,'Cas 2013-2017'!$K:$K,'Cas 2013-2017'!$H:$H,""),"")</f>
        <v/>
      </c>
      <c r="AB327" t="str">
        <f>LOWER($A327 &amp; "|" &amp; $AF327)</f>
        <v>2024|sténose aortique</v>
      </c>
      <c r="AC327" t="str">
        <f>TRIM(SUBSTITUTE(SUBSTITUTE(SUBSTITUTE(SUBSTITUTE(" " &amp; LOWER(TRIM(IF($N327&lt;&gt;"", $N327, $H327))) &amp; " ", " aomi ", " arteriopathie des membres inferieurs "), " hta ", " hypertension arterielle "), " saos ", " syndrome d'apnees obstructives du sommeil "), " rgo ", " reflux gastro-oesophagien ") )</f>
        <v>sténose aortique</v>
      </c>
      <c r="AD327" t="str">
        <f>TRIM(SUBSTITUTE(SUBSTITUTE(SUBSTITUTE(SUBSTITUTE(" " &amp; LOWER(TRIM($AC327)) &amp; " ", " oacr ", " occlusion de l'artere centrale de la retine "), " hsd ", " hematome sous-dural "), " fa ", " fibrillation auriculaire "), " ep ", " embolie pulmonaire ") )</f>
        <v>sténose aortique</v>
      </c>
      <c r="AE327" t="str" cm="1">
        <f t="array" ref="AE327">_xlfn.LET(_xlpm.base, " " &amp; LOWER(TRIM($AD327))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sténose aortique</v>
      </c>
      <c r="AF327" t="str" cm="1">
        <f t="array" ref="AF327">_xlfn.LET(_xlpm.base, " " &amp; LOWER(TRIM($AE327))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sténose aortique</v>
      </c>
    </row>
    <row r="328" spans="1:32" ht="33.75">
      <c r="A328" s="8">
        <v>2024</v>
      </c>
      <c r="B328" s="10" t="s">
        <v>68</v>
      </c>
      <c r="C328" s="8" t="s">
        <v>990</v>
      </c>
      <c r="D328" s="20">
        <v>52</v>
      </c>
      <c r="E328" s="11" t="str">
        <f>IF(D328="","",IFERROR(INDEX(SSP!$E$2:$E$266, MATCH(D328, SSP!$F$2:$F$266, 0)),""))</f>
        <v>Douleur abdominale ou épigastrique</v>
      </c>
      <c r="F328" s="11" t="str">
        <f>Feuil1!E328</f>
        <v>Douleur abdominale</v>
      </c>
      <c r="G328" s="12" t="s">
        <v>202</v>
      </c>
      <c r="H328" s="13" t="s">
        <v>1006</v>
      </c>
      <c r="I328" s="13"/>
      <c r="J328" s="15" t="s">
        <v>1007</v>
      </c>
      <c r="K328" s="9" t="s">
        <v>33</v>
      </c>
      <c r="L328" s="9" t="s">
        <v>33</v>
      </c>
      <c r="M328" s="9" t="s">
        <v>33</v>
      </c>
      <c r="N328" t="s">
        <v>1008</v>
      </c>
      <c r="O328" t="str">
        <f>IFERROR(_xlfn.XLOOKUP($D328, SSP!$F:$F, SSP!$E:$E, "Inconnu"), "")</f>
        <v>Douleur abdominale ou épigastrique</v>
      </c>
      <c r="P328" t="str">
        <f>IF(OR(E328="", O328=""), "", IF(LOWER(E328)=LOWER(O328), "OK", "⚠️ Libellé ≠ n°"))</f>
        <v>OK</v>
      </c>
      <c r="Q328" t="str">
        <f>IF(Feuil1!$E328="", "", IF(LOWER(Feuil1!$E328)=LOWER(E328), "Identique", "Différent"))</f>
        <v>Différent</v>
      </c>
      <c r="R328" t="str">
        <f>IF(OR(P328="⚠️ Libellé ≠ n°", O328="Inconnu"), "⚠️", IF(Q328="Différent", "ℹ️", ""))</f>
        <v>ℹ️</v>
      </c>
      <c r="S328" t="str" cm="1">
        <f t="array" ref="S328">_xlfn.LET(_xlpm.genCat,IFERROR(LOWER(TRIM(G328)),""),_xlpm.principal,IFERROR(LOWER(TRIM(H328)),""),_xlpm.orig,IFERROR(LOWER(TRIM(N328)),""),IF(OR(_xlpm.genCat="",_xlpm.principal=""),"",IF(LEFT(LOWER(G328),5)="autre","OK (Autre)",IF(OR(ISNUMBER(SEARCH(_xlpm.genCat,_xlpm.principal)),ISNUMBER(SEARCH(_xlpm.principal,_xlpm.genCat)),AND(_xlpm.orig&lt;&gt;"",OR(ISNUMBER(SEARCH(_xlpm.genCat,_xlpm.orig)),ISNUMBER(SEARCH(_xlpm.orig,_xlpm.genCat))))),"OK","⚠️ À vérifier"))))</f>
        <v>OK</v>
      </c>
      <c r="T328" t="str">
        <f>IF(S328="","",IF(S328="OK (Autre)","Diagnostic générique = 'Autre – …'",IF(S328="OK","Concordance générique/principal","Écart entre générique et principal")))</f>
        <v>Concordance générique/principal</v>
      </c>
      <c r="U328" t="str" cm="1">
        <f t="array" ref="U328">_xlfn.LET(_xlpm.yr, A328, _xlpm.diag, IF(N328&lt;&gt;"", N328, H328), _xlpm.base, TRIM(SUBSTITUTE(SUBSTITUTE(SUBSTITUTE(SUBSTITUTE(_xlpm.diag,"•"," "),CHAR(160)," "),CHAR(10)," "),"  "," ")), LOWER(_xlpm.yr&amp;"|"&amp;_xlpm.base))</f>
        <v>2024|ulcère perforé dd pancréatite aiguë alcoolique</v>
      </c>
      <c r="V328" t="str">
        <f>IFERROR(_xlfn.XLOOKUP($AB328,'Cas 2013-2017'!$K:$K,'Cas 2013-2017'!$D:$D,""),"")</f>
        <v/>
      </c>
      <c r="W328" t="str">
        <f>IFERROR(_xlfn.XLOOKUP($AB328,'Cas 2013-2017'!$K:$K,'Cas 2013-2017'!$E:$E,""),"")</f>
        <v/>
      </c>
      <c r="X328" t="str">
        <f>IFERROR(_xlfn.XLOOKUP($AB328,'Cas 2013-2017'!$K:$K,'Cas 2013-2017'!$F:$F,""),"")</f>
        <v/>
      </c>
      <c r="Y328" t="str">
        <f>IFERROR(_xlfn.XLOOKUP($AB328,'Cas 2013-2017'!$K:$K,'Cas 2013-2017'!$G:$G,""),"")</f>
        <v/>
      </c>
      <c r="Z328" t="str">
        <f>IFERROR(_xlfn.XLOOKUP($AB328,'Cas 2013-2017'!$K:$K,'Cas 2013-2017'!$I:$I,""),"")</f>
        <v/>
      </c>
      <c r="AA328" t="str">
        <f>IFERROR(_xlfn.XLOOKUP($AB328,'Cas 2013-2017'!$K:$K,'Cas 2013-2017'!$H:$H,""),"")</f>
        <v/>
      </c>
      <c r="AB328" t="str">
        <f>LOWER($A328 &amp; "|" &amp; $AF328)</f>
        <v>2024|ulcère perforé dd pancréatite aiguë alcoolique</v>
      </c>
      <c r="AC328" t="str">
        <f>TRIM(SUBSTITUTE(SUBSTITUTE(SUBSTITUTE(SUBSTITUTE(" " &amp; LOWER(TRIM(IF($N328&lt;&gt;"", $N328, $H328))) &amp; " ", " aomi ", " arteriopathie des membres inferieurs "), " hta ", " hypertension arterielle "), " saos ", " syndrome d'apnees obstructives du sommeil "), " rgo ", " reflux gastro-oesophagien ") )</f>
        <v>ulcère perforé dd pancréatite aiguë alcoolique</v>
      </c>
      <c r="AD328" t="str">
        <f>TRIM(SUBSTITUTE(SUBSTITUTE(SUBSTITUTE(SUBSTITUTE(" " &amp; LOWER(TRIM($AC328)) &amp; " ", " oacr ", " occlusion de l'artere centrale de la retine "), " hsd ", " hematome sous-dural "), " fa ", " fibrillation auriculaire "), " ep ", " embolie pulmonaire ") )</f>
        <v>ulcère perforé dd pancréatite aiguë alcoolique</v>
      </c>
      <c r="AE328" t="str" cm="1">
        <f t="array" ref="AE328">_xlfn.LET(_xlpm.base, " " &amp; LOWER(TRIM($AD328))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ulcère perforé dd pancréatite aiguë alcoolique</v>
      </c>
      <c r="AF328" t="str" cm="1">
        <f t="array" ref="AF328">_xlfn.LET(_xlpm.base, " " &amp; LOWER(TRIM($AE328))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ulcère perforé dd pancréatite aiguë alcoolique</v>
      </c>
    </row>
    <row r="329" spans="1:32" ht="33.75">
      <c r="A329" s="8">
        <v>2024</v>
      </c>
      <c r="B329" s="10" t="s">
        <v>100</v>
      </c>
      <c r="C329" s="8" t="s">
        <v>33</v>
      </c>
      <c r="D329" s="20">
        <v>100</v>
      </c>
      <c r="E329" s="11" t="str">
        <f>IF(D329="","",IFERROR(INDEX(SSP!$E$2:$E$266, MATCH(D329, SSP!$F$2:$F$266, 0)),""))</f>
        <v>Vertiges, étourdissements</v>
      </c>
      <c r="F329" s="11" t="str">
        <f>Feuil1!E329</f>
        <v>Vertige</v>
      </c>
      <c r="G329" s="12" t="s">
        <v>493</v>
      </c>
      <c r="H329" s="13" t="s">
        <v>1009</v>
      </c>
      <c r="I329" s="13"/>
      <c r="J329" s="15" t="s">
        <v>1010</v>
      </c>
      <c r="K329" s="9" t="s">
        <v>33</v>
      </c>
      <c r="L329" s="9" t="s">
        <v>33</v>
      </c>
      <c r="M329" s="9" t="s">
        <v>33</v>
      </c>
      <c r="N329" t="s">
        <v>1009</v>
      </c>
      <c r="O329" t="str">
        <f>IFERROR(_xlfn.XLOOKUP($D329, SSP!$F:$F, SSP!$E:$E, "Inconnu"), "")</f>
        <v>Vertiges, étourdissements</v>
      </c>
      <c r="P329" t="str">
        <f>IF(OR(E329="", O329=""), "", IF(LOWER(E329)=LOWER(O329), "OK", "⚠️ Libellé ≠ n°"))</f>
        <v>OK</v>
      </c>
      <c r="Q329" t="str">
        <f>IF(Feuil1!$E329="", "", IF(LOWER(Feuil1!$E329)=LOWER(E329), "Identique", "Différent"))</f>
        <v>Différent</v>
      </c>
      <c r="R329" t="str">
        <f>IF(OR(P329="⚠️ Libellé ≠ n°", O329="Inconnu"), "⚠️", IF(Q329="Différent", "ℹ️", ""))</f>
        <v>ℹ️</v>
      </c>
      <c r="S329" t="str" cm="1">
        <f t="array" ref="S329">_xlfn.LET(_xlpm.genCat,IFERROR(LOWER(TRIM(G329)),""),_xlpm.principal,IFERROR(LOWER(TRIM(H329)),""),_xlpm.orig,IFERROR(LOWER(TRIM(N329)),""),IF(OR(_xlpm.genCat="",_xlpm.principal=""),"",IF(LEFT(LOWER(G329),5)="autre","OK (Autre)",IF(OR(ISNUMBER(SEARCH(_xlpm.genCat,_xlpm.principal)),ISNUMBER(SEARCH(_xlpm.principal,_xlpm.genCat)),AND(_xlpm.orig&lt;&gt;"",OR(ISNUMBER(SEARCH(_xlpm.genCat,_xlpm.orig)),ISNUMBER(SEARCH(_xlpm.orig,_xlpm.genCat))))),"OK","⚠️ À vérifier"))))</f>
        <v>⚠️ À vérifier</v>
      </c>
      <c r="T329" t="str">
        <f>IF(S329="","",IF(S329="OK (Autre)","Diagnostic générique = 'Autre – …'",IF(S329="OK","Concordance générique/principal","Écart entre générique et principal")))</f>
        <v>Écart entre générique et principal</v>
      </c>
      <c r="U329" t="str" cm="1">
        <f t="array" ref="U329">_xlfn.LET(_xlpm.yr, A329, _xlpm.diag, IF(N329&lt;&gt;"", N329, H329), _xlpm.base, TRIM(SUBSTITUTE(SUBSTITUTE(SUBSTITUTE(SUBSTITUTE(_xlpm.diag,"•"," "),CHAR(160)," "),CHAR(10)," "),"  "," ")), LOWER(_xlpm.yr&amp;"|"&amp;_xlpm.base))</f>
        <v>2024|ménière dd labyrinthtite dd névrite vestibulaire</v>
      </c>
      <c r="V329" t="str">
        <f>IFERROR(_xlfn.XLOOKUP($AB329,'Cas 2013-2017'!$K:$K,'Cas 2013-2017'!$D:$D,""),"")</f>
        <v/>
      </c>
      <c r="W329" t="str">
        <f>IFERROR(_xlfn.XLOOKUP($AB329,'Cas 2013-2017'!$K:$K,'Cas 2013-2017'!$E:$E,""),"")</f>
        <v/>
      </c>
      <c r="X329" t="str">
        <f>IFERROR(_xlfn.XLOOKUP($AB329,'Cas 2013-2017'!$K:$K,'Cas 2013-2017'!$F:$F,""),"")</f>
        <v/>
      </c>
      <c r="Y329" t="str">
        <f>IFERROR(_xlfn.XLOOKUP($AB329,'Cas 2013-2017'!$K:$K,'Cas 2013-2017'!$G:$G,""),"")</f>
        <v/>
      </c>
      <c r="Z329" t="str">
        <f>IFERROR(_xlfn.XLOOKUP($AB329,'Cas 2013-2017'!$K:$K,'Cas 2013-2017'!$I:$I,""),"")</f>
        <v/>
      </c>
      <c r="AA329" t="str">
        <f>IFERROR(_xlfn.XLOOKUP($AB329,'Cas 2013-2017'!$K:$K,'Cas 2013-2017'!$H:$H,""),"")</f>
        <v/>
      </c>
      <c r="AB329" t="str">
        <f>LOWER($A329 &amp; "|" &amp; $AF329)</f>
        <v>2024|ménière dd labyrinthtite dd névrite vestibulaire</v>
      </c>
      <c r="AC329" t="str">
        <f>TRIM(SUBSTITUTE(SUBSTITUTE(SUBSTITUTE(SUBSTITUTE(" " &amp; LOWER(TRIM(IF($N329&lt;&gt;"", $N329, $H329))) &amp; " ", " aomi ", " arteriopathie des membres inferieurs "), " hta ", " hypertension arterielle "), " saos ", " syndrome d'apnees obstructives du sommeil "), " rgo ", " reflux gastro-oesophagien ") )</f>
        <v>ménière dd labyrinthtite dd névrite vestibulaire</v>
      </c>
      <c r="AD329" t="str">
        <f>TRIM(SUBSTITUTE(SUBSTITUTE(SUBSTITUTE(SUBSTITUTE(" " &amp; LOWER(TRIM($AC329)) &amp; " ", " oacr ", " occlusion de l'artere centrale de la retine "), " hsd ", " hematome sous-dural "), " fa ", " fibrillation auriculaire "), " ep ", " embolie pulmonaire ") )</f>
        <v>ménière dd labyrinthtite dd névrite vestibulaire</v>
      </c>
      <c r="AE329" t="str" cm="1">
        <f t="array" ref="AE329">_xlfn.LET(_xlpm.base, " " &amp; LOWER(TRIM($AD329))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ménière dd labyrinthtite dd névrite vestibulaire</v>
      </c>
      <c r="AF329" t="str" cm="1">
        <f t="array" ref="AF329">_xlfn.LET(_xlpm.base, " " &amp; LOWER(TRIM($AE329))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ménière dd labyrinthtite dd névrite vestibulaire</v>
      </c>
    </row>
    <row r="330" spans="1:32" ht="50.25">
      <c r="A330" s="8">
        <v>2024</v>
      </c>
      <c r="B330" s="10" t="s">
        <v>51</v>
      </c>
      <c r="C330" s="8" t="s">
        <v>33</v>
      </c>
      <c r="D330" s="20">
        <v>93</v>
      </c>
      <c r="E330" s="11" t="str">
        <f>IF(D330="","",IFERROR(INDEX(SSP!$E$2:$E$266, MATCH(D330, SSP!$F$2:$F$266, 0)),""))</f>
        <v>Macules, papules, pustules, vésicules, ulcères, abcès, bulles, épaississement cutané, nécrose, tumeur cutanée</v>
      </c>
      <c r="F330" s="11" t="str">
        <f>Feuil1!E330</f>
        <v>Éruption cutanée</v>
      </c>
      <c r="G330" s="12" t="s">
        <v>183</v>
      </c>
      <c r="H330" s="13" t="s">
        <v>1011</v>
      </c>
      <c r="I330" s="13"/>
      <c r="J330" s="15" t="s">
        <v>1012</v>
      </c>
      <c r="K330" s="9" t="s">
        <v>33</v>
      </c>
      <c r="L330" s="9" t="s">
        <v>33</v>
      </c>
      <c r="M330" s="9" t="s">
        <v>33</v>
      </c>
      <c r="N330" t="s">
        <v>1013</v>
      </c>
      <c r="O330" t="str">
        <f>IFERROR(_xlfn.XLOOKUP($D330, SSP!$F:$F, SSP!$E:$E, "Inconnu"), "")</f>
        <v>Macules, papules, pustules, vésicules, ulcères, abcès, bulles, épaississement cutané, nécrose, tumeur cutanée</v>
      </c>
      <c r="P330" t="str">
        <f>IF(OR(E330="", O330=""), "", IF(LOWER(E330)=LOWER(O330), "OK", "⚠️ Libellé ≠ n°"))</f>
        <v>OK</v>
      </c>
      <c r="Q330" t="str">
        <f>IF(Feuil1!$E330="", "", IF(LOWER(Feuil1!$E330)=LOWER(E330), "Identique", "Différent"))</f>
        <v>Différent</v>
      </c>
      <c r="R330" t="str">
        <f>IF(OR(P330="⚠️ Libellé ≠ n°", O330="Inconnu"), "⚠️", IF(Q330="Différent", "ℹ️", ""))</f>
        <v>ℹ️</v>
      </c>
      <c r="S330" t="str" cm="1">
        <f t="array" ref="S330">_xlfn.LET(_xlpm.genCat,IFERROR(LOWER(TRIM(G330)),""),_xlpm.principal,IFERROR(LOWER(TRIM(H330)),""),_xlpm.orig,IFERROR(LOWER(TRIM(N330)),""),IF(OR(_xlpm.genCat="",_xlpm.principal=""),"",IF(LEFT(LOWER(G330),5)="autre","OK (Autre)",IF(OR(ISNUMBER(SEARCH(_xlpm.genCat,_xlpm.principal)),ISNUMBER(SEARCH(_xlpm.principal,_xlpm.genCat)),AND(_xlpm.orig&lt;&gt;"",OR(ISNUMBER(SEARCH(_xlpm.genCat,_xlpm.orig)),ISNUMBER(SEARCH(_xlpm.orig,_xlpm.genCat))))),"OK","⚠️ À vérifier"))))</f>
        <v>⚠️ À vérifier</v>
      </c>
      <c r="T330" t="str">
        <f>IF(S330="","",IF(S330="OK (Autre)","Diagnostic générique = 'Autre – …'",IF(S330="OK","Concordance générique/principal","Écart entre générique et principal")))</f>
        <v>Écart entre générique et principal</v>
      </c>
      <c r="U330" t="str" cm="1">
        <f t="array" ref="U330">_xlfn.LET(_xlpm.yr, A330, _xlpm.diag, IF(N330&lt;&gt;"", N330, H330), _xlpm.base, TRIM(SUBSTITUTE(SUBSTITUTE(SUBSTITUTE(SUBSTITUTE(_xlpm.diag,"•"," "),CHAR(160)," "),CHAR(10)," "),"  "," ")), LOWER(_xlpm.yr&amp;"|"&amp;_xlpm.base))</f>
        <v>2024|gale dd dermatite atopique dd lichen plan</v>
      </c>
      <c r="V330" t="str">
        <f>IFERROR(_xlfn.XLOOKUP($AB330,'Cas 2013-2017'!$K:$K,'Cas 2013-2017'!$D:$D,""),"")</f>
        <v/>
      </c>
      <c r="W330" t="str">
        <f>IFERROR(_xlfn.XLOOKUP($AB330,'Cas 2013-2017'!$K:$K,'Cas 2013-2017'!$E:$E,""),"")</f>
        <v/>
      </c>
      <c r="X330" t="str">
        <f>IFERROR(_xlfn.XLOOKUP($AB330,'Cas 2013-2017'!$K:$K,'Cas 2013-2017'!$F:$F,""),"")</f>
        <v/>
      </c>
      <c r="Y330" t="str">
        <f>IFERROR(_xlfn.XLOOKUP($AB330,'Cas 2013-2017'!$K:$K,'Cas 2013-2017'!$G:$G,""),"")</f>
        <v/>
      </c>
      <c r="Z330" t="str">
        <f>IFERROR(_xlfn.XLOOKUP($AB330,'Cas 2013-2017'!$K:$K,'Cas 2013-2017'!$I:$I,""),"")</f>
        <v/>
      </c>
      <c r="AA330" t="str">
        <f>IFERROR(_xlfn.XLOOKUP($AB330,'Cas 2013-2017'!$K:$K,'Cas 2013-2017'!$H:$H,""),"")</f>
        <v/>
      </c>
      <c r="AB330" t="str">
        <f>LOWER($A330 &amp; "|" &amp; $AF330)</f>
        <v>2024|gale dd dermatite atopique dd lichen plan</v>
      </c>
      <c r="AC330" t="str">
        <f>TRIM(SUBSTITUTE(SUBSTITUTE(SUBSTITUTE(SUBSTITUTE(" " &amp; LOWER(TRIM(IF($N330&lt;&gt;"", $N330, $H330))) &amp; " ", " aomi ", " arteriopathie des membres inferieurs "), " hta ", " hypertension arterielle "), " saos ", " syndrome d'apnees obstructives du sommeil "), " rgo ", " reflux gastro-oesophagien ") )</f>
        <v>gale dd dermatite atopique dd lichen plan</v>
      </c>
      <c r="AD330" t="str">
        <f>TRIM(SUBSTITUTE(SUBSTITUTE(SUBSTITUTE(SUBSTITUTE(" " &amp; LOWER(TRIM($AC330)) &amp; " ", " oacr ", " occlusion de l'artere centrale de la retine "), " hsd ", " hematome sous-dural "), " fa ", " fibrillation auriculaire "), " ep ", " embolie pulmonaire ") )</f>
        <v>gale dd dermatite atopique dd lichen plan</v>
      </c>
      <c r="AE330" t="str" cm="1">
        <f t="array" ref="AE330">_xlfn.LET(_xlpm.base, " " &amp; LOWER(TRIM($AD330))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gale dd dermatite atopique dd lichen plan</v>
      </c>
      <c r="AF330" t="str" cm="1">
        <f t="array" ref="AF330">_xlfn.LET(_xlpm.base, " " &amp; LOWER(TRIM($AE330))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gale dd dermatite atopique dd lichen plan</v>
      </c>
    </row>
    <row r="331" spans="1:32" ht="50.25">
      <c r="A331" s="8">
        <v>2024</v>
      </c>
      <c r="B331" s="10" t="s">
        <v>68</v>
      </c>
      <c r="C331" s="8" t="s">
        <v>33</v>
      </c>
      <c r="D331" s="20">
        <v>90</v>
      </c>
      <c r="E331" s="11" t="str">
        <f>IF(D331="","",IFERROR(INDEX(SSP!$E$2:$E$266, MATCH(D331, SSP!$F$2:$F$266, 0)),""))</f>
        <v>Plaie infectée, retard de cicatrisation, ulcère cutané</v>
      </c>
      <c r="F331" s="11" t="str">
        <f>Feuil1!E331</f>
        <v>Plaie / Ulcère cutané</v>
      </c>
      <c r="G331" s="12" t="s">
        <v>542</v>
      </c>
      <c r="H331" s="13" t="s">
        <v>543</v>
      </c>
      <c r="I331" s="13"/>
      <c r="J331" s="15" t="s">
        <v>1014</v>
      </c>
      <c r="K331" s="9" t="s">
        <v>1015</v>
      </c>
      <c r="L331" s="9" t="s">
        <v>33</v>
      </c>
      <c r="M331" s="9" t="s">
        <v>33</v>
      </c>
      <c r="N331" t="s">
        <v>1016</v>
      </c>
      <c r="O331" t="str">
        <f>IFERROR(_xlfn.XLOOKUP($D331, SSP!$F:$F, SSP!$E:$E, "Inconnu"), "")</f>
        <v>Plaie infectée, retard de cicatrisation, ulcère cutané</v>
      </c>
      <c r="P331" t="str">
        <f>IF(OR(E331="", O331=""), "", IF(LOWER(E331)=LOWER(O331), "OK", "⚠️ Libellé ≠ n°"))</f>
        <v>OK</v>
      </c>
      <c r="Q331" t="str">
        <f>IF(Feuil1!$E331="", "", IF(LOWER(Feuil1!$E331)=LOWER(E331), "Identique", "Différent"))</f>
        <v>Différent</v>
      </c>
      <c r="R331" t="str">
        <f>IF(OR(P331="⚠️ Libellé ≠ n°", O331="Inconnu"), "⚠️", IF(Q331="Différent", "ℹ️", ""))</f>
        <v>ℹ️</v>
      </c>
      <c r="S331" t="str" cm="1">
        <f t="array" ref="S331">_xlfn.LET(_xlpm.genCat,IFERROR(LOWER(TRIM(G331)),""),_xlpm.principal,IFERROR(LOWER(TRIM(H331)),""),_xlpm.orig,IFERROR(LOWER(TRIM(N331)),""),IF(OR(_xlpm.genCat="",_xlpm.principal=""),"",IF(LEFT(LOWER(G331),5)="autre","OK (Autre)",IF(OR(ISNUMBER(SEARCH(_xlpm.genCat,_xlpm.principal)),ISNUMBER(SEARCH(_xlpm.principal,_xlpm.genCat)),AND(_xlpm.orig&lt;&gt;"",OR(ISNUMBER(SEARCH(_xlpm.genCat,_xlpm.orig)),ISNUMBER(SEARCH(_xlpm.orig,_xlpm.genCat))))),"OK","⚠️ À vérifier"))))</f>
        <v>OK (Autre)</v>
      </c>
      <c r="T331" t="str">
        <f>IF(S331="","",IF(S331="OK (Autre)","Diagnostic générique = 'Autre – …'",IF(S331="OK","Concordance générique/principal","Écart entre générique et principal")))</f>
        <v>Diagnostic générique = 'Autre – …'</v>
      </c>
      <c r="U331" t="str" cm="1">
        <f t="array" ref="U331">_xlfn.LET(_xlpm.yr, A331, _xlpm.diag, IF(N331&lt;&gt;"", N331, H331), _xlpm.base, TRIM(SUBSTITUTE(SUBSTITUTE(SUBSTITUTE(SUBSTITUTE(_xlpm.diag,"•"," "),CHAR(160)," "),CHAR(10)," "),"  "," ")), LOWER(_xlpm.yr&amp;"|"&amp;_xlpm.base))</f>
        <v>2024|ulcère veineux</v>
      </c>
      <c r="V331" t="str">
        <f>IFERROR(_xlfn.XLOOKUP($AB331,'Cas 2013-2017'!$K:$K,'Cas 2013-2017'!$D:$D,""),"")</f>
        <v/>
      </c>
      <c r="W331" t="str">
        <f>IFERROR(_xlfn.XLOOKUP($AB331,'Cas 2013-2017'!$K:$K,'Cas 2013-2017'!$E:$E,""),"")</f>
        <v/>
      </c>
      <c r="X331" t="str">
        <f>IFERROR(_xlfn.XLOOKUP($AB331,'Cas 2013-2017'!$K:$K,'Cas 2013-2017'!$F:$F,""),"")</f>
        <v/>
      </c>
      <c r="Y331" t="str">
        <f>IFERROR(_xlfn.XLOOKUP($AB331,'Cas 2013-2017'!$K:$K,'Cas 2013-2017'!$G:$G,""),"")</f>
        <v/>
      </c>
      <c r="Z331" t="str">
        <f>IFERROR(_xlfn.XLOOKUP($AB331,'Cas 2013-2017'!$K:$K,'Cas 2013-2017'!$I:$I,""),"")</f>
        <v/>
      </c>
      <c r="AA331" t="str">
        <f>IFERROR(_xlfn.XLOOKUP($AB331,'Cas 2013-2017'!$K:$K,'Cas 2013-2017'!$H:$H,""),"")</f>
        <v/>
      </c>
      <c r="AB331" t="str">
        <f>LOWER($A331 &amp; "|" &amp; $AF331)</f>
        <v>2024|ulcère veineux</v>
      </c>
      <c r="AC331" t="str">
        <f>TRIM(SUBSTITUTE(SUBSTITUTE(SUBSTITUTE(SUBSTITUTE(" " &amp; LOWER(TRIM(IF($N331&lt;&gt;"", $N331, $H331))) &amp; " ", " aomi ", " arteriopathie des membres inferieurs "), " hta ", " hypertension arterielle "), " saos ", " syndrome d'apnees obstructives du sommeil "), " rgo ", " reflux gastro-oesophagien ") )</f>
        <v>ulcère veineux</v>
      </c>
      <c r="AD331" t="str">
        <f>TRIM(SUBSTITUTE(SUBSTITUTE(SUBSTITUTE(SUBSTITUTE(" " &amp; LOWER(TRIM($AC331)) &amp; " ", " oacr ", " occlusion de l'artere centrale de la retine "), " hsd ", " hematome sous-dural "), " fa ", " fibrillation auriculaire "), " ep ", " embolie pulmonaire ") )</f>
        <v>ulcère veineux</v>
      </c>
      <c r="AE331" t="str" cm="1">
        <f t="array" ref="AE331">_xlfn.LET(_xlpm.base, " " &amp; LOWER(TRIM($AD331))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ulcère veineux</v>
      </c>
      <c r="AF331" t="str" cm="1">
        <f t="array" ref="AF331">_xlfn.LET(_xlpm.base, " " &amp; LOWER(TRIM($AE331))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ulcère veineux</v>
      </c>
    </row>
    <row r="332" spans="1:32" ht="117">
      <c r="A332" s="8">
        <v>2024</v>
      </c>
      <c r="B332" s="10" t="s">
        <v>91</v>
      </c>
      <c r="C332" s="8" t="s">
        <v>33</v>
      </c>
      <c r="D332" s="20">
        <v>93</v>
      </c>
      <c r="E332" s="11" t="str">
        <f>IF(D332="","",IFERROR(INDEX(SSP!$E$2:$E$266, MATCH(D332, SSP!$F$2:$F$266, 0)),""))</f>
        <v>Macules, papules, pustules, vésicules, ulcères, abcès, bulles, épaississement cutané, nécrose, tumeur cutanée</v>
      </c>
      <c r="F332" s="11" t="str">
        <f>Feuil1!E332</f>
        <v>Éruption cutanée</v>
      </c>
      <c r="G332" s="12" t="s">
        <v>160</v>
      </c>
      <c r="H332" s="13" t="s">
        <v>1017</v>
      </c>
      <c r="I332" s="13" t="s">
        <v>1018</v>
      </c>
      <c r="J332" s="15" t="s">
        <v>1019</v>
      </c>
      <c r="K332" s="9" t="s">
        <v>1020</v>
      </c>
      <c r="L332" s="9" t="s">
        <v>33</v>
      </c>
      <c r="M332" s="9" t="s">
        <v>33</v>
      </c>
      <c r="N332" t="s">
        <v>1021</v>
      </c>
      <c r="O332" t="str">
        <f>IFERROR(_xlfn.XLOOKUP($D332, SSP!$F:$F, SSP!$E:$E, "Inconnu"), "")</f>
        <v>Macules, papules, pustules, vésicules, ulcères, abcès, bulles, épaississement cutané, nécrose, tumeur cutanée</v>
      </c>
      <c r="P332" t="str">
        <f>IF(OR(E332="", O332=""), "", IF(LOWER(E332)=LOWER(O332), "OK", "⚠️ Libellé ≠ n°"))</f>
        <v>OK</v>
      </c>
      <c r="Q332" t="str">
        <f>IF(Feuil1!$E332="", "", IF(LOWER(Feuil1!$E332)=LOWER(E332), "Identique", "Différent"))</f>
        <v>Différent</v>
      </c>
      <c r="R332" t="str">
        <f>IF(OR(P332="⚠️ Libellé ≠ n°", O332="Inconnu"), "⚠️", IF(Q332="Différent", "ℹ️", ""))</f>
        <v>ℹ️</v>
      </c>
      <c r="S332" t="str" cm="1">
        <f t="array" ref="S332">_xlfn.LET(_xlpm.genCat,IFERROR(LOWER(TRIM(G332)),""),_xlpm.principal,IFERROR(LOWER(TRIM(H332)),""),_xlpm.orig,IFERROR(LOWER(TRIM(N332)),""),IF(OR(_xlpm.genCat="",_xlpm.principal=""),"",IF(LEFT(LOWER(G332),5)="autre","OK (Autre)",IF(OR(ISNUMBER(SEARCH(_xlpm.genCat,_xlpm.principal)),ISNUMBER(SEARCH(_xlpm.principal,_xlpm.genCat)),AND(_xlpm.orig&lt;&gt;"",OR(ISNUMBER(SEARCH(_xlpm.genCat,_xlpm.orig)),ISNUMBER(SEARCH(_xlpm.orig,_xlpm.genCat))))),"OK","⚠️ À vérifier"))))</f>
        <v>OK (Autre)</v>
      </c>
      <c r="T332" t="str">
        <f>IF(S332="","",IF(S332="OK (Autre)","Diagnostic générique = 'Autre – …'",IF(S332="OK","Concordance générique/principal","Écart entre générique et principal")))</f>
        <v>Diagnostic générique = 'Autre – …'</v>
      </c>
      <c r="U332" t="str" cm="1">
        <f t="array" ref="U332">_xlfn.LET(_xlpm.yr, A332, _xlpm.diag, IF(N332&lt;&gt;"", N332, H332), _xlpm.base, TRIM(SUBSTITUTE(SUBSTITUTE(SUBSTITUTE(SUBSTITUTE(_xlpm.diag,"•"," "),CHAR(160)," "),CHAR(10)," "),"  "," ")), LOWER(_xlpm.yr&amp;"|"&amp;_xlpm.base))</f>
        <v>2024|mycose?/teigne?</v>
      </c>
      <c r="V332" t="str">
        <f>IFERROR(_xlfn.XLOOKUP($AB332,'Cas 2013-2017'!$K:$K,'Cas 2013-2017'!$D:$D,""),"")</f>
        <v/>
      </c>
      <c r="W332" t="str">
        <f>IFERROR(_xlfn.XLOOKUP($AB332,'Cas 2013-2017'!$K:$K,'Cas 2013-2017'!$E:$E,""),"")</f>
        <v/>
      </c>
      <c r="X332" t="str">
        <f>IFERROR(_xlfn.XLOOKUP($AB332,'Cas 2013-2017'!$K:$K,'Cas 2013-2017'!$F:$F,""),"")</f>
        <v/>
      </c>
      <c r="Y332" t="str">
        <f>IFERROR(_xlfn.XLOOKUP($AB332,'Cas 2013-2017'!$K:$K,'Cas 2013-2017'!$G:$G,""),"")</f>
        <v/>
      </c>
      <c r="Z332" t="str">
        <f>IFERROR(_xlfn.XLOOKUP($AB332,'Cas 2013-2017'!$K:$K,'Cas 2013-2017'!$I:$I,""),"")</f>
        <v/>
      </c>
      <c r="AA332" t="str">
        <f>IFERROR(_xlfn.XLOOKUP($AB332,'Cas 2013-2017'!$K:$K,'Cas 2013-2017'!$H:$H,""),"")</f>
        <v/>
      </c>
      <c r="AB332" t="str">
        <f>LOWER($A332 &amp; "|" &amp; $AF332)</f>
        <v>2024|mycose?/teigne?</v>
      </c>
      <c r="AC332" t="str">
        <f>TRIM(SUBSTITUTE(SUBSTITUTE(SUBSTITUTE(SUBSTITUTE(" " &amp; LOWER(TRIM(IF($N332&lt;&gt;"", $N332, $H332))) &amp; " ", " aomi ", " arteriopathie des membres inferieurs "), " hta ", " hypertension arterielle "), " saos ", " syndrome d'apnees obstructives du sommeil "), " rgo ", " reflux gastro-oesophagien ") )</f>
        <v>mycose?/teigne?</v>
      </c>
      <c r="AD332" t="str">
        <f>TRIM(SUBSTITUTE(SUBSTITUTE(SUBSTITUTE(SUBSTITUTE(" " &amp; LOWER(TRIM($AC332)) &amp; " ", " oacr ", " occlusion de l'artere centrale de la retine "), " hsd ", " hematome sous-dural "), " fa ", " fibrillation auriculaire "), " ep ", " embolie pulmonaire ") )</f>
        <v>mycose?/teigne?</v>
      </c>
      <c r="AE332" t="str" cm="1">
        <f t="array" ref="AE332">_xlfn.LET(_xlpm.base, " " &amp; LOWER(TRIM($AD332))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mycose?/teigne?</v>
      </c>
      <c r="AF332" t="str" cm="1">
        <f t="array" ref="AF332">_xlfn.LET(_xlpm.base, " " &amp; LOWER(TRIM($AE332))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mycose?/teigne?</v>
      </c>
    </row>
    <row r="333" spans="1:32" ht="84">
      <c r="A333" s="8">
        <v>2024</v>
      </c>
      <c r="B333" s="10" t="s">
        <v>141</v>
      </c>
      <c r="C333" s="8" t="s">
        <v>33</v>
      </c>
      <c r="D333" s="20">
        <v>119</v>
      </c>
      <c r="E333" s="11" t="str">
        <f>IF(D333="","",IFERROR(INDEX(SSP!$E$2:$E$266, MATCH(D333, SSP!$F$2:$F$266, 0)),""))</f>
        <v>Trouble du déficit de l’attention</v>
      </c>
      <c r="F333" s="11" t="str">
        <f>Feuil1!E333</f>
        <v>Trouble de l'humeur</v>
      </c>
      <c r="G333" s="12" t="s">
        <v>291</v>
      </c>
      <c r="H333" s="13" t="s">
        <v>1022</v>
      </c>
      <c r="I333" s="13"/>
      <c r="J333" s="15" t="s">
        <v>1023</v>
      </c>
      <c r="K333" s="9" t="s">
        <v>1024</v>
      </c>
      <c r="L333" s="9" t="s">
        <v>33</v>
      </c>
      <c r="M333" s="9" t="s">
        <v>33</v>
      </c>
      <c r="N333" t="s">
        <v>1022</v>
      </c>
      <c r="O333" t="str">
        <f>IFERROR(_xlfn.XLOOKUP($D333, SSP!$F:$F, SSP!$E:$E, "Inconnu"), "")</f>
        <v>Trouble du déficit de l’attention</v>
      </c>
      <c r="P333" t="str">
        <f>IF(OR(E333="", O333=""), "", IF(LOWER(E333)=LOWER(O333), "OK", "⚠️ Libellé ≠ n°"))</f>
        <v>OK</v>
      </c>
      <c r="Q333" t="str">
        <f>IF(Feuil1!$E333="", "", IF(LOWER(Feuil1!$E333)=LOWER(E333), "Identique", "Différent"))</f>
        <v>Différent</v>
      </c>
      <c r="R333" t="str">
        <f>IF(OR(P333="⚠️ Libellé ≠ n°", O333="Inconnu"), "⚠️", IF(Q333="Différent", "ℹ️", ""))</f>
        <v>ℹ️</v>
      </c>
      <c r="S333" t="str" cm="1">
        <f t="array" ref="S333">_xlfn.LET(_xlpm.genCat,IFERROR(LOWER(TRIM(G333)),""),_xlpm.principal,IFERROR(LOWER(TRIM(H333)),""),_xlpm.orig,IFERROR(LOWER(TRIM(N333)),""),IF(OR(_xlpm.genCat="",_xlpm.principal=""),"",IF(LEFT(LOWER(G333),5)="autre","OK (Autre)",IF(OR(ISNUMBER(SEARCH(_xlpm.genCat,_xlpm.principal)),ISNUMBER(SEARCH(_xlpm.principal,_xlpm.genCat)),AND(_xlpm.orig&lt;&gt;"",OR(ISNUMBER(SEARCH(_xlpm.genCat,_xlpm.orig)),ISNUMBER(SEARCH(_xlpm.orig,_xlpm.genCat))))),"OK","⚠️ À vérifier"))))</f>
        <v>⚠️ À vérifier</v>
      </c>
      <c r="T333" t="str">
        <f>IF(S333="","",IF(S333="OK (Autre)","Diagnostic générique = 'Autre – …'",IF(S333="OK","Concordance générique/principal","Écart entre générique et principal")))</f>
        <v>Écart entre générique et principal</v>
      </c>
      <c r="U333" t="str" cm="1">
        <f t="array" ref="U333">_xlfn.LET(_xlpm.yr, A333, _xlpm.diag, IF(N333&lt;&gt;"", N333, H333), _xlpm.base, TRIM(SUBSTITUTE(SUBSTITUTE(SUBSTITUTE(SUBSTITUTE(_xlpm.diag,"•"," "),CHAR(160)," "),CHAR(10)," "),"  "," ")), LOWER(_xlpm.yr&amp;"|"&amp;_xlpm.base))</f>
        <v>2024|épisode dépressif</v>
      </c>
      <c r="V333" t="str">
        <f>IFERROR(_xlfn.XLOOKUP($AB333,'Cas 2013-2017'!$K:$K,'Cas 2013-2017'!$D:$D,""),"")</f>
        <v/>
      </c>
      <c r="W333" t="str">
        <f>IFERROR(_xlfn.XLOOKUP($AB333,'Cas 2013-2017'!$K:$K,'Cas 2013-2017'!$E:$E,""),"")</f>
        <v/>
      </c>
      <c r="X333" t="str">
        <f>IFERROR(_xlfn.XLOOKUP($AB333,'Cas 2013-2017'!$K:$K,'Cas 2013-2017'!$F:$F,""),"")</f>
        <v/>
      </c>
      <c r="Y333" t="str">
        <f>IFERROR(_xlfn.XLOOKUP($AB333,'Cas 2013-2017'!$K:$K,'Cas 2013-2017'!$G:$G,""),"")</f>
        <v/>
      </c>
      <c r="Z333" t="str">
        <f>IFERROR(_xlfn.XLOOKUP($AB333,'Cas 2013-2017'!$K:$K,'Cas 2013-2017'!$I:$I,""),"")</f>
        <v/>
      </c>
      <c r="AA333" t="str">
        <f>IFERROR(_xlfn.XLOOKUP($AB333,'Cas 2013-2017'!$K:$K,'Cas 2013-2017'!$H:$H,""),"")</f>
        <v/>
      </c>
      <c r="AB333" t="str">
        <f>LOWER($A333 &amp; "|" &amp; $AF333)</f>
        <v>2024|épisode dépressif</v>
      </c>
      <c r="AC333" t="str">
        <f>TRIM(SUBSTITUTE(SUBSTITUTE(SUBSTITUTE(SUBSTITUTE(" " &amp; LOWER(TRIM(IF($N333&lt;&gt;"", $N333, $H333))) &amp; " ", " aomi ", " arteriopathie des membres inferieurs "), " hta ", " hypertension arterielle "), " saos ", " syndrome d'apnees obstructives du sommeil "), " rgo ", " reflux gastro-oesophagien ") )</f>
        <v>épisode dépressif</v>
      </c>
      <c r="AD333" t="str">
        <f>TRIM(SUBSTITUTE(SUBSTITUTE(SUBSTITUTE(SUBSTITUTE(" " &amp; LOWER(TRIM($AC333)) &amp; " ", " oacr ", " occlusion de l'artere centrale de la retine "), " hsd ", " hematome sous-dural "), " fa ", " fibrillation auriculaire "), " ep ", " embolie pulmonaire ") )</f>
        <v>épisode dépressif</v>
      </c>
      <c r="AE333" t="str" cm="1">
        <f t="array" ref="AE333">_xlfn.LET(_xlpm.base, " " &amp; LOWER(TRIM($AD333))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épisode dépressif</v>
      </c>
      <c r="AF333" t="str" cm="1">
        <f t="array" ref="AF333">_xlfn.LET(_xlpm.base, " " &amp; LOWER(TRIM($AE333))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épisode dépressif</v>
      </c>
    </row>
    <row r="334" spans="1:32" ht="100.5">
      <c r="A334" s="8">
        <v>2024</v>
      </c>
      <c r="B334" s="10" t="s">
        <v>133</v>
      </c>
      <c r="C334" s="8" t="s">
        <v>451</v>
      </c>
      <c r="D334" s="20">
        <v>45</v>
      </c>
      <c r="E334" s="11" t="str">
        <f>IF(D334="","",IFERROR(INDEX(SSP!$E$2:$E$266, MATCH(D334, SSP!$F$2:$F$266, 0)),""))</f>
        <v>Toux, expectoration, hémoptysie</v>
      </c>
      <c r="F334" s="11" t="str">
        <f>Feuil1!E334</f>
        <v>Toux</v>
      </c>
      <c r="G334" s="12" t="s">
        <v>271</v>
      </c>
      <c r="H334" s="13" t="s">
        <v>1025</v>
      </c>
      <c r="I334" s="14" t="s">
        <v>1026</v>
      </c>
      <c r="J334" s="15" t="s">
        <v>1027</v>
      </c>
      <c r="K334" s="9" t="s">
        <v>1028</v>
      </c>
      <c r="L334" s="9" t="s">
        <v>33</v>
      </c>
      <c r="M334" s="9" t="s">
        <v>33</v>
      </c>
      <c r="N334" t="s">
        <v>1029</v>
      </c>
      <c r="O334" t="str">
        <f>IFERROR(_xlfn.XLOOKUP($D334, SSP!$F:$F, SSP!$E:$E, "Inconnu"), "")</f>
        <v>Toux, expectoration, hémoptysie</v>
      </c>
      <c r="P334" t="str">
        <f>IF(OR(E334="", O334=""), "", IF(LOWER(E334)=LOWER(O334), "OK", "⚠️ Libellé ≠ n°"))</f>
        <v>OK</v>
      </c>
      <c r="Q334" t="str">
        <f>IF(Feuil1!$E334="", "", IF(LOWER(Feuil1!$E334)=LOWER(E334), "Identique", "Différent"))</f>
        <v>Différent</v>
      </c>
      <c r="R334" t="str">
        <f>IF(OR(P334="⚠️ Libellé ≠ n°", O334="Inconnu"), "⚠️", IF(Q334="Différent", "ℹ️", ""))</f>
        <v>ℹ️</v>
      </c>
      <c r="S334" t="str" cm="1">
        <f t="array" ref="S334">_xlfn.LET(_xlpm.genCat,IFERROR(LOWER(TRIM(G334)),""),_xlpm.principal,IFERROR(LOWER(TRIM(H334)),""),_xlpm.orig,IFERROR(LOWER(TRIM(N334)),""),IF(OR(_xlpm.genCat="",_xlpm.principal=""),"",IF(LEFT(LOWER(G334),5)="autre","OK (Autre)",IF(OR(ISNUMBER(SEARCH(_xlpm.genCat,_xlpm.principal)),ISNUMBER(SEARCH(_xlpm.principal,_xlpm.genCat)),AND(_xlpm.orig&lt;&gt;"",OR(ISNUMBER(SEARCH(_xlpm.genCat,_xlpm.orig)),ISNUMBER(SEARCH(_xlpm.orig,_xlpm.genCat))))),"OK","⚠️ À vérifier"))))</f>
        <v>OK</v>
      </c>
      <c r="T334" t="str">
        <f>IF(S334="","",IF(S334="OK (Autre)","Diagnostic générique = 'Autre – …'",IF(S334="OK","Concordance générique/principal","Écart entre générique et principal")))</f>
        <v>Concordance générique/principal</v>
      </c>
      <c r="U334" t="str" cm="1">
        <f t="array" ref="U334">_xlfn.LET(_xlpm.yr, A334, _xlpm.diag, IF(N334&lt;&gt;"", N334, H334), _xlpm.base, TRIM(SUBSTITUTE(SUBSTITUTE(SUBSTITUTE(SUBSTITUTE(_xlpm.diag,"•"," "),CHAR(160)," "),CHAR(10)," "),"  "," ")), LOWER(_xlpm.yr&amp;"|"&amp;_xlpm.base))</f>
        <v>2024|décompensation bpco, cancer pulmonaire, bronchite, tuberculose (ep, pneumonie, cardiaque)</v>
      </c>
      <c r="V334" t="str">
        <f>IFERROR(_xlfn.XLOOKUP($AB334,'Cas 2013-2017'!$K:$K,'Cas 2013-2017'!$D:$D,""),"")</f>
        <v/>
      </c>
      <c r="W334" t="str">
        <f>IFERROR(_xlfn.XLOOKUP($AB334,'Cas 2013-2017'!$K:$K,'Cas 2013-2017'!$E:$E,""),"")</f>
        <v/>
      </c>
      <c r="X334" t="str">
        <f>IFERROR(_xlfn.XLOOKUP($AB334,'Cas 2013-2017'!$K:$K,'Cas 2013-2017'!$F:$F,""),"")</f>
        <v/>
      </c>
      <c r="Y334" t="str">
        <f>IFERROR(_xlfn.XLOOKUP($AB334,'Cas 2013-2017'!$K:$K,'Cas 2013-2017'!$G:$G,""),"")</f>
        <v/>
      </c>
      <c r="Z334" t="str">
        <f>IFERROR(_xlfn.XLOOKUP($AB334,'Cas 2013-2017'!$K:$K,'Cas 2013-2017'!$I:$I,""),"")</f>
        <v/>
      </c>
      <c r="AA334" t="str">
        <f>IFERROR(_xlfn.XLOOKUP($AB334,'Cas 2013-2017'!$K:$K,'Cas 2013-2017'!$H:$H,""),"")</f>
        <v/>
      </c>
      <c r="AB334" t="str">
        <f>LOWER($A334 &amp; "|" &amp; $AF334)</f>
        <v>2024|décompensation bpco, cancer pulmonaire, bronchite, tuberculose (ep, pneumonie, cardiaque)</v>
      </c>
      <c r="AC334" t="str">
        <f>TRIM(SUBSTITUTE(SUBSTITUTE(SUBSTITUTE(SUBSTITUTE(" " &amp; LOWER(TRIM(IF($N334&lt;&gt;"", $N334, $H334))) &amp; " ", " aomi ", " arteriopathie des membres inferieurs "), " hta ", " hypertension arterielle "), " saos ", " syndrome d'apnees obstructives du sommeil "), " rgo ", " reflux gastro-oesophagien ") )</f>
        <v>décompensation bpco, cancer pulmonaire, bronchite, tuberculose (ep, pneumonie, cardiaque)</v>
      </c>
      <c r="AD334" t="str">
        <f>TRIM(SUBSTITUTE(SUBSTITUTE(SUBSTITUTE(SUBSTITUTE(" " &amp; LOWER(TRIM($AC334)) &amp; " ", " oacr ", " occlusion de l'artere centrale de la retine "), " hsd ", " hematome sous-dural "), " fa ", " fibrillation auriculaire "), " ep ", " embolie pulmonaire ") )</f>
        <v>décompensation bpco, cancer pulmonaire, bronchite, tuberculose (ep, pneumonie, cardiaque)</v>
      </c>
      <c r="AE334" t="str" cm="1">
        <f t="array" ref="AE334">_xlfn.LET(_xlpm.base, " " &amp; LOWER(TRIM($AD334))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décompensation bpco, cancer pulmonaire, bronchite, tuberculose (ep, pneumonie, cardiaque)</v>
      </c>
      <c r="AF334" t="str" cm="1">
        <f t="array" ref="AF334">_xlfn.LET(_xlpm.base, " " &amp; LOWER(TRIM($AE334))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décompensation bpco, cancer pulmonaire, bronchite, tuberculose (ep, pneumonie, cardiaque)</v>
      </c>
    </row>
    <row r="335" spans="1:32" ht="100.5">
      <c r="A335" s="8">
        <v>2024</v>
      </c>
      <c r="B335" s="10" t="s">
        <v>32</v>
      </c>
      <c r="C335" s="8" t="s">
        <v>990</v>
      </c>
      <c r="D335" s="20">
        <v>52</v>
      </c>
      <c r="E335" s="11" t="str">
        <f>IF(D335="","",IFERROR(INDEX(SSP!$E$2:$E$266, MATCH(D335, SSP!$F$2:$F$266, 0)),""))</f>
        <v>Douleur abdominale ou épigastrique</v>
      </c>
      <c r="F335" s="11" t="str">
        <f>Feuil1!E335</f>
        <v>Douleur abdominale</v>
      </c>
      <c r="G335" s="12" t="s">
        <v>166</v>
      </c>
      <c r="H335" s="13" t="s">
        <v>1030</v>
      </c>
      <c r="I335" s="14"/>
      <c r="J335" s="15" t="s">
        <v>1031</v>
      </c>
      <c r="K335" s="9" t="s">
        <v>1032</v>
      </c>
      <c r="L335" s="9" t="s">
        <v>33</v>
      </c>
      <c r="M335" s="9" t="s">
        <v>33</v>
      </c>
      <c r="N335" t="s">
        <v>1030</v>
      </c>
      <c r="O335" t="str">
        <f>IFERROR(_xlfn.XLOOKUP($D335, SSP!$F:$F, SSP!$E:$E, "Inconnu"), "")</f>
        <v>Douleur abdominale ou épigastrique</v>
      </c>
      <c r="P335" t="str">
        <f>IF(OR(E335="", O335=""), "", IF(LOWER(E335)=LOWER(O335), "OK", "⚠️ Libellé ≠ n°"))</f>
        <v>OK</v>
      </c>
      <c r="Q335" t="str">
        <f>IF(Feuil1!$E335="", "", IF(LOWER(Feuil1!$E335)=LOWER(E335), "Identique", "Différent"))</f>
        <v>Différent</v>
      </c>
      <c r="R335" t="str">
        <f>IF(OR(P335="⚠️ Libellé ≠ n°", O335="Inconnu"), "⚠️", IF(Q335="Différent", "ℹ️", ""))</f>
        <v>ℹ️</v>
      </c>
      <c r="S335" t="str" cm="1">
        <f t="array" ref="S335">_xlfn.LET(_xlpm.genCat,IFERROR(LOWER(TRIM(G335)),""),_xlpm.principal,IFERROR(LOWER(TRIM(H335)),""),_xlpm.orig,IFERROR(LOWER(TRIM(N335)),""),IF(OR(_xlpm.genCat="",_xlpm.principal=""),"",IF(LEFT(LOWER(G335),5)="autre","OK (Autre)",IF(OR(ISNUMBER(SEARCH(_xlpm.genCat,_xlpm.principal)),ISNUMBER(SEARCH(_xlpm.principal,_xlpm.genCat)),AND(_xlpm.orig&lt;&gt;"",OR(ISNUMBER(SEARCH(_xlpm.genCat,_xlpm.orig)),ISNUMBER(SEARCH(_xlpm.orig,_xlpm.genCat))))),"OK","⚠️ À vérifier"))))</f>
        <v>⚠️ À vérifier</v>
      </c>
      <c r="T335" t="str">
        <f>IF(S335="","",IF(S335="OK (Autre)","Diagnostic générique = 'Autre – …'",IF(S335="OK","Concordance générique/principal","Écart entre générique et principal")))</f>
        <v>Écart entre générique et principal</v>
      </c>
      <c r="U335" t="str" cm="1">
        <f t="array" ref="U335">_xlfn.LET(_xlpm.yr, A335, _xlpm.diag, IF(N335&lt;&gt;"", N335, H335), _xlpm.base, TRIM(SUBSTITUTE(SUBSTITUTE(SUBSTITUTE(SUBSTITUTE(_xlpm.diag,"•"," "),CHAR(160)," "),CHAR(10)," "),"  "," ")), LOWER(_xlpm.yr&amp;"|"&amp;_xlpm.base))</f>
        <v>2024|stemi (sca, dissection aortique, pancréatite aiguë, ulcère gastrique)</v>
      </c>
      <c r="V335" t="str">
        <f>IFERROR(_xlfn.XLOOKUP($AB335,'Cas 2013-2017'!$K:$K,'Cas 2013-2017'!$D:$D,""),"")</f>
        <v/>
      </c>
      <c r="W335" t="str">
        <f>IFERROR(_xlfn.XLOOKUP($AB335,'Cas 2013-2017'!$K:$K,'Cas 2013-2017'!$E:$E,""),"")</f>
        <v/>
      </c>
      <c r="X335" t="str">
        <f>IFERROR(_xlfn.XLOOKUP($AB335,'Cas 2013-2017'!$K:$K,'Cas 2013-2017'!$F:$F,""),"")</f>
        <v/>
      </c>
      <c r="Y335" t="str">
        <f>IFERROR(_xlfn.XLOOKUP($AB335,'Cas 2013-2017'!$K:$K,'Cas 2013-2017'!$G:$G,""),"")</f>
        <v/>
      </c>
      <c r="Z335" t="str">
        <f>IFERROR(_xlfn.XLOOKUP($AB335,'Cas 2013-2017'!$K:$K,'Cas 2013-2017'!$I:$I,""),"")</f>
        <v/>
      </c>
      <c r="AA335" t="str">
        <f>IFERROR(_xlfn.XLOOKUP($AB335,'Cas 2013-2017'!$K:$K,'Cas 2013-2017'!$H:$H,""),"")</f>
        <v/>
      </c>
      <c r="AB335" t="str">
        <f>LOWER($A335 &amp; "|" &amp; $AF335)</f>
        <v>2024|stemi (sca, dissection aortique, pancréatite aiguë, ulcère gastrique)</v>
      </c>
      <c r="AC335" t="str">
        <f>TRIM(SUBSTITUTE(SUBSTITUTE(SUBSTITUTE(SUBSTITUTE(" " &amp; LOWER(TRIM(IF($N335&lt;&gt;"", $N335, $H335))) &amp; " ", " aomi ", " arteriopathie des membres inferieurs "), " hta ", " hypertension arterielle "), " saos ", " syndrome d'apnees obstructives du sommeil "), " rgo ", " reflux gastro-oesophagien ") )</f>
        <v>stemi (sca, dissection aortique, pancréatite aiguë, ulcère gastrique)</v>
      </c>
      <c r="AD335" t="str">
        <f>TRIM(SUBSTITUTE(SUBSTITUTE(SUBSTITUTE(SUBSTITUTE(" " &amp; LOWER(TRIM($AC335)) &amp; " ", " oacr ", " occlusion de l'artere centrale de la retine "), " hsd ", " hematome sous-dural "), " fa ", " fibrillation auriculaire "), " ep ", " embolie pulmonaire ") )</f>
        <v>stemi (sca, dissection aortique, pancréatite aiguë, ulcère gastrique)</v>
      </c>
      <c r="AE335" t="str" cm="1">
        <f t="array" ref="AE335">_xlfn.LET(_xlpm.base, " " &amp; LOWER(TRIM($AD335))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stemi (sca, dissection aortique, pancréatite aiguë, ulcère gastrique)</v>
      </c>
      <c r="AF335" t="str" cm="1">
        <f t="array" ref="AF335">_xlfn.LET(_xlpm.base, " " &amp; LOWER(TRIM($AE335))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stemi (sca, dissection aortique, pancréatite aiguë, ulcère gastrique)</v>
      </c>
    </row>
    <row r="336" spans="1:32" ht="100.5">
      <c r="A336" s="8">
        <v>2024</v>
      </c>
      <c r="B336" s="10" t="s">
        <v>221</v>
      </c>
      <c r="C336" s="8" t="s">
        <v>33</v>
      </c>
      <c r="D336" s="20">
        <v>10</v>
      </c>
      <c r="E336" s="11" t="str">
        <f>IF(D336="","",IFERROR(INDEX(SSP!$E$2:$E$266, MATCH(D336, SSP!$F$2:$F$266, 0)),""))</f>
        <v>Douleur (toutes localisations et types confondus)</v>
      </c>
      <c r="F336" s="11" t="str">
        <f>Feuil1!E336</f>
        <v>Douleur épaule</v>
      </c>
      <c r="G336" s="12" t="s">
        <v>1033</v>
      </c>
      <c r="H336" s="13" t="s">
        <v>1034</v>
      </c>
      <c r="I336" s="13"/>
      <c r="J336" s="15" t="s">
        <v>1035</v>
      </c>
      <c r="K336" s="9" t="s">
        <v>1036</v>
      </c>
      <c r="L336" s="9" t="s">
        <v>33</v>
      </c>
      <c r="M336" s="9" t="s">
        <v>33</v>
      </c>
      <c r="N336" t="s">
        <v>1037</v>
      </c>
      <c r="O336" t="str">
        <f>IFERROR(_xlfn.XLOOKUP($D336, SSP!$F:$F, SSP!$E:$E, "Inconnu"), "")</f>
        <v>Douleur (toutes localisations et types confondus)</v>
      </c>
      <c r="P336" t="str">
        <f>IF(OR(E336="", O336=""), "", IF(LOWER(E336)=LOWER(O336), "OK", "⚠️ Libellé ≠ n°"))</f>
        <v>OK</v>
      </c>
      <c r="Q336" t="str">
        <f>IF(Feuil1!$E336="", "", IF(LOWER(Feuil1!$E336)=LOWER(E336), "Identique", "Différent"))</f>
        <v>Différent</v>
      </c>
      <c r="R336" t="str">
        <f>IF(OR(P336="⚠️ Libellé ≠ n°", O336="Inconnu"), "⚠️", IF(Q336="Différent", "ℹ️", ""))</f>
        <v>ℹ️</v>
      </c>
      <c r="S336" t="str" cm="1">
        <f t="array" ref="S336">_xlfn.LET(_xlpm.genCat,IFERROR(LOWER(TRIM(G336)),""),_xlpm.principal,IFERROR(LOWER(TRIM(H336)),""),_xlpm.orig,IFERROR(LOWER(TRIM(N336)),""),IF(OR(_xlpm.genCat="",_xlpm.principal=""),"",IF(LEFT(LOWER(G336),5)="autre","OK (Autre)",IF(OR(ISNUMBER(SEARCH(_xlpm.genCat,_xlpm.principal)),ISNUMBER(SEARCH(_xlpm.principal,_xlpm.genCat)),AND(_xlpm.orig&lt;&gt;"",OR(ISNUMBER(SEARCH(_xlpm.genCat,_xlpm.orig)),ISNUMBER(SEARCH(_xlpm.orig,_xlpm.genCat))))),"OK","⚠️ À vérifier"))))</f>
        <v>⚠️ À vérifier</v>
      </c>
      <c r="T336" t="str">
        <f>IF(S336="","",IF(S336="OK (Autre)","Diagnostic générique = 'Autre – …'",IF(S336="OK","Concordance générique/principal","Écart entre générique et principal")))</f>
        <v>Écart entre générique et principal</v>
      </c>
      <c r="U336" t="str" cm="1">
        <f t="array" ref="U336">_xlfn.LET(_xlpm.yr, A336, _xlpm.diag, IF(N336&lt;&gt;"", N336, H336), _xlpm.base, TRIM(SUBSTITUTE(SUBSTITUTE(SUBSTITUTE(SUBSTITUTE(_xlpm.diag,"•"," "),CHAR(160)," "),CHAR(10)," "),"  "," ")), LOWER(_xlpm.yr&amp;"|"&amp;_xlpm.base))</f>
        <v>2024|chondrocalcinose</v>
      </c>
      <c r="V336" t="str">
        <f>IFERROR(_xlfn.XLOOKUP($AB336,'Cas 2013-2017'!$K:$K,'Cas 2013-2017'!$D:$D,""),"")</f>
        <v/>
      </c>
      <c r="W336" t="str">
        <f>IFERROR(_xlfn.XLOOKUP($AB336,'Cas 2013-2017'!$K:$K,'Cas 2013-2017'!$E:$E,""),"")</f>
        <v/>
      </c>
      <c r="X336" t="str">
        <f>IFERROR(_xlfn.XLOOKUP($AB336,'Cas 2013-2017'!$K:$K,'Cas 2013-2017'!$F:$F,""),"")</f>
        <v/>
      </c>
      <c r="Y336" t="str">
        <f>IFERROR(_xlfn.XLOOKUP($AB336,'Cas 2013-2017'!$K:$K,'Cas 2013-2017'!$G:$G,""),"")</f>
        <v/>
      </c>
      <c r="Z336" t="str">
        <f>IFERROR(_xlfn.XLOOKUP($AB336,'Cas 2013-2017'!$K:$K,'Cas 2013-2017'!$I:$I,""),"")</f>
        <v/>
      </c>
      <c r="AA336" t="str">
        <f>IFERROR(_xlfn.XLOOKUP($AB336,'Cas 2013-2017'!$K:$K,'Cas 2013-2017'!$H:$H,""),"")</f>
        <v/>
      </c>
      <c r="AB336" t="str">
        <f>LOWER($A336 &amp; "|" &amp; $AF336)</f>
        <v>2024|chondrocalcinose</v>
      </c>
      <c r="AC336" t="str">
        <f>TRIM(SUBSTITUTE(SUBSTITUTE(SUBSTITUTE(SUBSTITUTE(" " &amp; LOWER(TRIM(IF($N336&lt;&gt;"", $N336, $H336))) &amp; " ", " aomi ", " arteriopathie des membres inferieurs "), " hta ", " hypertension arterielle "), " saos ", " syndrome d'apnees obstructives du sommeil "), " rgo ", " reflux gastro-oesophagien ") )</f>
        <v>chondrocalcinose</v>
      </c>
      <c r="AD336" t="str">
        <f>TRIM(SUBSTITUTE(SUBSTITUTE(SUBSTITUTE(SUBSTITUTE(" " &amp; LOWER(TRIM($AC336)) &amp; " ", " oacr ", " occlusion de l'artere centrale de la retine "), " hsd ", " hematome sous-dural "), " fa ", " fibrillation auriculaire "), " ep ", " embolie pulmonaire ") )</f>
        <v>chondrocalcinose</v>
      </c>
      <c r="AE336" t="str" cm="1">
        <f t="array" ref="AE336">_xlfn.LET(_xlpm.base, " " &amp; LOWER(TRIM($AD336))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chondrocalcinose</v>
      </c>
      <c r="AF336" t="str" cm="1">
        <f t="array" ref="AF336">_xlfn.LET(_xlpm.base, " " &amp; LOWER(TRIM($AE336))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chondrocalcinose</v>
      </c>
    </row>
    <row r="337" spans="1:32" ht="117">
      <c r="A337" s="8">
        <v>2024</v>
      </c>
      <c r="B337" s="10" t="s">
        <v>82</v>
      </c>
      <c r="C337" s="8" t="s">
        <v>33</v>
      </c>
      <c r="D337" s="20">
        <v>69</v>
      </c>
      <c r="E337" s="11" t="str">
        <f>IF(D337="","",IFERROR(INDEX(SSP!$E$2:$E$266, MATCH(D337, SSP!$F$2:$F$266, 0)),""))</f>
        <v>Demande de contraception, contraception d’urgence</v>
      </c>
      <c r="F337" s="11" t="str">
        <f>Feuil1!E337</f>
        <v>Contraception</v>
      </c>
      <c r="G337" s="12" t="s">
        <v>83</v>
      </c>
      <c r="H337" s="13" t="s">
        <v>1038</v>
      </c>
      <c r="I337" s="13"/>
      <c r="J337" s="15" t="s">
        <v>1039</v>
      </c>
      <c r="K337" s="9" t="s">
        <v>1040</v>
      </c>
      <c r="L337" s="9" t="s">
        <v>33</v>
      </c>
      <c r="M337" s="9" t="s">
        <v>33</v>
      </c>
      <c r="N337" t="s">
        <v>1038</v>
      </c>
      <c r="O337" t="str">
        <f>IFERROR(_xlfn.XLOOKUP($D337, SSP!$F:$F, SSP!$E:$E, "Inconnu"), "")</f>
        <v>Demande de contraception, contraception d’urgence</v>
      </c>
      <c r="P337" t="str">
        <f>IF(OR(E337="", O337=""), "", IF(LOWER(E337)=LOWER(O337), "OK", "⚠️ Libellé ≠ n°"))</f>
        <v>OK</v>
      </c>
      <c r="Q337" t="str">
        <f>IF(Feuil1!$E337="", "", IF(LOWER(Feuil1!$E337)=LOWER(E337), "Identique", "Différent"))</f>
        <v>Différent</v>
      </c>
      <c r="R337" t="str">
        <f>IF(OR(P337="⚠️ Libellé ≠ n°", O337="Inconnu"), "⚠️", IF(Q337="Différent", "ℹ️", ""))</f>
        <v>ℹ️</v>
      </c>
      <c r="S337" t="str" cm="1">
        <f t="array" ref="S337">_xlfn.LET(_xlpm.genCat,IFERROR(LOWER(TRIM(G337)),""),_xlpm.principal,IFERROR(LOWER(TRIM(H337)),""),_xlpm.orig,IFERROR(LOWER(TRIM(N337)),""),IF(OR(_xlpm.genCat="",_xlpm.principal=""),"",IF(LEFT(LOWER(G337),5)="autre","OK (Autre)",IF(OR(ISNUMBER(SEARCH(_xlpm.genCat,_xlpm.principal)),ISNUMBER(SEARCH(_xlpm.principal,_xlpm.genCat)),AND(_xlpm.orig&lt;&gt;"",OR(ISNUMBER(SEARCH(_xlpm.genCat,_xlpm.orig)),ISNUMBER(SEARCH(_xlpm.orig,_xlpm.genCat))))),"OK","⚠️ À vérifier"))))</f>
        <v>OK (Autre)</v>
      </c>
      <c r="T337" t="str">
        <f>IF(S337="","",IF(S337="OK (Autre)","Diagnostic générique = 'Autre – …'",IF(S337="OK","Concordance générique/principal","Écart entre générique et principal")))</f>
        <v>Diagnostic générique = 'Autre – …'</v>
      </c>
      <c r="U337" t="str" cm="1">
        <f t="array" ref="U337">_xlfn.LET(_xlpm.yr, A337, _xlpm.diag, IF(N337&lt;&gt;"", N337, H337), _xlpm.base, TRIM(SUBSTITUTE(SUBSTITUTE(SUBSTITUTE(SUBSTITUTE(_xlpm.diag,"•"," "),CHAR(160)," "),CHAR(10)," "),"  "," ")), LOWER(_xlpm.yr&amp;"|"&amp;_xlpm.base))</f>
        <v>2024|sd</v>
      </c>
      <c r="V337" t="str">
        <f>IFERROR(_xlfn.XLOOKUP($AB337,'Cas 2013-2017'!$K:$K,'Cas 2013-2017'!$D:$D,""),"")</f>
        <v/>
      </c>
      <c r="W337" t="str">
        <f>IFERROR(_xlfn.XLOOKUP($AB337,'Cas 2013-2017'!$K:$K,'Cas 2013-2017'!$E:$E,""),"")</f>
        <v/>
      </c>
      <c r="X337" t="str">
        <f>IFERROR(_xlfn.XLOOKUP($AB337,'Cas 2013-2017'!$K:$K,'Cas 2013-2017'!$F:$F,""),"")</f>
        <v/>
      </c>
      <c r="Y337" t="str">
        <f>IFERROR(_xlfn.XLOOKUP($AB337,'Cas 2013-2017'!$K:$K,'Cas 2013-2017'!$G:$G,""),"")</f>
        <v/>
      </c>
      <c r="Z337" t="str">
        <f>IFERROR(_xlfn.XLOOKUP($AB337,'Cas 2013-2017'!$K:$K,'Cas 2013-2017'!$I:$I,""),"")</f>
        <v/>
      </c>
      <c r="AA337" t="str">
        <f>IFERROR(_xlfn.XLOOKUP($AB337,'Cas 2013-2017'!$K:$K,'Cas 2013-2017'!$H:$H,""),"")</f>
        <v/>
      </c>
      <c r="AB337" t="str">
        <f>LOWER($A337 &amp; "|" &amp; $AF337)</f>
        <v>2024|sd</v>
      </c>
      <c r="AC337" t="str">
        <f>TRIM(SUBSTITUTE(SUBSTITUTE(SUBSTITUTE(SUBSTITUTE(" " &amp; LOWER(TRIM(IF($N337&lt;&gt;"", $N337, $H337))) &amp; " ", " aomi ", " arteriopathie des membres inferieurs "), " hta ", " hypertension arterielle "), " saos ", " syndrome d'apnees obstructives du sommeil "), " rgo ", " reflux gastro-oesophagien ") )</f>
        <v>sd</v>
      </c>
      <c r="AD337" t="str">
        <f>TRIM(SUBSTITUTE(SUBSTITUTE(SUBSTITUTE(SUBSTITUTE(" " &amp; LOWER(TRIM($AC337)) &amp; " ", " oacr ", " occlusion de l'artere centrale de la retine "), " hsd ", " hematome sous-dural "), " fa ", " fibrillation auriculaire "), " ep ", " embolie pulmonaire ") )</f>
        <v>sd</v>
      </c>
      <c r="AE337" t="str" cm="1">
        <f t="array" ref="AE337">_xlfn.LET(_xlpm.base, " " &amp; LOWER(TRIM($AD337))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sd</v>
      </c>
      <c r="AF337" t="str" cm="1">
        <f t="array" ref="AF337">_xlfn.LET(_xlpm.base, " " &amp; LOWER(TRIM($AE337))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sd</v>
      </c>
    </row>
    <row r="338" spans="1:32" ht="84">
      <c r="A338" s="8">
        <v>2024</v>
      </c>
      <c r="B338" s="10" t="s">
        <v>32</v>
      </c>
      <c r="C338" s="8" t="s">
        <v>33</v>
      </c>
      <c r="D338" s="20">
        <v>149</v>
      </c>
      <c r="E338" s="11" t="str">
        <f>IF(D338="","",IFERROR(INDEX(SSP!$E$2:$E$266, MATCH(D338, SSP!$F$2:$F$266, 0)),""))</f>
        <v>Perte transitoire de conscience, syncope</v>
      </c>
      <c r="F338" s="11" t="str">
        <f>Feuil1!E338</f>
        <v>Syncope</v>
      </c>
      <c r="G338" s="12" t="s">
        <v>757</v>
      </c>
      <c r="H338" s="13" t="s">
        <v>1041</v>
      </c>
      <c r="I338" s="13"/>
      <c r="J338" s="15" t="s">
        <v>1042</v>
      </c>
      <c r="K338" s="9" t="s">
        <v>1043</v>
      </c>
      <c r="L338" s="9" t="s">
        <v>33</v>
      </c>
      <c r="M338" s="9" t="s">
        <v>33</v>
      </c>
      <c r="N338" t="s">
        <v>1044</v>
      </c>
      <c r="O338" t="str">
        <f>IFERROR(_xlfn.XLOOKUP($D338, SSP!$F:$F, SSP!$E:$E, "Inconnu"), "")</f>
        <v>Perte transitoire de conscience, syncope</v>
      </c>
      <c r="P338" t="str">
        <f>IF(OR(E338="", O338=""), "", IF(LOWER(E338)=LOWER(O338), "OK", "⚠️ Libellé ≠ n°"))</f>
        <v>OK</v>
      </c>
      <c r="Q338" t="str">
        <f>IF(Feuil1!$E338="", "", IF(LOWER(Feuil1!$E338)=LOWER(E338), "Identique", "Différent"))</f>
        <v>Différent</v>
      </c>
      <c r="R338" t="str">
        <f>IF(OR(P338="⚠️ Libellé ≠ n°", O338="Inconnu"), "⚠️", IF(Q338="Différent", "ℹ️", ""))</f>
        <v>ℹ️</v>
      </c>
      <c r="S338" t="str" cm="1">
        <f t="array" ref="S338">_xlfn.LET(_xlpm.genCat,IFERROR(LOWER(TRIM(G338)),""),_xlpm.principal,IFERROR(LOWER(TRIM(H338)),""),_xlpm.orig,IFERROR(LOWER(TRIM(N338)),""),IF(OR(_xlpm.genCat="",_xlpm.principal=""),"",IF(LEFT(LOWER(G338),5)="autre","OK (Autre)",IF(OR(ISNUMBER(SEARCH(_xlpm.genCat,_xlpm.principal)),ISNUMBER(SEARCH(_xlpm.principal,_xlpm.genCat)),AND(_xlpm.orig&lt;&gt;"",OR(ISNUMBER(SEARCH(_xlpm.genCat,_xlpm.orig)),ISNUMBER(SEARCH(_xlpm.orig,_xlpm.genCat))))),"OK","⚠️ À vérifier"))))</f>
        <v>OK</v>
      </c>
      <c r="T338" t="str">
        <f>IF(S338="","",IF(S338="OK (Autre)","Diagnostic générique = 'Autre – …'",IF(S338="OK","Concordance générique/principal","Écart entre générique et principal")))</f>
        <v>Concordance générique/principal</v>
      </c>
      <c r="U338" t="str" cm="1">
        <f t="array" ref="U338">_xlfn.LET(_xlpm.yr, A338, _xlpm.diag, IF(N338&lt;&gt;"", N338, H338), _xlpm.base, TRIM(SUBSTITUTE(SUBSTITUTE(SUBSTITUTE(SUBSTITUTE(_xlpm.diag,"•"," "),CHAR(160)," "),CHAR(10)," "),"  "," ")), LOWER(_xlpm.yr&amp;"|"&amp;_xlpm.base))</f>
        <v>2024|syncope vaso-vagale (syncope cardiaque, épilepsie)</v>
      </c>
      <c r="V338" t="str">
        <f>IFERROR(_xlfn.XLOOKUP($AB338,'Cas 2013-2017'!$K:$K,'Cas 2013-2017'!$D:$D,""),"")</f>
        <v/>
      </c>
      <c r="W338" t="str">
        <f>IFERROR(_xlfn.XLOOKUP($AB338,'Cas 2013-2017'!$K:$K,'Cas 2013-2017'!$E:$E,""),"")</f>
        <v/>
      </c>
      <c r="X338" t="str">
        <f>IFERROR(_xlfn.XLOOKUP($AB338,'Cas 2013-2017'!$K:$K,'Cas 2013-2017'!$F:$F,""),"")</f>
        <v/>
      </c>
      <c r="Y338" t="str">
        <f>IFERROR(_xlfn.XLOOKUP($AB338,'Cas 2013-2017'!$K:$K,'Cas 2013-2017'!$G:$G,""),"")</f>
        <v/>
      </c>
      <c r="Z338" t="str">
        <f>IFERROR(_xlfn.XLOOKUP($AB338,'Cas 2013-2017'!$K:$K,'Cas 2013-2017'!$I:$I,""),"")</f>
        <v/>
      </c>
      <c r="AA338" t="str">
        <f>IFERROR(_xlfn.XLOOKUP($AB338,'Cas 2013-2017'!$K:$K,'Cas 2013-2017'!$H:$H,""),"")</f>
        <v/>
      </c>
      <c r="AB338" t="str">
        <f>LOWER($A338 &amp; "|" &amp; $AF338)</f>
        <v>2024|syncope vaso-vagale (syncope cardiaque, épilepsie)</v>
      </c>
      <c r="AC338" t="str">
        <f>TRIM(SUBSTITUTE(SUBSTITUTE(SUBSTITUTE(SUBSTITUTE(" " &amp; LOWER(TRIM(IF($N338&lt;&gt;"", $N338, $H338))) &amp; " ", " aomi ", " arteriopathie des membres inferieurs "), " hta ", " hypertension arterielle "), " saos ", " syndrome d'apnees obstructives du sommeil "), " rgo ", " reflux gastro-oesophagien ") )</f>
        <v>syncope vaso-vagale (syncope cardiaque, épilepsie)</v>
      </c>
      <c r="AD338" t="str">
        <f>TRIM(SUBSTITUTE(SUBSTITUTE(SUBSTITUTE(SUBSTITUTE(" " &amp; LOWER(TRIM($AC338)) &amp; " ", " oacr ", " occlusion de l'artere centrale de la retine "), " hsd ", " hematome sous-dural "), " fa ", " fibrillation auriculaire "), " ep ", " embolie pulmonaire ") )</f>
        <v>syncope vaso-vagale (syncope cardiaque, épilepsie)</v>
      </c>
      <c r="AE338" t="str" cm="1">
        <f t="array" ref="AE338">_xlfn.LET(_xlpm.base, " " &amp; LOWER(TRIM($AD338))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syncope vaso-vagale (syncope cardiaque, épilepsie)</v>
      </c>
      <c r="AF338" t="str" cm="1">
        <f t="array" ref="AF338">_xlfn.LET(_xlpm.base, " " &amp; LOWER(TRIM($AE338))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syncope vaso-vagale (syncope cardiaque, épilepsie)</v>
      </c>
    </row>
    <row r="339" spans="1:32" ht="66.75">
      <c r="A339" s="8">
        <v>2024</v>
      </c>
      <c r="B339" s="10" t="s">
        <v>100</v>
      </c>
      <c r="C339" s="8" t="s">
        <v>33</v>
      </c>
      <c r="D339" s="20">
        <v>98</v>
      </c>
      <c r="E339" s="11" t="str">
        <f>IF(D339="","",IFERROR(INDEX(SSP!$E$2:$E$266, MATCH(D339, SSP!$F$2:$F$266, 0)),""))</f>
        <v>Mouvements involontaires anormaux, tremblement, tic, ataxie</v>
      </c>
      <c r="F339" s="11" t="str">
        <f>Feuil1!E339</f>
        <v> </v>
      </c>
      <c r="G339" s="12" t="s">
        <v>1045</v>
      </c>
      <c r="H339" s="13" t="s">
        <v>1046</v>
      </c>
      <c r="I339" s="13"/>
      <c r="J339" s="15" t="s">
        <v>1047</v>
      </c>
      <c r="K339" s="9" t="s">
        <v>1048</v>
      </c>
      <c r="L339" s="9" t="s">
        <v>33</v>
      </c>
      <c r="M339" s="9" t="s">
        <v>33</v>
      </c>
      <c r="N339" t="s">
        <v>1046</v>
      </c>
      <c r="O339" t="str">
        <f>IFERROR(_xlfn.XLOOKUP($D339, SSP!$F:$F, SSP!$E:$E, "Inconnu"), "")</f>
        <v>Mouvements involontaires anormaux, tremblement, tic, ataxie</v>
      </c>
      <c r="P339" t="str">
        <f>IF(OR(E339="", O339=""), "", IF(LOWER(E339)=LOWER(O339), "OK", "⚠️ Libellé ≠ n°"))</f>
        <v>OK</v>
      </c>
      <c r="Q339" t="str">
        <f>IF(Feuil1!$E339="", "", IF(LOWER(Feuil1!$E339)=LOWER(E339), "Identique", "Différent"))</f>
        <v>Différent</v>
      </c>
      <c r="R339" t="str">
        <f>IF(OR(P339="⚠️ Libellé ≠ n°", O339="Inconnu"), "⚠️", IF(Q339="Différent", "ℹ️", ""))</f>
        <v>ℹ️</v>
      </c>
      <c r="S339" t="str" cm="1">
        <f t="array" ref="S339">_xlfn.LET(_xlpm.genCat,IFERROR(LOWER(TRIM(G339)),""),_xlpm.principal,IFERROR(LOWER(TRIM(H339)),""),_xlpm.orig,IFERROR(LOWER(TRIM(N339)),""),IF(OR(_xlpm.genCat="",_xlpm.principal=""),"",IF(LEFT(LOWER(G339),5)="autre","OK (Autre)",IF(OR(ISNUMBER(SEARCH(_xlpm.genCat,_xlpm.principal)),ISNUMBER(SEARCH(_xlpm.principal,_xlpm.genCat)),AND(_xlpm.orig&lt;&gt;"",OR(ISNUMBER(SEARCH(_xlpm.genCat,_xlpm.orig)),ISNUMBER(SEARCH(_xlpm.orig,_xlpm.genCat))))),"OK","⚠️ À vérifier"))))</f>
        <v>OK</v>
      </c>
      <c r="T339" t="str">
        <f>IF(S339="","",IF(S339="OK (Autre)","Diagnostic générique = 'Autre – …'",IF(S339="OK","Concordance générique/principal","Écart entre générique et principal")))</f>
        <v>Concordance générique/principal</v>
      </c>
      <c r="U339" t="str" cm="1">
        <f t="array" ref="U339">_xlfn.LET(_xlpm.yr, A339, _xlpm.diag, IF(N339&lt;&gt;"", N339, H339), _xlpm.base, TRIM(SUBSTITUTE(SUBSTITUTE(SUBSTITUTE(SUBSTITUTE(_xlpm.diag,"•"," "),CHAR(160)," "),CHAR(10)," "),"  "," ")), LOWER(_xlpm.yr&amp;"|"&amp;_xlpm.base))</f>
        <v>2024|parkinson</v>
      </c>
      <c r="V339" t="str">
        <f>IFERROR(_xlfn.XLOOKUP($AB339,'Cas 2013-2017'!$K:$K,'Cas 2013-2017'!$D:$D,""),"")</f>
        <v/>
      </c>
      <c r="W339" t="str">
        <f>IFERROR(_xlfn.XLOOKUP($AB339,'Cas 2013-2017'!$K:$K,'Cas 2013-2017'!$E:$E,""),"")</f>
        <v/>
      </c>
      <c r="X339" t="str">
        <f>IFERROR(_xlfn.XLOOKUP($AB339,'Cas 2013-2017'!$K:$K,'Cas 2013-2017'!$F:$F,""),"")</f>
        <v/>
      </c>
      <c r="Y339" t="str">
        <f>IFERROR(_xlfn.XLOOKUP($AB339,'Cas 2013-2017'!$K:$K,'Cas 2013-2017'!$G:$G,""),"")</f>
        <v/>
      </c>
      <c r="Z339" t="str">
        <f>IFERROR(_xlfn.XLOOKUP($AB339,'Cas 2013-2017'!$K:$K,'Cas 2013-2017'!$I:$I,""),"")</f>
        <v/>
      </c>
      <c r="AA339" t="str">
        <f>IFERROR(_xlfn.XLOOKUP($AB339,'Cas 2013-2017'!$K:$K,'Cas 2013-2017'!$H:$H,""),"")</f>
        <v/>
      </c>
      <c r="AB339" t="str">
        <f>LOWER($A339 &amp; "|" &amp; $AF339)</f>
        <v>2024|parkinson</v>
      </c>
      <c r="AC339" t="str">
        <f>TRIM(SUBSTITUTE(SUBSTITUTE(SUBSTITUTE(SUBSTITUTE(" " &amp; LOWER(TRIM(IF($N339&lt;&gt;"", $N339, $H339))) &amp; " ", " aomi ", " arteriopathie des membres inferieurs "), " hta ", " hypertension arterielle "), " saos ", " syndrome d'apnees obstructives du sommeil "), " rgo ", " reflux gastro-oesophagien ") )</f>
        <v>parkinson</v>
      </c>
      <c r="AD339" t="str">
        <f>TRIM(SUBSTITUTE(SUBSTITUTE(SUBSTITUTE(SUBSTITUTE(" " &amp; LOWER(TRIM($AC339)) &amp; " ", " oacr ", " occlusion de l'artere centrale de la retine "), " hsd ", " hematome sous-dural "), " fa ", " fibrillation auriculaire "), " ep ", " embolie pulmonaire ") )</f>
        <v>parkinson</v>
      </c>
      <c r="AE339" t="str" cm="1">
        <f t="array" ref="AE339">_xlfn.LET(_xlpm.base, " " &amp; LOWER(TRIM($AD339))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parkinson</v>
      </c>
      <c r="AF339" t="str" cm="1">
        <f t="array" ref="AF339">_xlfn.LET(_xlpm.base, " " &amp; LOWER(TRIM($AE339))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parkinson</v>
      </c>
    </row>
    <row r="340" spans="1:32" ht="66.75">
      <c r="A340" s="8">
        <v>2025</v>
      </c>
      <c r="B340" s="10" t="s">
        <v>68</v>
      </c>
      <c r="C340" s="8" t="s">
        <v>990</v>
      </c>
      <c r="D340" s="20">
        <v>52</v>
      </c>
      <c r="E340" s="11" t="str">
        <f>IF(D340="","",IFERROR(INDEX(SSP!$E$2:$E$266, MATCH(D340, SSP!$F$2:$F$266, 0)),""))</f>
        <v>Douleur abdominale ou épigastrique</v>
      </c>
      <c r="F340" s="11" t="str">
        <f>Feuil1!E340</f>
        <v>Douleur abdominale</v>
      </c>
      <c r="G340" s="12" t="s">
        <v>670</v>
      </c>
      <c r="H340" s="13" t="s">
        <v>1049</v>
      </c>
      <c r="I340" s="13"/>
      <c r="J340" s="15" t="s">
        <v>1050</v>
      </c>
      <c r="K340" s="9" t="s">
        <v>1051</v>
      </c>
      <c r="L340" s="9" t="s">
        <v>1052</v>
      </c>
      <c r="M340" s="9" t="s">
        <v>1053</v>
      </c>
      <c r="N340" t="s">
        <v>1049</v>
      </c>
      <c r="O340" t="str">
        <f>IFERROR(_xlfn.XLOOKUP($D340, SSP!$F:$F, SSP!$E:$E, "Inconnu"), "")</f>
        <v>Douleur abdominale ou épigastrique</v>
      </c>
      <c r="P340" t="str">
        <f>IF(OR(E340="", O340=""), "", IF(LOWER(E340)=LOWER(O340), "OK", "⚠️ Libellé ≠ n°"))</f>
        <v>OK</v>
      </c>
      <c r="Q340" t="str">
        <f>IF(Feuil1!$E340="", "", IF(LOWER(Feuil1!$E340)=LOWER(E340), "Identique", "Différent"))</f>
        <v>Différent</v>
      </c>
      <c r="R340" t="str">
        <f>IF(OR(P340="⚠️ Libellé ≠ n°", O340="Inconnu"), "⚠️", IF(Q340="Différent", "ℹ️", ""))</f>
        <v>ℹ️</v>
      </c>
      <c r="S340" t="str" cm="1">
        <f t="array" ref="S340">_xlfn.LET(_xlpm.genCat,IFERROR(LOWER(TRIM(G340)),""),_xlpm.principal,IFERROR(LOWER(TRIM(H340)),""),_xlpm.orig,IFERROR(LOWER(TRIM(N340)),""),IF(OR(_xlpm.genCat="",_xlpm.principal=""),"",IF(LEFT(LOWER(G340),5)="autre","OK (Autre)",IF(OR(ISNUMBER(SEARCH(_xlpm.genCat,_xlpm.principal)),ISNUMBER(SEARCH(_xlpm.principal,_xlpm.genCat)),AND(_xlpm.orig&lt;&gt;"",OR(ISNUMBER(SEARCH(_xlpm.genCat,_xlpm.orig)),ISNUMBER(SEARCH(_xlpm.orig,_xlpm.genCat))))),"OK","⚠️ À vérifier"))))</f>
        <v>OK</v>
      </c>
      <c r="T340" t="str">
        <f>IF(S340="","",IF(S340="OK (Autre)","Diagnostic générique = 'Autre – …'",IF(S340="OK","Concordance générique/principal","Écart entre générique et principal")))</f>
        <v>Concordance générique/principal</v>
      </c>
      <c r="U340" t="str" cm="1">
        <f t="array" ref="U340">_xlfn.LET(_xlpm.yr, A340, _xlpm.diag, IF(N340&lt;&gt;"", N340, H340), _xlpm.base, TRIM(SUBSTITUTE(SUBSTITUTE(SUBSTITUTE(SUBSTITUTE(_xlpm.diag,"•"," "),CHAR(160)," "),CHAR(10)," "),"  "," ")), LOWER(_xlpm.yr&amp;"|"&amp;_xlpm.base))</f>
        <v>2025|mici (crohn)</v>
      </c>
      <c r="V340" t="str">
        <f>IFERROR(_xlfn.XLOOKUP($AB340,'Cas 2013-2017'!$K:$K,'Cas 2013-2017'!$D:$D,""),"")</f>
        <v/>
      </c>
      <c r="W340" t="str">
        <f>IFERROR(_xlfn.XLOOKUP($AB340,'Cas 2013-2017'!$K:$K,'Cas 2013-2017'!$E:$E,""),"")</f>
        <v/>
      </c>
      <c r="X340" t="str">
        <f>IFERROR(_xlfn.XLOOKUP($AB340,'Cas 2013-2017'!$K:$K,'Cas 2013-2017'!$F:$F,""),"")</f>
        <v/>
      </c>
      <c r="Y340" t="str">
        <f>IFERROR(_xlfn.XLOOKUP($AB340,'Cas 2013-2017'!$K:$K,'Cas 2013-2017'!$G:$G,""),"")</f>
        <v/>
      </c>
      <c r="Z340" t="str">
        <f>IFERROR(_xlfn.XLOOKUP($AB340,'Cas 2013-2017'!$K:$K,'Cas 2013-2017'!$I:$I,""),"")</f>
        <v/>
      </c>
      <c r="AA340" t="str">
        <f>IFERROR(_xlfn.XLOOKUP($AB340,'Cas 2013-2017'!$K:$K,'Cas 2013-2017'!$H:$H,""),"")</f>
        <v/>
      </c>
      <c r="AB340" t="str">
        <f>LOWER($A340 &amp; "|" &amp; $AF340)</f>
        <v>2025|mici (crohn)</v>
      </c>
      <c r="AC340" t="str">
        <f>TRIM(SUBSTITUTE(SUBSTITUTE(SUBSTITUTE(SUBSTITUTE(" " &amp; LOWER(TRIM(IF($N340&lt;&gt;"", $N340, $H340))) &amp; " ", " aomi ", " arteriopathie des membres inferieurs "), " hta ", " hypertension arterielle "), " saos ", " syndrome d'apnees obstructives du sommeil "), " rgo ", " reflux gastro-oesophagien ") )</f>
        <v>mici (crohn)</v>
      </c>
      <c r="AD340" t="str">
        <f>TRIM(SUBSTITUTE(SUBSTITUTE(SUBSTITUTE(SUBSTITUTE(" " &amp; LOWER(TRIM($AC340)) &amp; " ", " oacr ", " occlusion de l'artere centrale de la retine "), " hsd ", " hematome sous-dural "), " fa ", " fibrillation auriculaire "), " ep ", " embolie pulmonaire ") )</f>
        <v>mici (crohn)</v>
      </c>
      <c r="AE340" t="str" cm="1">
        <f t="array" ref="AE340">_xlfn.LET(_xlpm.base, " " &amp; LOWER(TRIM($AD340))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mici (crohn)</v>
      </c>
      <c r="AF340" t="str" cm="1">
        <f t="array" ref="AF340">_xlfn.LET(_xlpm.base, " " &amp; LOWER(TRIM($AE340))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mici (crohn)</v>
      </c>
    </row>
    <row r="341" spans="1:32" ht="50.25">
      <c r="A341" s="8">
        <v>2025</v>
      </c>
      <c r="B341" s="10" t="s">
        <v>51</v>
      </c>
      <c r="C341" s="8" t="s">
        <v>33</v>
      </c>
      <c r="D341" s="20">
        <v>93</v>
      </c>
      <c r="E341" s="11" t="str">
        <f>IF(D341="","",IFERROR(INDEX(SSP!$E$2:$E$266, MATCH(D341, SSP!$F$2:$F$266, 0)),""))</f>
        <v>Macules, papules, pustules, vésicules, ulcères, abcès, bulles, épaississement cutané, nécrose, tumeur cutanée</v>
      </c>
      <c r="F341" s="11" t="str">
        <f>Feuil1!E341</f>
        <v>Éruption cutanée</v>
      </c>
      <c r="G341" s="12" t="s">
        <v>442</v>
      </c>
      <c r="H341" s="13" t="s">
        <v>443</v>
      </c>
      <c r="I341" s="13"/>
      <c r="J341" s="15" t="s">
        <v>1054</v>
      </c>
      <c r="K341" s="9" t="s">
        <v>33</v>
      </c>
      <c r="L341" s="9" t="s">
        <v>1055</v>
      </c>
      <c r="M341" s="9" t="s">
        <v>33</v>
      </c>
      <c r="N341" t="s">
        <v>443</v>
      </c>
      <c r="O341" t="str">
        <f>IFERROR(_xlfn.XLOOKUP($D341, SSP!$F:$F, SSP!$E:$E, "Inconnu"), "")</f>
        <v>Macules, papules, pustules, vésicules, ulcères, abcès, bulles, épaississement cutané, nécrose, tumeur cutanée</v>
      </c>
      <c r="P341" t="str">
        <f>IF(OR(E341="", O341=""), "", IF(LOWER(E341)=LOWER(O341), "OK", "⚠️ Libellé ≠ n°"))</f>
        <v>OK</v>
      </c>
      <c r="Q341" t="str">
        <f>IF(Feuil1!$E341="", "", IF(LOWER(Feuil1!$E341)=LOWER(E341), "Identique", "Différent"))</f>
        <v>Différent</v>
      </c>
      <c r="R341" t="str">
        <f>IF(OR(P341="⚠️ Libellé ≠ n°", O341="Inconnu"), "⚠️", IF(Q341="Différent", "ℹ️", ""))</f>
        <v>ℹ️</v>
      </c>
      <c r="S341" t="str" cm="1">
        <f t="array" ref="S341">_xlfn.LET(_xlpm.genCat,IFERROR(LOWER(TRIM(G341)),""),_xlpm.principal,IFERROR(LOWER(TRIM(H341)),""),_xlpm.orig,IFERROR(LOWER(TRIM(N341)),""),IF(OR(_xlpm.genCat="",_xlpm.principal=""),"",IF(LEFT(LOWER(G341),5)="autre","OK (Autre)",IF(OR(ISNUMBER(SEARCH(_xlpm.genCat,_xlpm.principal)),ISNUMBER(SEARCH(_xlpm.principal,_xlpm.genCat)),AND(_xlpm.orig&lt;&gt;"",OR(ISNUMBER(SEARCH(_xlpm.genCat,_xlpm.orig)),ISNUMBER(SEARCH(_xlpm.orig,_xlpm.genCat))))),"OK","⚠️ À vérifier"))))</f>
        <v>⚠️ À vérifier</v>
      </c>
      <c r="T341" t="str">
        <f>IF(S341="","",IF(S341="OK (Autre)","Diagnostic générique = 'Autre – …'",IF(S341="OK","Concordance générique/principal","Écart entre générique et principal")))</f>
        <v>Écart entre générique et principal</v>
      </c>
      <c r="U341" t="str" cm="1">
        <f t="array" ref="U341">_xlfn.LET(_xlpm.yr, A341, _xlpm.diag, IF(N341&lt;&gt;"", N341, H341), _xlpm.base, TRIM(SUBSTITUTE(SUBSTITUTE(SUBSTITUTE(SUBSTITUTE(_xlpm.diag,"•"," "),CHAR(160)," "),CHAR(10)," "),"  "," ")), LOWER(_xlpm.yr&amp;"|"&amp;_xlpm.base))</f>
        <v>2025|pityriasis versicolor</v>
      </c>
      <c r="V341" t="str">
        <f>IFERROR(_xlfn.XLOOKUP($AB341,'Cas 2013-2017'!$K:$K,'Cas 2013-2017'!$D:$D,""),"")</f>
        <v/>
      </c>
      <c r="W341" t="str">
        <f>IFERROR(_xlfn.XLOOKUP($AB341,'Cas 2013-2017'!$K:$K,'Cas 2013-2017'!$E:$E,""),"")</f>
        <v/>
      </c>
      <c r="X341" t="str">
        <f>IFERROR(_xlfn.XLOOKUP($AB341,'Cas 2013-2017'!$K:$K,'Cas 2013-2017'!$F:$F,""),"")</f>
        <v/>
      </c>
      <c r="Y341" t="str">
        <f>IFERROR(_xlfn.XLOOKUP($AB341,'Cas 2013-2017'!$K:$K,'Cas 2013-2017'!$G:$G,""),"")</f>
        <v/>
      </c>
      <c r="Z341" t="str">
        <f>IFERROR(_xlfn.XLOOKUP($AB341,'Cas 2013-2017'!$K:$K,'Cas 2013-2017'!$I:$I,""),"")</f>
        <v/>
      </c>
      <c r="AA341" t="str">
        <f>IFERROR(_xlfn.XLOOKUP($AB341,'Cas 2013-2017'!$K:$K,'Cas 2013-2017'!$H:$H,""),"")</f>
        <v/>
      </c>
      <c r="AB341" t="str">
        <f>LOWER($A341 &amp; "|" &amp; $AF341)</f>
        <v>2025|pityriasis versicolor</v>
      </c>
      <c r="AC341" t="str">
        <f>TRIM(SUBSTITUTE(SUBSTITUTE(SUBSTITUTE(SUBSTITUTE(" " &amp; LOWER(TRIM(IF($N341&lt;&gt;"", $N341, $H341))) &amp; " ", " aomi ", " arteriopathie des membres inferieurs "), " hta ", " hypertension arterielle "), " saos ", " syndrome d'apnees obstructives du sommeil "), " rgo ", " reflux gastro-oesophagien ") )</f>
        <v>pityriasis versicolor</v>
      </c>
      <c r="AD341" t="str">
        <f>TRIM(SUBSTITUTE(SUBSTITUTE(SUBSTITUTE(SUBSTITUTE(" " &amp; LOWER(TRIM($AC341)) &amp; " ", " oacr ", " occlusion de l'artere centrale de la retine "), " hsd ", " hematome sous-dural "), " fa ", " fibrillation auriculaire "), " ep ", " embolie pulmonaire ") )</f>
        <v>pityriasis versicolor</v>
      </c>
      <c r="AE341" t="str" cm="1">
        <f t="array" ref="AE341">_xlfn.LET(_xlpm.base, " " &amp; LOWER(TRIM($AD341))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pityriasis versicolor</v>
      </c>
      <c r="AF341" t="str" cm="1">
        <f t="array" ref="AF341">_xlfn.LET(_xlpm.base, " " &amp; LOWER(TRIM($AE341))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pityriasis versicolor</v>
      </c>
    </row>
    <row r="342" spans="1:32" ht="50.25">
      <c r="A342" s="8">
        <v>2025</v>
      </c>
      <c r="B342" s="10" t="s">
        <v>100</v>
      </c>
      <c r="C342" s="8" t="s">
        <v>33</v>
      </c>
      <c r="D342" s="20">
        <v>101</v>
      </c>
      <c r="E342" s="11" t="str">
        <f>IF(D342="","",IFERROR(INDEX(SSP!$E$2:$E$266, MATCH(D342, SSP!$F$2:$F$266, 0)),""))</f>
        <v>Céphalées</v>
      </c>
      <c r="F342" s="11" t="str">
        <f>Feuil1!E342</f>
        <v>Paresthésies</v>
      </c>
      <c r="G342" s="12" t="s">
        <v>106</v>
      </c>
      <c r="H342" s="13" t="s">
        <v>1056</v>
      </c>
      <c r="I342" s="13" t="s">
        <v>1057</v>
      </c>
      <c r="J342" s="15" t="s">
        <v>1058</v>
      </c>
      <c r="K342" s="9" t="s">
        <v>33</v>
      </c>
      <c r="L342" s="9" t="s">
        <v>33</v>
      </c>
      <c r="M342" s="9" t="s">
        <v>1059</v>
      </c>
      <c r="N342" t="s">
        <v>1056</v>
      </c>
      <c r="O342" t="str">
        <f>IFERROR(_xlfn.XLOOKUP($D342, SSP!$F:$F, SSP!$E:$E, "Inconnu"), "")</f>
        <v>Céphalées</v>
      </c>
      <c r="P342" t="str">
        <f>IF(OR(E342="", O342=""), "", IF(LOWER(E342)=LOWER(O342), "OK", "⚠️ Libellé ≠ n°"))</f>
        <v>OK</v>
      </c>
      <c r="Q342" t="str">
        <f>IF(Feuil1!$E342="", "", IF(LOWER(Feuil1!$E342)=LOWER(E342), "Identique", "Différent"))</f>
        <v>Différent</v>
      </c>
      <c r="R342" t="str">
        <f>IF(OR(P342="⚠️ Libellé ≠ n°", O342="Inconnu"), "⚠️", IF(Q342="Différent", "ℹ️", ""))</f>
        <v>ℹ️</v>
      </c>
      <c r="S342" t="str" cm="1">
        <f t="array" ref="S342">_xlfn.LET(_xlpm.genCat,IFERROR(LOWER(TRIM(G342)),""),_xlpm.principal,IFERROR(LOWER(TRIM(H342)),""),_xlpm.orig,IFERROR(LOWER(TRIM(N342)),""),IF(OR(_xlpm.genCat="",_xlpm.principal=""),"",IF(LEFT(LOWER(G342),5)="autre","OK (Autre)",IF(OR(ISNUMBER(SEARCH(_xlpm.genCat,_xlpm.principal)),ISNUMBER(SEARCH(_xlpm.principal,_xlpm.genCat)),AND(_xlpm.orig&lt;&gt;"",OR(ISNUMBER(SEARCH(_xlpm.genCat,_xlpm.orig)),ISNUMBER(SEARCH(_xlpm.orig,_xlpm.genCat))))),"OK","⚠️ À vérifier"))))</f>
        <v>⚠️ À vérifier</v>
      </c>
      <c r="T342" t="str">
        <f>IF(S342="","",IF(S342="OK (Autre)","Diagnostic générique = 'Autre – …'",IF(S342="OK","Concordance générique/principal","Écart entre générique et principal")))</f>
        <v>Écart entre générique et principal</v>
      </c>
      <c r="U342" t="str" cm="1">
        <f t="array" ref="U342">_xlfn.LET(_xlpm.yr, A342, _xlpm.diag, IF(N342&lt;&gt;"", N342, H342), _xlpm.base, TRIM(SUBSTITUTE(SUBSTITUTE(SUBSTITUTE(SUBSTITUTE(_xlpm.diag,"•"," "),CHAR(160)," "),CHAR(10)," "),"  "," ")), LOWER(_xlpm.yr&amp;"|"&amp;_xlpm.base))</f>
        <v>2025|migraine avec aura</v>
      </c>
      <c r="V342" t="str">
        <f>IFERROR(_xlfn.XLOOKUP($AB342,'Cas 2013-2017'!$K:$K,'Cas 2013-2017'!$D:$D,""),"")</f>
        <v/>
      </c>
      <c r="W342" t="str">
        <f>IFERROR(_xlfn.XLOOKUP($AB342,'Cas 2013-2017'!$K:$K,'Cas 2013-2017'!$E:$E,""),"")</f>
        <v/>
      </c>
      <c r="X342" t="str">
        <f>IFERROR(_xlfn.XLOOKUP($AB342,'Cas 2013-2017'!$K:$K,'Cas 2013-2017'!$F:$F,""),"")</f>
        <v/>
      </c>
      <c r="Y342" t="str">
        <f>IFERROR(_xlfn.XLOOKUP($AB342,'Cas 2013-2017'!$K:$K,'Cas 2013-2017'!$G:$G,""),"")</f>
        <v/>
      </c>
      <c r="Z342" t="str">
        <f>IFERROR(_xlfn.XLOOKUP($AB342,'Cas 2013-2017'!$K:$K,'Cas 2013-2017'!$I:$I,""),"")</f>
        <v/>
      </c>
      <c r="AA342" t="str">
        <f>IFERROR(_xlfn.XLOOKUP($AB342,'Cas 2013-2017'!$K:$K,'Cas 2013-2017'!$H:$H,""),"")</f>
        <v/>
      </c>
      <c r="AB342" t="str">
        <f>LOWER($A342 &amp; "|" &amp; $AF342)</f>
        <v>2025|migraine avec aura</v>
      </c>
      <c r="AC342" t="str">
        <f>TRIM(SUBSTITUTE(SUBSTITUTE(SUBSTITUTE(SUBSTITUTE(" " &amp; LOWER(TRIM(IF($N342&lt;&gt;"", $N342, $H342))) &amp; " ", " aomi ", " arteriopathie des membres inferieurs "), " hta ", " hypertension arterielle "), " saos ", " syndrome d'apnees obstructives du sommeil "), " rgo ", " reflux gastro-oesophagien ") )</f>
        <v>migraine avec aura</v>
      </c>
      <c r="AD342" t="str">
        <f>TRIM(SUBSTITUTE(SUBSTITUTE(SUBSTITUTE(SUBSTITUTE(" " &amp; LOWER(TRIM($AC342)) &amp; " ", " oacr ", " occlusion de l'artere centrale de la retine "), " hsd ", " hematome sous-dural "), " fa ", " fibrillation auriculaire "), " ep ", " embolie pulmonaire ") )</f>
        <v>migraine avec aura</v>
      </c>
      <c r="AE342" t="str" cm="1">
        <f t="array" ref="AE342">_xlfn.LET(_xlpm.base, " " &amp; LOWER(TRIM($AD342))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migraine avec aura</v>
      </c>
      <c r="AF342" t="str" cm="1">
        <f t="array" ref="AF342">_xlfn.LET(_xlpm.base, " " &amp; LOWER(TRIM($AE342))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migraine avec aura</v>
      </c>
    </row>
    <row r="343" spans="1:32" ht="33.75">
      <c r="A343" s="8">
        <v>2025</v>
      </c>
      <c r="B343" s="10" t="s">
        <v>100</v>
      </c>
      <c r="C343" s="8" t="s">
        <v>33</v>
      </c>
      <c r="D343" s="20">
        <v>103</v>
      </c>
      <c r="E343" s="11" t="str">
        <f>IF(D343="","",IFERROR(INDEX(SSP!$E$2:$E$266, MATCH(D343, SSP!$F$2:$F$266, 0)),""))</f>
        <v>Paresie, paralysie</v>
      </c>
      <c r="F343" s="11" t="str">
        <f>Feuil1!E343</f>
        <v>Station dossier</v>
      </c>
      <c r="G343" s="12" t="s">
        <v>101</v>
      </c>
      <c r="H343" s="13" t="s">
        <v>1060</v>
      </c>
      <c r="I343" s="13"/>
      <c r="J343" s="15" t="s">
        <v>1061</v>
      </c>
      <c r="K343" s="9" t="s">
        <v>1062</v>
      </c>
      <c r="L343" s="9" t="s">
        <v>33</v>
      </c>
      <c r="M343" s="9" t="s">
        <v>33</v>
      </c>
      <c r="N343" t="s">
        <v>1060</v>
      </c>
      <c r="O343" t="str">
        <f>IFERROR(_xlfn.XLOOKUP($D343, SSP!$F:$F, SSP!$E:$E, "Inconnu"), "")</f>
        <v>Paresie, paralysie</v>
      </c>
      <c r="P343" t="str">
        <f>IF(OR(E343="", O343=""), "", IF(LOWER(E343)=LOWER(O343), "OK", "⚠️ Libellé ≠ n°"))</f>
        <v>OK</v>
      </c>
      <c r="Q343" t="str">
        <f>IF(Feuil1!$E343="", "", IF(LOWER(Feuil1!$E343)=LOWER(E343), "Identique", "Différent"))</f>
        <v>Différent</v>
      </c>
      <c r="R343" t="str">
        <f>IF(OR(P343="⚠️ Libellé ≠ n°", O343="Inconnu"), "⚠️", IF(Q343="Différent", "ℹ️", ""))</f>
        <v>ℹ️</v>
      </c>
      <c r="S343" t="str" cm="1">
        <f t="array" ref="S343">_xlfn.LET(_xlpm.genCat,IFERROR(LOWER(TRIM(G343)),""),_xlpm.principal,IFERROR(LOWER(TRIM(H343)),""),_xlpm.orig,IFERROR(LOWER(TRIM(N343)),""),IF(OR(_xlpm.genCat="",_xlpm.principal=""),"",IF(LEFT(LOWER(G343),5)="autre","OK (Autre)",IF(OR(ISNUMBER(SEARCH(_xlpm.genCat,_xlpm.principal)),ISNUMBER(SEARCH(_xlpm.principal,_xlpm.genCat)),AND(_xlpm.orig&lt;&gt;"",OR(ISNUMBER(SEARCH(_xlpm.genCat,_xlpm.orig)),ISNUMBER(SEARCH(_xlpm.orig,_xlpm.genCat))))),"OK","⚠️ À vérifier"))))</f>
        <v>⚠️ À vérifier</v>
      </c>
      <c r="T343" t="str">
        <f>IF(S343="","",IF(S343="OK (Autre)","Diagnostic générique = 'Autre – …'",IF(S343="OK","Concordance générique/principal","Écart entre générique et principal")))</f>
        <v>Écart entre générique et principal</v>
      </c>
      <c r="U343" t="str" cm="1">
        <f t="array" ref="U343">_xlfn.LET(_xlpm.yr, A343, _xlpm.diag, IF(N343&lt;&gt;"", N343, H343), _xlpm.base, TRIM(SUBSTITUTE(SUBSTITUTE(SUBSTITUTE(SUBSTITUTE(_xlpm.diag,"•"," "),CHAR(160)," "),CHAR(10)," "),"  "," ")), LOWER(_xlpm.yr&amp;"|"&amp;_xlpm.base))</f>
        <v>2025|status post avc</v>
      </c>
      <c r="V343" t="str">
        <f>IFERROR(_xlfn.XLOOKUP($AB343,'Cas 2013-2017'!$K:$K,'Cas 2013-2017'!$D:$D,""),"")</f>
        <v/>
      </c>
      <c r="W343" t="str">
        <f>IFERROR(_xlfn.XLOOKUP($AB343,'Cas 2013-2017'!$K:$K,'Cas 2013-2017'!$E:$E,""),"")</f>
        <v/>
      </c>
      <c r="X343" t="str">
        <f>IFERROR(_xlfn.XLOOKUP($AB343,'Cas 2013-2017'!$K:$K,'Cas 2013-2017'!$F:$F,""),"")</f>
        <v/>
      </c>
      <c r="Y343" t="str">
        <f>IFERROR(_xlfn.XLOOKUP($AB343,'Cas 2013-2017'!$K:$K,'Cas 2013-2017'!$G:$G,""),"")</f>
        <v/>
      </c>
      <c r="Z343" t="str">
        <f>IFERROR(_xlfn.XLOOKUP($AB343,'Cas 2013-2017'!$K:$K,'Cas 2013-2017'!$I:$I,""),"")</f>
        <v/>
      </c>
      <c r="AA343" t="str">
        <f>IFERROR(_xlfn.XLOOKUP($AB343,'Cas 2013-2017'!$K:$K,'Cas 2013-2017'!$H:$H,""),"")</f>
        <v/>
      </c>
      <c r="AB343" t="str">
        <f>LOWER($A343 &amp; "|" &amp; $AF343)</f>
        <v>2025|status post accident vasculaire cerebral</v>
      </c>
      <c r="AC343" t="str">
        <f>TRIM(SUBSTITUTE(SUBSTITUTE(SUBSTITUTE(SUBSTITUTE(" " &amp; LOWER(TRIM(IF($N343&lt;&gt;"", $N343, $H343))) &amp; " ", " aomi ", " arteriopathie des membres inferieurs "), " hta ", " hypertension arterielle "), " saos ", " syndrome d'apnees obstructives du sommeil "), " rgo ", " reflux gastro-oesophagien ") )</f>
        <v>status post avc</v>
      </c>
      <c r="AD343" t="str">
        <f>TRIM(SUBSTITUTE(SUBSTITUTE(SUBSTITUTE(SUBSTITUTE(" " &amp; LOWER(TRIM($AC343)) &amp; " ", " oacr ", " occlusion de l'artere centrale de la retine "), " hsd ", " hematome sous-dural "), " fa ", " fibrillation auriculaire "), " ep ", " embolie pulmonaire ") )</f>
        <v>status post avc</v>
      </c>
      <c r="AE343" t="str" cm="1">
        <f t="array" ref="AE343">_xlfn.LET(_xlpm.base, " " &amp; LOWER(TRIM($AD343))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status post accident vasculaire cerebral</v>
      </c>
      <c r="AF343" t="str" cm="1">
        <f t="array" ref="AF343">_xlfn.LET(_xlpm.base, " " &amp; LOWER(TRIM($AE343))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status post accident vasculaire cerebral</v>
      </c>
    </row>
    <row r="344" spans="1:32" ht="33.75">
      <c r="A344" s="8">
        <v>2025</v>
      </c>
      <c r="B344" s="10" t="s">
        <v>64</v>
      </c>
      <c r="C344" s="8" t="s">
        <v>33</v>
      </c>
      <c r="D344" s="20">
        <v>60</v>
      </c>
      <c r="E344" s="11" t="str">
        <f>IF(D344="","",IFERROR(INDEX(SSP!$E$2:$E$266, MATCH(D344, SSP!$F$2:$F$266, 0)),""))</f>
        <v>Méléna, présence de sang rouge, de mucus ou de pus dans les selles</v>
      </c>
      <c r="F344" s="11" t="str">
        <f>Feuil1!E344</f>
        <v>Tache rouge sur les mains</v>
      </c>
      <c r="G344" s="12" t="s">
        <v>872</v>
      </c>
      <c r="H344" s="13" t="s">
        <v>1063</v>
      </c>
      <c r="I344" s="13" t="s">
        <v>1064</v>
      </c>
      <c r="J344" s="15" t="s">
        <v>1065</v>
      </c>
      <c r="K344" s="9" t="s">
        <v>1066</v>
      </c>
      <c r="L344" s="9" t="s">
        <v>33</v>
      </c>
      <c r="M344" s="9" t="s">
        <v>33</v>
      </c>
      <c r="N344" t="s">
        <v>1063</v>
      </c>
      <c r="O344" t="str">
        <f>IFERROR(_xlfn.XLOOKUP($D344, SSP!$F:$F, SSP!$E:$E, "Inconnu"), "")</f>
        <v>Méléna, présence de sang rouge, de mucus ou de pus dans les selles</v>
      </c>
      <c r="P344" t="str">
        <f>IF(OR(E344="", O344=""), "", IF(LOWER(E344)=LOWER(O344), "OK", "⚠️ Libellé ≠ n°"))</f>
        <v>OK</v>
      </c>
      <c r="Q344" t="str">
        <f>IF(Feuil1!$E344="", "", IF(LOWER(Feuil1!$E344)=LOWER(E344), "Identique", "Différent"))</f>
        <v>Différent</v>
      </c>
      <c r="R344" t="str">
        <f>IF(OR(P344="⚠️ Libellé ≠ n°", O344="Inconnu"), "⚠️", IF(Q344="Différent", "ℹ️", ""))</f>
        <v>ℹ️</v>
      </c>
      <c r="S344" t="str" cm="1">
        <f t="array" ref="S344">_xlfn.LET(_xlpm.genCat,IFERROR(LOWER(TRIM(G344)),""),_xlpm.principal,IFERROR(LOWER(TRIM(H344)),""),_xlpm.orig,IFERROR(LOWER(TRIM(N344)),""),IF(OR(_xlpm.genCat="",_xlpm.principal=""),"",IF(LEFT(LOWER(G344),5)="autre","OK (Autre)",IF(OR(ISNUMBER(SEARCH(_xlpm.genCat,_xlpm.principal)),ISNUMBER(SEARCH(_xlpm.principal,_xlpm.genCat)),AND(_xlpm.orig&lt;&gt;"",OR(ISNUMBER(SEARCH(_xlpm.genCat,_xlpm.orig)),ISNUMBER(SEARCH(_xlpm.orig,_xlpm.genCat))))),"OK","⚠️ À vérifier"))))</f>
        <v>⚠️ À vérifier</v>
      </c>
      <c r="T344" t="str">
        <f>IF(S344="","",IF(S344="OK (Autre)","Diagnostic générique = 'Autre – …'",IF(S344="OK","Concordance générique/principal","Écart entre générique et principal")))</f>
        <v>Écart entre générique et principal</v>
      </c>
      <c r="U344" t="str" cm="1">
        <f t="array" ref="U344">_xlfn.LET(_xlpm.yr, A344, _xlpm.diag, IF(N344&lt;&gt;"", N344, H344), _xlpm.base, TRIM(SUBSTITUTE(SUBSTITUTE(SUBSTITUTE(SUBSTITUTE(_xlpm.diag,"•"," "),CHAR(160)," "),CHAR(10)," "),"  "," ")), LOWER(_xlpm.yr&amp;"|"&amp;_xlpm.base))</f>
        <v>2025|purpura thrombocytopénique idiopathique</v>
      </c>
      <c r="V344" t="str">
        <f>IFERROR(_xlfn.XLOOKUP($AB344,'Cas 2013-2017'!$K:$K,'Cas 2013-2017'!$D:$D,""),"")</f>
        <v/>
      </c>
      <c r="W344" t="str">
        <f>IFERROR(_xlfn.XLOOKUP($AB344,'Cas 2013-2017'!$K:$K,'Cas 2013-2017'!$E:$E,""),"")</f>
        <v/>
      </c>
      <c r="X344" t="str">
        <f>IFERROR(_xlfn.XLOOKUP($AB344,'Cas 2013-2017'!$K:$K,'Cas 2013-2017'!$F:$F,""),"")</f>
        <v/>
      </c>
      <c r="Y344" t="str">
        <f>IFERROR(_xlfn.XLOOKUP($AB344,'Cas 2013-2017'!$K:$K,'Cas 2013-2017'!$G:$G,""),"")</f>
        <v/>
      </c>
      <c r="Z344" t="str">
        <f>IFERROR(_xlfn.XLOOKUP($AB344,'Cas 2013-2017'!$K:$K,'Cas 2013-2017'!$I:$I,""),"")</f>
        <v/>
      </c>
      <c r="AA344" t="str">
        <f>IFERROR(_xlfn.XLOOKUP($AB344,'Cas 2013-2017'!$K:$K,'Cas 2013-2017'!$H:$H,""),"")</f>
        <v/>
      </c>
      <c r="AB344" t="str">
        <f>LOWER($A344 &amp; "|" &amp; $AF344)</f>
        <v>2025|purpura thrombocytopénique idiopathique</v>
      </c>
      <c r="AC344" t="str">
        <f>TRIM(SUBSTITUTE(SUBSTITUTE(SUBSTITUTE(SUBSTITUTE(" " &amp; LOWER(TRIM(IF($N344&lt;&gt;"", $N344, $H344))) &amp; " ", " aomi ", " arteriopathie des membres inferieurs "), " hta ", " hypertension arterielle "), " saos ", " syndrome d'apnees obstructives du sommeil "), " rgo ", " reflux gastro-oesophagien ") )</f>
        <v>purpura thrombocytopénique idiopathique</v>
      </c>
      <c r="AD344" t="str">
        <f>TRIM(SUBSTITUTE(SUBSTITUTE(SUBSTITUTE(SUBSTITUTE(" " &amp; LOWER(TRIM($AC344)) &amp; " ", " oacr ", " occlusion de l'artere centrale de la retine "), " hsd ", " hematome sous-dural "), " fa ", " fibrillation auriculaire "), " ep ", " embolie pulmonaire ") )</f>
        <v>purpura thrombocytopénique idiopathique</v>
      </c>
      <c r="AE344" t="str" cm="1">
        <f t="array" ref="AE344">_xlfn.LET(_xlpm.base, " " &amp; LOWER(TRIM($AD344))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purpura thrombocytopénique idiopathique</v>
      </c>
      <c r="AF344" t="str" cm="1">
        <f t="array" ref="AF344">_xlfn.LET(_xlpm.base, " " &amp; LOWER(TRIM($AE344))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purpura thrombocytopénique idiopathique</v>
      </c>
    </row>
    <row r="345" spans="1:32" ht="50.25">
      <c r="A345" s="8">
        <v>2025</v>
      </c>
      <c r="B345" s="10" t="s">
        <v>32</v>
      </c>
      <c r="C345" s="8" t="s">
        <v>33</v>
      </c>
      <c r="D345" s="20">
        <v>46</v>
      </c>
      <c r="E345" s="11" t="str">
        <f>IF(D345="","",IFERROR(INDEX(SSP!$E$2:$E$266, MATCH(D345, SSP!$F$2:$F$266, 0)),""))</f>
        <v>Dyspnée</v>
      </c>
      <c r="F345" s="11" t="str">
        <f>Feuil1!E345</f>
        <v>Dyspnée</v>
      </c>
      <c r="G345" s="12" t="s">
        <v>170</v>
      </c>
      <c r="H345" s="13" t="s">
        <v>170</v>
      </c>
      <c r="I345" s="13" t="s">
        <v>525</v>
      </c>
      <c r="J345" s="15" t="s">
        <v>1067</v>
      </c>
      <c r="K345" s="9" t="s">
        <v>1068</v>
      </c>
      <c r="L345" s="9" t="s">
        <v>33</v>
      </c>
      <c r="M345" s="9" t="s">
        <v>33</v>
      </c>
      <c r="N345" t="s">
        <v>1069</v>
      </c>
      <c r="O345" t="str">
        <f>IFERROR(_xlfn.XLOOKUP($D345, SSP!$F:$F, SSP!$E:$E, "Inconnu"), "")</f>
        <v>Dyspnée</v>
      </c>
      <c r="P345" t="str">
        <f>IF(OR(E345="", O345=""), "", IF(LOWER(E345)=LOWER(O345), "OK", "⚠️ Libellé ≠ n°"))</f>
        <v>OK</v>
      </c>
      <c r="Q345" t="str">
        <f>IF(Feuil1!$E345="", "", IF(LOWER(Feuil1!$E345)=LOWER(E345), "Identique", "Différent"))</f>
        <v>Identique</v>
      </c>
      <c r="R345" t="str">
        <f>IF(OR(P345="⚠️ Libellé ≠ n°", O345="Inconnu"), "⚠️", IF(Q345="Différent", "ℹ️", ""))</f>
        <v/>
      </c>
      <c r="S345" t="str" cm="1">
        <f t="array" ref="S345">_xlfn.LET(_xlpm.genCat,IFERROR(LOWER(TRIM(G345)),""),_xlpm.principal,IFERROR(LOWER(TRIM(H345)),""),_xlpm.orig,IFERROR(LOWER(TRIM(N345)),""),IF(OR(_xlpm.genCat="",_xlpm.principal=""),"",IF(LEFT(LOWER(G345),5)="autre","OK (Autre)",IF(OR(ISNUMBER(SEARCH(_xlpm.genCat,_xlpm.principal)),ISNUMBER(SEARCH(_xlpm.principal,_xlpm.genCat)),AND(_xlpm.orig&lt;&gt;"",OR(ISNUMBER(SEARCH(_xlpm.genCat,_xlpm.orig)),ISNUMBER(SEARCH(_xlpm.orig,_xlpm.genCat))))),"OK","⚠️ À vérifier"))))</f>
        <v>OK</v>
      </c>
      <c r="T345" t="str">
        <f>IF(S345="","",IF(S345="OK (Autre)","Diagnostic générique = 'Autre – …'",IF(S345="OK","Concordance générique/principal","Écart entre générique et principal")))</f>
        <v>Concordance générique/principal</v>
      </c>
      <c r="U345" t="str" cm="1">
        <f t="array" ref="U345">_xlfn.LET(_xlpm.yr, A345, _xlpm.diag, IF(N345&lt;&gt;"", N345, H345), _xlpm.base, TRIM(SUBSTITUTE(SUBSTITUTE(SUBSTITUTE(SUBSTITUTE(_xlpm.diag,"•"," "),CHAR(160)," "),CHAR(10)," "),"  "," ")), LOWER(_xlpm.yr&amp;"|"&amp;_xlpm.base))</f>
        <v>2025|insuffisance cardiaque/décompensation cardiaque</v>
      </c>
      <c r="V345" t="str">
        <f>IFERROR(_xlfn.XLOOKUP($AB345,'Cas 2013-2017'!$K:$K,'Cas 2013-2017'!$D:$D,""),"")</f>
        <v/>
      </c>
      <c r="W345" t="str">
        <f>IFERROR(_xlfn.XLOOKUP($AB345,'Cas 2013-2017'!$K:$K,'Cas 2013-2017'!$E:$E,""),"")</f>
        <v/>
      </c>
      <c r="X345" t="str">
        <f>IFERROR(_xlfn.XLOOKUP($AB345,'Cas 2013-2017'!$K:$K,'Cas 2013-2017'!$F:$F,""),"")</f>
        <v/>
      </c>
      <c r="Y345" t="str">
        <f>IFERROR(_xlfn.XLOOKUP($AB345,'Cas 2013-2017'!$K:$K,'Cas 2013-2017'!$G:$G,""),"")</f>
        <v/>
      </c>
      <c r="Z345" t="str">
        <f>IFERROR(_xlfn.XLOOKUP($AB345,'Cas 2013-2017'!$K:$K,'Cas 2013-2017'!$I:$I,""),"")</f>
        <v/>
      </c>
      <c r="AA345" t="str">
        <f>IFERROR(_xlfn.XLOOKUP($AB345,'Cas 2013-2017'!$K:$K,'Cas 2013-2017'!$H:$H,""),"")</f>
        <v/>
      </c>
      <c r="AB345" t="str">
        <f>LOWER($A345 &amp; "|" &amp; $AF345)</f>
        <v>2025|insuffisance cardiaque/décompensation cardiaque</v>
      </c>
      <c r="AC345" t="str">
        <f>TRIM(SUBSTITUTE(SUBSTITUTE(SUBSTITUTE(SUBSTITUTE(" " &amp; LOWER(TRIM(IF($N345&lt;&gt;"", $N345, $H345))) &amp; " ", " aomi ", " arteriopathie des membres inferieurs "), " hta ", " hypertension arterielle "), " saos ", " syndrome d'apnees obstructives du sommeil "), " rgo ", " reflux gastro-oesophagien ") )</f>
        <v>insuffisance cardiaque/décompensation cardiaque</v>
      </c>
      <c r="AD345" t="str">
        <f>TRIM(SUBSTITUTE(SUBSTITUTE(SUBSTITUTE(SUBSTITUTE(" " &amp; LOWER(TRIM($AC345)) &amp; " ", " oacr ", " occlusion de l'artere centrale de la retine "), " hsd ", " hematome sous-dural "), " fa ", " fibrillation auriculaire "), " ep ", " embolie pulmonaire ") )</f>
        <v>insuffisance cardiaque/décompensation cardiaque</v>
      </c>
      <c r="AE345" t="str" cm="1">
        <f t="array" ref="AE345">_xlfn.LET(_xlpm.base, " " &amp; LOWER(TRIM($AD345))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insuffisance cardiaque/décompensation cardiaque</v>
      </c>
      <c r="AF345" t="str" cm="1">
        <f t="array" ref="AF345">_xlfn.LET(_xlpm.base, " " &amp; LOWER(TRIM($AE345))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insuffisance cardiaque/décompensation cardiaque</v>
      </c>
    </row>
    <row r="346" spans="1:32" ht="84">
      <c r="A346" s="8">
        <v>2025</v>
      </c>
      <c r="B346" s="10" t="s">
        <v>115</v>
      </c>
      <c r="C346" s="8" t="s">
        <v>33</v>
      </c>
      <c r="D346" s="20">
        <v>176</v>
      </c>
      <c r="E346" s="11" t="str">
        <f>IF(D346="","",IFERROR(INDEX(SSP!$E$2:$E$266, MATCH(D346, SSP!$F$2:$F$266, 0)),""))</f>
        <v>Soins de base lors de l’accouchement normal et du post-partum</v>
      </c>
      <c r="F346" s="11" t="str">
        <f>Feuil1!E346</f>
        <v>Suivi post-méningite</v>
      </c>
      <c r="G346" s="12" t="s">
        <v>1070</v>
      </c>
      <c r="H346" s="13" t="s">
        <v>1071</v>
      </c>
      <c r="I346" s="13"/>
      <c r="J346" s="15" t="s">
        <v>1072</v>
      </c>
      <c r="K346" s="9" t="s">
        <v>1073</v>
      </c>
      <c r="L346" s="9" t="s">
        <v>33</v>
      </c>
      <c r="M346" s="9" t="s">
        <v>33</v>
      </c>
      <c r="N346" t="s">
        <v>1071</v>
      </c>
      <c r="O346" t="str">
        <f>IFERROR(_xlfn.XLOOKUP($D346, SSP!$F:$F, SSP!$E:$E, "Inconnu"), "")</f>
        <v>Soins de base lors de l’accouchement normal et du post-partum</v>
      </c>
      <c r="P346" t="str">
        <f>IF(OR(E346="", O346=""), "", IF(LOWER(E346)=LOWER(O346), "OK", "⚠️ Libellé ≠ n°"))</f>
        <v>OK</v>
      </c>
      <c r="Q346" t="str">
        <f>IF(Feuil1!$E346="", "", IF(LOWER(Feuil1!$E346)=LOWER(E346), "Identique", "Différent"))</f>
        <v>Différent</v>
      </c>
      <c r="R346" t="str">
        <f>IF(OR(P346="⚠️ Libellé ≠ n°", O346="Inconnu"), "⚠️", IF(Q346="Différent", "ℹ️", ""))</f>
        <v>ℹ️</v>
      </c>
      <c r="S346" t="str" cm="1">
        <f t="array" ref="S346">_xlfn.LET(_xlpm.genCat,IFERROR(LOWER(TRIM(G346)),""),_xlpm.principal,IFERROR(LOWER(TRIM(H346)),""),_xlpm.orig,IFERROR(LOWER(TRIM(N346)),""),IF(OR(_xlpm.genCat="",_xlpm.principal=""),"",IF(LEFT(LOWER(G346),5)="autre","OK (Autre)",IF(OR(ISNUMBER(SEARCH(_xlpm.genCat,_xlpm.principal)),ISNUMBER(SEARCH(_xlpm.principal,_xlpm.genCat)),AND(_xlpm.orig&lt;&gt;"",OR(ISNUMBER(SEARCH(_xlpm.genCat,_xlpm.orig)),ISNUMBER(SEARCH(_xlpm.orig,_xlpm.genCat))))),"OK","⚠️ À vérifier"))))</f>
        <v>OK (Autre)</v>
      </c>
      <c r="T346" t="str">
        <f>IF(S346="","",IF(S346="OK (Autre)","Diagnostic générique = 'Autre – …'",IF(S346="OK","Concordance générique/principal","Écart entre générique et principal")))</f>
        <v>Diagnostic générique = 'Autre – …'</v>
      </c>
      <c r="U346" t="str" cm="1">
        <f t="array" ref="U346">_xlfn.LET(_xlpm.yr, A346, _xlpm.diag, IF(N346&lt;&gt;"", N346, H346), _xlpm.base, TRIM(SUBSTITUTE(SUBSTITUTE(SUBSTITUTE(SUBSTITUTE(_xlpm.diag,"•"," "),CHAR(160)," "),CHAR(10)," "),"  "," ")), LOWER(_xlpm.yr&amp;"|"&amp;_xlpm.base))</f>
        <v>2025|problème audition avec retard de langage</v>
      </c>
      <c r="V346" t="str">
        <f>IFERROR(_xlfn.XLOOKUP($AB346,'Cas 2013-2017'!$K:$K,'Cas 2013-2017'!$D:$D,""),"")</f>
        <v/>
      </c>
      <c r="W346" t="str">
        <f>IFERROR(_xlfn.XLOOKUP($AB346,'Cas 2013-2017'!$K:$K,'Cas 2013-2017'!$E:$E,""),"")</f>
        <v/>
      </c>
      <c r="X346" t="str">
        <f>IFERROR(_xlfn.XLOOKUP($AB346,'Cas 2013-2017'!$K:$K,'Cas 2013-2017'!$F:$F,""),"")</f>
        <v/>
      </c>
      <c r="Y346" t="str">
        <f>IFERROR(_xlfn.XLOOKUP($AB346,'Cas 2013-2017'!$K:$K,'Cas 2013-2017'!$G:$G,""),"")</f>
        <v/>
      </c>
      <c r="Z346" t="str">
        <f>IFERROR(_xlfn.XLOOKUP($AB346,'Cas 2013-2017'!$K:$K,'Cas 2013-2017'!$I:$I,""),"")</f>
        <v/>
      </c>
      <c r="AA346" t="str">
        <f>IFERROR(_xlfn.XLOOKUP($AB346,'Cas 2013-2017'!$K:$K,'Cas 2013-2017'!$H:$H,""),"")</f>
        <v/>
      </c>
      <c r="AB346" t="str">
        <f>LOWER($A346 &amp; "|" &amp; $AF346)</f>
        <v>2025|problème audition avec retard de langage</v>
      </c>
      <c r="AC346" t="str">
        <f>TRIM(SUBSTITUTE(SUBSTITUTE(SUBSTITUTE(SUBSTITUTE(" " &amp; LOWER(TRIM(IF($N346&lt;&gt;"", $N346, $H346))) &amp; " ", " aomi ", " arteriopathie des membres inferieurs "), " hta ", " hypertension arterielle "), " saos ", " syndrome d'apnees obstructives du sommeil "), " rgo ", " reflux gastro-oesophagien ") )</f>
        <v>problème audition avec retard de langage</v>
      </c>
      <c r="AD346" t="str">
        <f>TRIM(SUBSTITUTE(SUBSTITUTE(SUBSTITUTE(SUBSTITUTE(" " &amp; LOWER(TRIM($AC346)) &amp; " ", " oacr ", " occlusion de l'artere centrale de la retine "), " hsd ", " hematome sous-dural "), " fa ", " fibrillation auriculaire "), " ep ", " embolie pulmonaire ") )</f>
        <v>problème audition avec retard de langage</v>
      </c>
      <c r="AE346" t="str" cm="1">
        <f t="array" ref="AE346">_xlfn.LET(_xlpm.base, " " &amp; LOWER(TRIM($AD346))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problème audition avec retard de langage</v>
      </c>
      <c r="AF346" t="str" cm="1">
        <f t="array" ref="AF346">_xlfn.LET(_xlpm.base, " " &amp; LOWER(TRIM($AE346))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problème audition avec retard de langage</v>
      </c>
    </row>
    <row r="347" spans="1:32" ht="50.25">
      <c r="A347" s="8">
        <v>2025</v>
      </c>
      <c r="B347" s="10" t="s">
        <v>82</v>
      </c>
      <c r="C347" s="8" t="s">
        <v>55</v>
      </c>
      <c r="D347" s="20">
        <v>130</v>
      </c>
      <c r="E347" s="11" t="str">
        <f>IF(D347="","",IFERROR(INDEX(SSP!$E$2:$E$266, MATCH(D347, SSP!$F$2:$F$266, 0)),""))</f>
        <v>Usage non médical de substances, dépendance (tabac, alcool, drogues, jeux, etc.)</v>
      </c>
      <c r="F347" s="11" t="str">
        <f>Feuil1!E347</f>
        <v>Réduction alcool</v>
      </c>
      <c r="G347" s="12" t="s">
        <v>83</v>
      </c>
      <c r="H347" s="13"/>
      <c r="I347" s="13"/>
      <c r="J347" s="15" t="s">
        <v>1074</v>
      </c>
      <c r="K347" s="9" t="s">
        <v>33</v>
      </c>
      <c r="L347" s="9" t="s">
        <v>33</v>
      </c>
      <c r="M347" s="9" t="s">
        <v>33</v>
      </c>
      <c r="N347" t="s">
        <v>33</v>
      </c>
      <c r="O347" t="str">
        <f>IFERROR(_xlfn.XLOOKUP($D347, SSP!$F:$F, SSP!$E:$E, "Inconnu"), "")</f>
        <v>Usage non médical de substances, dépendance (tabac, alcool, drogues, jeux, etc.)</v>
      </c>
      <c r="P347" t="str">
        <f>IF(OR(E347="", O347=""), "", IF(LOWER(E347)=LOWER(O347), "OK", "⚠️ Libellé ≠ n°"))</f>
        <v>OK</v>
      </c>
      <c r="Q347" t="str">
        <f>IF(Feuil1!$E347="", "", IF(LOWER(Feuil1!$E347)=LOWER(E347), "Identique", "Différent"))</f>
        <v>Différent</v>
      </c>
      <c r="R347" t="str">
        <f>IF(OR(P347="⚠️ Libellé ≠ n°", O347="Inconnu"), "⚠️", IF(Q347="Différent", "ℹ️", ""))</f>
        <v>ℹ️</v>
      </c>
      <c r="S347" t="str" cm="1">
        <f t="array" ref="S347">_xlfn.LET(_xlpm.genCat,IFERROR(LOWER(TRIM(G347)),""),_xlpm.principal,IFERROR(LOWER(TRIM(H347)),""),_xlpm.orig,IFERROR(LOWER(TRIM(N347)),""),IF(OR(_xlpm.genCat="",_xlpm.principal=""),"",IF(LEFT(LOWER(G347),5)="autre","OK (Autre)",IF(OR(ISNUMBER(SEARCH(_xlpm.genCat,_xlpm.principal)),ISNUMBER(SEARCH(_xlpm.principal,_xlpm.genCat)),AND(_xlpm.orig&lt;&gt;"",OR(ISNUMBER(SEARCH(_xlpm.genCat,_xlpm.orig)),ISNUMBER(SEARCH(_xlpm.orig,_xlpm.genCat))))),"OK","⚠️ À vérifier"))))</f>
        <v/>
      </c>
      <c r="T347" t="str">
        <f>IF(S347="","",IF(S347="OK (Autre)","Diagnostic générique = 'Autre – …'",IF(S347="OK","Concordance générique/principal","Écart entre générique et principal")))</f>
        <v/>
      </c>
      <c r="U347" t="str" cm="1">
        <f t="array" ref="U347">_xlfn.LET(_xlpm.yr, A347, _xlpm.diag, IF(N347&lt;&gt;"", N347, H347), _xlpm.base, TRIM(SUBSTITUTE(SUBSTITUTE(SUBSTITUTE(SUBSTITUTE(_xlpm.diag,"•"," "),CHAR(160)," "),CHAR(10)," "),"  "," ")), LOWER(_xlpm.yr&amp;"|"&amp;_xlpm.base))</f>
        <v>2025|</v>
      </c>
      <c r="V347" t="str">
        <f>IFERROR(_xlfn.XLOOKUP($AB347,'Cas 2013-2017'!$K:$K,'Cas 2013-2017'!$D:$D,""),"")</f>
        <v/>
      </c>
      <c r="W347" t="str">
        <f>IFERROR(_xlfn.XLOOKUP($AB347,'Cas 2013-2017'!$K:$K,'Cas 2013-2017'!$E:$E,""),"")</f>
        <v/>
      </c>
      <c r="X347" t="str">
        <f>IFERROR(_xlfn.XLOOKUP($AB347,'Cas 2013-2017'!$K:$K,'Cas 2013-2017'!$F:$F,""),"")</f>
        <v/>
      </c>
      <c r="Y347" t="str">
        <f>IFERROR(_xlfn.XLOOKUP($AB347,'Cas 2013-2017'!$K:$K,'Cas 2013-2017'!$G:$G,""),"")</f>
        <v/>
      </c>
      <c r="Z347" t="str">
        <f>IFERROR(_xlfn.XLOOKUP($AB347,'Cas 2013-2017'!$K:$K,'Cas 2013-2017'!$I:$I,""),"")</f>
        <v/>
      </c>
      <c r="AA347" t="str">
        <f>IFERROR(_xlfn.XLOOKUP($AB347,'Cas 2013-2017'!$K:$K,'Cas 2013-2017'!$H:$H,""),"")</f>
        <v/>
      </c>
      <c r="AB347" t="str">
        <f>LOWER($A347 &amp; "|" &amp; $AF347)</f>
        <v>2025| </v>
      </c>
      <c r="AC347" t="str">
        <f>TRIM(SUBSTITUTE(SUBSTITUTE(SUBSTITUTE(SUBSTITUTE(" " &amp; LOWER(TRIM(IF($N347&lt;&gt;"", $N347, $H347))) &amp; " ", " aomi ", " arteriopathie des membres inferieurs "), " hta ", " hypertension arterielle "), " saos ", " syndrome d'apnees obstructives du sommeil "), " rgo ", " reflux gastro-oesophagien ") )</f>
        <v> </v>
      </c>
      <c r="AD347" t="str">
        <f>TRIM(SUBSTITUTE(SUBSTITUTE(SUBSTITUTE(SUBSTITUTE(" " &amp; LOWER(TRIM($AC347)) &amp; " ", " oacr ", " occlusion de l'artere centrale de la retine "), " hsd ", " hematome sous-dural "), " fa ", " fibrillation auriculaire "), " ep ", " embolie pulmonaire ") )</f>
        <v> </v>
      </c>
      <c r="AE347" t="str" cm="1">
        <f t="array" ref="AE347">_xlfn.LET(_xlpm.base, " " &amp; LOWER(TRIM($AD347))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347" t="str" cm="1">
        <f t="array" ref="AF347">_xlfn.LET(_xlpm.base, " " &amp; LOWER(TRIM($AE347))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348" spans="1:32" ht="50.25">
      <c r="A348" s="8">
        <v>2025</v>
      </c>
      <c r="B348" s="10" t="s">
        <v>91</v>
      </c>
      <c r="C348" s="8" t="s">
        <v>33</v>
      </c>
      <c r="D348" s="20">
        <v>10</v>
      </c>
      <c r="E348" s="11" t="str">
        <f>IF(D348="","",IFERROR(INDEX(SSP!$E$2:$E$266, MATCH(D348, SSP!$F$2:$F$266, 0)),""))</f>
        <v>Douleur (toutes localisations et types confondus)</v>
      </c>
      <c r="F348" s="11" t="str">
        <f>Feuil1!E348</f>
        <v>Douleur à la miction</v>
      </c>
      <c r="G348" s="12" t="s">
        <v>160</v>
      </c>
      <c r="H348" s="13" t="s">
        <v>161</v>
      </c>
      <c r="I348" s="13"/>
      <c r="J348" s="15" t="s">
        <v>1075</v>
      </c>
      <c r="K348" s="9" t="s">
        <v>1076</v>
      </c>
      <c r="L348" s="9" t="s">
        <v>33</v>
      </c>
      <c r="M348" s="9" t="s">
        <v>33</v>
      </c>
      <c r="N348" t="s">
        <v>161</v>
      </c>
      <c r="O348" t="str">
        <f>IFERROR(_xlfn.XLOOKUP($D348, SSP!$F:$F, SSP!$E:$E, "Inconnu"), "")</f>
        <v>Douleur (toutes localisations et types confondus)</v>
      </c>
      <c r="P348" t="str">
        <f>IF(OR(E348="", O348=""), "", IF(LOWER(E348)=LOWER(O348), "OK", "⚠️ Libellé ≠ n°"))</f>
        <v>OK</v>
      </c>
      <c r="Q348" t="str">
        <f>IF(Feuil1!$E348="", "", IF(LOWER(Feuil1!$E348)=LOWER(E348), "Identique", "Différent"))</f>
        <v>Différent</v>
      </c>
      <c r="R348" t="str">
        <f>IF(OR(P348="⚠️ Libellé ≠ n°", O348="Inconnu"), "⚠️", IF(Q348="Différent", "ℹ️", ""))</f>
        <v>ℹ️</v>
      </c>
      <c r="S348" t="str" cm="1">
        <f t="array" ref="S348">_xlfn.LET(_xlpm.genCat,IFERROR(LOWER(TRIM(G348)),""),_xlpm.principal,IFERROR(LOWER(TRIM(H348)),""),_xlpm.orig,IFERROR(LOWER(TRIM(N348)),""),IF(OR(_xlpm.genCat="",_xlpm.principal=""),"",IF(LEFT(LOWER(G348),5)="autre","OK (Autre)",IF(OR(ISNUMBER(SEARCH(_xlpm.genCat,_xlpm.principal)),ISNUMBER(SEARCH(_xlpm.principal,_xlpm.genCat)),AND(_xlpm.orig&lt;&gt;"",OR(ISNUMBER(SEARCH(_xlpm.genCat,_xlpm.orig)),ISNUMBER(SEARCH(_xlpm.orig,_xlpm.genCat))))),"OK","⚠️ À vérifier"))))</f>
        <v>OK (Autre)</v>
      </c>
      <c r="T348" t="str">
        <f>IF(S348="","",IF(S348="OK (Autre)","Diagnostic générique = 'Autre – …'",IF(S348="OK","Concordance générique/principal","Écart entre générique et principal")))</f>
        <v>Diagnostic générique = 'Autre – …'</v>
      </c>
      <c r="U348" t="str" cm="1">
        <f t="array" ref="U348">_xlfn.LET(_xlpm.yr, A348, _xlpm.diag, IF(N348&lt;&gt;"", N348, H348), _xlpm.base, TRIM(SUBSTITUTE(SUBSTITUTE(SUBSTITUTE(SUBSTITUTE(_xlpm.diag,"•"," "),CHAR(160)," "),CHAR(10)," "),"  "," ")), LOWER(_xlpm.yr&amp;"|"&amp;_xlpm.base))</f>
        <v>2025|prostatite</v>
      </c>
      <c r="V348" t="str">
        <f>IFERROR(_xlfn.XLOOKUP($AB348,'Cas 2013-2017'!$K:$K,'Cas 2013-2017'!$D:$D,""),"")</f>
        <v/>
      </c>
      <c r="W348" t="str">
        <f>IFERROR(_xlfn.XLOOKUP($AB348,'Cas 2013-2017'!$K:$K,'Cas 2013-2017'!$E:$E,""),"")</f>
        <v/>
      </c>
      <c r="X348" t="str">
        <f>IFERROR(_xlfn.XLOOKUP($AB348,'Cas 2013-2017'!$K:$K,'Cas 2013-2017'!$F:$F,""),"")</f>
        <v/>
      </c>
      <c r="Y348" t="str">
        <f>IFERROR(_xlfn.XLOOKUP($AB348,'Cas 2013-2017'!$K:$K,'Cas 2013-2017'!$G:$G,""),"")</f>
        <v/>
      </c>
      <c r="Z348" t="str">
        <f>IFERROR(_xlfn.XLOOKUP($AB348,'Cas 2013-2017'!$K:$K,'Cas 2013-2017'!$I:$I,""),"")</f>
        <v/>
      </c>
      <c r="AA348" t="str">
        <f>IFERROR(_xlfn.XLOOKUP($AB348,'Cas 2013-2017'!$K:$K,'Cas 2013-2017'!$H:$H,""),"")</f>
        <v/>
      </c>
      <c r="AB348" t="str">
        <f>LOWER($A348 &amp; "|" &amp; $AF348)</f>
        <v>2025|prostatite</v>
      </c>
      <c r="AC348" t="str">
        <f>TRIM(SUBSTITUTE(SUBSTITUTE(SUBSTITUTE(SUBSTITUTE(" " &amp; LOWER(TRIM(IF($N348&lt;&gt;"", $N348, $H348))) &amp; " ", " aomi ", " arteriopathie des membres inferieurs "), " hta ", " hypertension arterielle "), " saos ", " syndrome d'apnees obstructives du sommeil "), " rgo ", " reflux gastro-oesophagien ") )</f>
        <v>prostatite</v>
      </c>
      <c r="AD348" t="str">
        <f>TRIM(SUBSTITUTE(SUBSTITUTE(SUBSTITUTE(SUBSTITUTE(" " &amp; LOWER(TRIM($AC348)) &amp; " ", " oacr ", " occlusion de l'artere centrale de la retine "), " hsd ", " hematome sous-dural "), " fa ", " fibrillation auriculaire "), " ep ", " embolie pulmonaire ") )</f>
        <v>prostatite</v>
      </c>
      <c r="AE348" t="str" cm="1">
        <f t="array" ref="AE348">_xlfn.LET(_xlpm.base, " " &amp; LOWER(TRIM($AD348))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prostatite</v>
      </c>
      <c r="AF348" t="str" cm="1">
        <f t="array" ref="AF348">_xlfn.LET(_xlpm.base, " " &amp; LOWER(TRIM($AE348))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prostatite</v>
      </c>
    </row>
    <row r="349" spans="1:32" ht="50.25">
      <c r="A349" s="8">
        <v>2025</v>
      </c>
      <c r="B349" s="10" t="s">
        <v>141</v>
      </c>
      <c r="C349" s="8" t="s">
        <v>33</v>
      </c>
      <c r="D349" s="20">
        <v>4</v>
      </c>
      <c r="E349" s="11" t="str">
        <f>IF(D349="","",IFERROR(INDEX(SSP!$E$2:$E$266, MATCH(D349, SSP!$F$2:$F$266, 0)),""))</f>
        <v>Fatigue, asthénie</v>
      </c>
      <c r="F349" s="11" t="str">
        <f>Feuil1!E349</f>
        <v>Fatigue</v>
      </c>
      <c r="G349" s="12" t="s">
        <v>840</v>
      </c>
      <c r="H349" s="13" t="s">
        <v>1077</v>
      </c>
      <c r="I349" s="13"/>
      <c r="J349" s="15" t="s">
        <v>1078</v>
      </c>
      <c r="K349" s="9" t="s">
        <v>1079</v>
      </c>
      <c r="L349" s="9" t="s">
        <v>33</v>
      </c>
      <c r="M349" s="9" t="s">
        <v>33</v>
      </c>
      <c r="N349" t="s">
        <v>1077</v>
      </c>
      <c r="O349" t="str">
        <f>IFERROR(_xlfn.XLOOKUP($D349, SSP!$F:$F, SSP!$E:$E, "Inconnu"), "")</f>
        <v>Fatigue, asthénie</v>
      </c>
      <c r="P349" t="str">
        <f>IF(OR(E349="", O349=""), "", IF(LOWER(E349)=LOWER(O349), "OK", "⚠️ Libellé ≠ n°"))</f>
        <v>OK</v>
      </c>
      <c r="Q349" t="str">
        <f>IF(Feuil1!$E349="", "", IF(LOWER(Feuil1!$E349)=LOWER(E349), "Identique", "Différent"))</f>
        <v>Différent</v>
      </c>
      <c r="R349" t="str">
        <f>IF(OR(P349="⚠️ Libellé ≠ n°", O349="Inconnu"), "⚠️", IF(Q349="Différent", "ℹ️", ""))</f>
        <v>ℹ️</v>
      </c>
      <c r="S349" t="str" cm="1">
        <f t="array" ref="S349">_xlfn.LET(_xlpm.genCat,IFERROR(LOWER(TRIM(G349)),""),_xlpm.principal,IFERROR(LOWER(TRIM(H349)),""),_xlpm.orig,IFERROR(LOWER(TRIM(N349)),""),IF(OR(_xlpm.genCat="",_xlpm.principal=""),"",IF(LEFT(LOWER(G349),5)="autre","OK (Autre)",IF(OR(ISNUMBER(SEARCH(_xlpm.genCat,_xlpm.principal)),ISNUMBER(SEARCH(_xlpm.principal,_xlpm.genCat)),AND(_xlpm.orig&lt;&gt;"",OR(ISNUMBER(SEARCH(_xlpm.genCat,_xlpm.orig)),ISNUMBER(SEARCH(_xlpm.orig,_xlpm.genCat))))),"OK","⚠️ À vérifier"))))</f>
        <v>⚠️ À vérifier</v>
      </c>
      <c r="T349" t="str">
        <f>IF(S349="","",IF(S349="OK (Autre)","Diagnostic générique = 'Autre – …'",IF(S349="OK","Concordance générique/principal","Écart entre générique et principal")))</f>
        <v>Écart entre générique et principal</v>
      </c>
      <c r="U349" t="str" cm="1">
        <f t="array" ref="U349">_xlfn.LET(_xlpm.yr, A349, _xlpm.diag, IF(N349&lt;&gt;"", N349, H349), _xlpm.base, TRIM(SUBSTITUTE(SUBSTITUTE(SUBSTITUTE(SUBSTITUTE(_xlpm.diag,"•"," "),CHAR(160)," "),CHAR(10)," "),"  "," ")), LOWER(_xlpm.yr&amp;"|"&amp;_xlpm.base))</f>
        <v>2025|anémie ferriprive post-partum</v>
      </c>
      <c r="V349" t="str">
        <f>IFERROR(_xlfn.XLOOKUP($AB349,'Cas 2013-2017'!$K:$K,'Cas 2013-2017'!$D:$D,""),"")</f>
        <v/>
      </c>
      <c r="W349" t="str">
        <f>IFERROR(_xlfn.XLOOKUP($AB349,'Cas 2013-2017'!$K:$K,'Cas 2013-2017'!$E:$E,""),"")</f>
        <v/>
      </c>
      <c r="X349" t="str">
        <f>IFERROR(_xlfn.XLOOKUP($AB349,'Cas 2013-2017'!$K:$K,'Cas 2013-2017'!$F:$F,""),"")</f>
        <v/>
      </c>
      <c r="Y349" t="str">
        <f>IFERROR(_xlfn.XLOOKUP($AB349,'Cas 2013-2017'!$K:$K,'Cas 2013-2017'!$G:$G,""),"")</f>
        <v/>
      </c>
      <c r="Z349" t="str">
        <f>IFERROR(_xlfn.XLOOKUP($AB349,'Cas 2013-2017'!$K:$K,'Cas 2013-2017'!$I:$I,""),"")</f>
        <v/>
      </c>
      <c r="AA349" t="str">
        <f>IFERROR(_xlfn.XLOOKUP($AB349,'Cas 2013-2017'!$K:$K,'Cas 2013-2017'!$H:$H,""),"")</f>
        <v/>
      </c>
      <c r="AB349" t="str">
        <f>LOWER($A349 &amp; "|" &amp; $AF349)</f>
        <v>2025|anémie ferriprive post-partum</v>
      </c>
      <c r="AC349" t="str">
        <f>TRIM(SUBSTITUTE(SUBSTITUTE(SUBSTITUTE(SUBSTITUTE(" " &amp; LOWER(TRIM(IF($N349&lt;&gt;"", $N349, $H349))) &amp; " ", " aomi ", " arteriopathie des membres inferieurs "), " hta ", " hypertension arterielle "), " saos ", " syndrome d'apnees obstructives du sommeil "), " rgo ", " reflux gastro-oesophagien ") )</f>
        <v>anémie ferriprive post-partum</v>
      </c>
      <c r="AD349" t="str">
        <f>TRIM(SUBSTITUTE(SUBSTITUTE(SUBSTITUTE(SUBSTITUTE(" " &amp; LOWER(TRIM($AC349)) &amp; " ", " oacr ", " occlusion de l'artere centrale de la retine "), " hsd ", " hematome sous-dural "), " fa ", " fibrillation auriculaire "), " ep ", " embolie pulmonaire ") )</f>
        <v>anémie ferriprive post-partum</v>
      </c>
      <c r="AE349" t="str" cm="1">
        <f t="array" ref="AE349">_xlfn.LET(_xlpm.base, " " &amp; LOWER(TRIM($AD349))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anémie ferriprive post-partum</v>
      </c>
      <c r="AF349" t="str" cm="1">
        <f t="array" ref="AF349">_xlfn.LET(_xlpm.base, " " &amp; LOWER(TRIM($AE349))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anémie ferriprive post-partum</v>
      </c>
    </row>
    <row r="350" spans="1:32" ht="33.75">
      <c r="A350" s="8">
        <v>2025</v>
      </c>
      <c r="B350" s="10" t="s">
        <v>60</v>
      </c>
      <c r="C350" s="8" t="s">
        <v>33</v>
      </c>
      <c r="D350" s="20">
        <v>10</v>
      </c>
      <c r="E350" s="11" t="str">
        <f>IF(D350="","",IFERROR(INDEX(SSP!$E$2:$E$266, MATCH(D350, SSP!$F$2:$F$266, 0)),""))</f>
        <v>Douleur (toutes localisations et types confondus)</v>
      </c>
      <c r="F350" s="11" t="str">
        <f>Feuil1!E350</f>
        <v>Douleur avant-bras</v>
      </c>
      <c r="G350" s="12" t="s">
        <v>123</v>
      </c>
      <c r="H350" s="13" t="s">
        <v>1080</v>
      </c>
      <c r="I350" s="13"/>
      <c r="J350" s="15" t="s">
        <v>344</v>
      </c>
      <c r="K350" s="9" t="s">
        <v>33</v>
      </c>
      <c r="L350" s="9" t="s">
        <v>33</v>
      </c>
      <c r="M350" s="9" t="s">
        <v>33</v>
      </c>
      <c r="N350" t="s">
        <v>1080</v>
      </c>
      <c r="O350" t="str">
        <f>IFERROR(_xlfn.XLOOKUP($D350, SSP!$F:$F, SSP!$E:$E, "Inconnu"), "")</f>
        <v>Douleur (toutes localisations et types confondus)</v>
      </c>
      <c r="P350" t="str">
        <f>IF(OR(E350="", O350=""), "", IF(LOWER(E350)=LOWER(O350), "OK", "⚠️ Libellé ≠ n°"))</f>
        <v>OK</v>
      </c>
      <c r="Q350" t="str">
        <f>IF(Feuil1!$E350="", "", IF(LOWER(Feuil1!$E350)=LOWER(E350), "Identique", "Différent"))</f>
        <v>Différent</v>
      </c>
      <c r="R350" t="str">
        <f>IF(OR(P350="⚠️ Libellé ≠ n°", O350="Inconnu"), "⚠️", IF(Q350="Différent", "ℹ️", ""))</f>
        <v>ℹ️</v>
      </c>
      <c r="S350" t="str" cm="1">
        <f t="array" ref="S350">_xlfn.LET(_xlpm.genCat,IFERROR(LOWER(TRIM(G350)),""),_xlpm.principal,IFERROR(LOWER(TRIM(H350)),""),_xlpm.orig,IFERROR(LOWER(TRIM(N350)),""),IF(OR(_xlpm.genCat="",_xlpm.principal=""),"",IF(LEFT(LOWER(G350),5)="autre","OK (Autre)",IF(OR(ISNUMBER(SEARCH(_xlpm.genCat,_xlpm.principal)),ISNUMBER(SEARCH(_xlpm.principal,_xlpm.genCat)),AND(_xlpm.orig&lt;&gt;"",OR(ISNUMBER(SEARCH(_xlpm.genCat,_xlpm.orig)),ISNUMBER(SEARCH(_xlpm.orig,_xlpm.genCat))))),"OK","⚠️ À vérifier"))))</f>
        <v>OK (Autre)</v>
      </c>
      <c r="T350" t="str">
        <f>IF(S350="","",IF(S350="OK (Autre)","Diagnostic générique = 'Autre – …'",IF(S350="OK","Concordance générique/principal","Écart entre générique et principal")))</f>
        <v>Diagnostic générique = 'Autre – …'</v>
      </c>
      <c r="U350" t="str" cm="1">
        <f t="array" ref="U350">_xlfn.LET(_xlpm.yr, A350, _xlpm.diag, IF(N350&lt;&gt;"", N350, H350), _xlpm.base, TRIM(SUBSTITUTE(SUBSTITUTE(SUBSTITUTE(SUBSTITUTE(_xlpm.diag,"•"," "),CHAR(160)," "),CHAR(10)," "),"  "," ")), LOWER(_xlpm.yr&amp;"|"&amp;_xlpm.base))</f>
        <v>2025|tendinite de de quervain</v>
      </c>
      <c r="V350" t="str">
        <f>IFERROR(_xlfn.XLOOKUP($AB350,'Cas 2013-2017'!$K:$K,'Cas 2013-2017'!$D:$D,""),"")</f>
        <v/>
      </c>
      <c r="W350" t="str">
        <f>IFERROR(_xlfn.XLOOKUP($AB350,'Cas 2013-2017'!$K:$K,'Cas 2013-2017'!$E:$E,""),"")</f>
        <v/>
      </c>
      <c r="X350" t="str">
        <f>IFERROR(_xlfn.XLOOKUP($AB350,'Cas 2013-2017'!$K:$K,'Cas 2013-2017'!$F:$F,""),"")</f>
        <v/>
      </c>
      <c r="Y350" t="str">
        <f>IFERROR(_xlfn.XLOOKUP($AB350,'Cas 2013-2017'!$K:$K,'Cas 2013-2017'!$G:$G,""),"")</f>
        <v/>
      </c>
      <c r="Z350" t="str">
        <f>IFERROR(_xlfn.XLOOKUP($AB350,'Cas 2013-2017'!$K:$K,'Cas 2013-2017'!$I:$I,""),"")</f>
        <v/>
      </c>
      <c r="AA350" t="str">
        <f>IFERROR(_xlfn.XLOOKUP($AB350,'Cas 2013-2017'!$K:$K,'Cas 2013-2017'!$H:$H,""),"")</f>
        <v/>
      </c>
      <c r="AB350" t="str">
        <f>LOWER($A350 &amp; "|" &amp; $AF350)</f>
        <v>2025|tendinite de de quervain</v>
      </c>
      <c r="AC350" t="str">
        <f>TRIM(SUBSTITUTE(SUBSTITUTE(SUBSTITUTE(SUBSTITUTE(" " &amp; LOWER(TRIM(IF($N350&lt;&gt;"", $N350, $H350))) &amp; " ", " aomi ", " arteriopathie des membres inferieurs "), " hta ", " hypertension arterielle "), " saos ", " syndrome d'apnees obstructives du sommeil "), " rgo ", " reflux gastro-oesophagien ") )</f>
        <v>tendinite de de quervain</v>
      </c>
      <c r="AD350" t="str">
        <f>TRIM(SUBSTITUTE(SUBSTITUTE(SUBSTITUTE(SUBSTITUTE(" " &amp; LOWER(TRIM($AC350)) &amp; " ", " oacr ", " occlusion de l'artere centrale de la retine "), " hsd ", " hematome sous-dural "), " fa ", " fibrillation auriculaire "), " ep ", " embolie pulmonaire ") )</f>
        <v>tendinite de de quervain</v>
      </c>
      <c r="AE350" t="str" cm="1">
        <f t="array" ref="AE350">_xlfn.LET(_xlpm.base, " " &amp; LOWER(TRIM($AD350))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tendinite de de quervain</v>
      </c>
      <c r="AF350" t="str" cm="1">
        <f t="array" ref="AF350">_xlfn.LET(_xlpm.base, " " &amp; LOWER(TRIM($AE350))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tendinite de de quervain</v>
      </c>
    </row>
    <row r="351" spans="1:32" ht="33.75">
      <c r="A351" s="8">
        <v>2025</v>
      </c>
      <c r="B351" s="10" t="s">
        <v>82</v>
      </c>
      <c r="C351" s="8" t="s">
        <v>33</v>
      </c>
      <c r="D351" s="20">
        <v>146</v>
      </c>
      <c r="E351" s="11" t="str">
        <f>IF(D351="","",IFERROR(INDEX(SSP!$E$2:$E$266, MATCH(D351, SSP!$F$2:$F$266, 0)),""))</f>
        <v>Œdème</v>
      </c>
      <c r="F351" s="11" t="str">
        <f>Feuil1!E351</f>
        <v>Œdème périauriculaire</v>
      </c>
      <c r="G351" s="12" t="s">
        <v>83</v>
      </c>
      <c r="H351" s="13"/>
      <c r="I351" s="13"/>
      <c r="J351" s="15" t="s">
        <v>1081</v>
      </c>
      <c r="K351" s="9" t="s">
        <v>1082</v>
      </c>
      <c r="L351" s="9" t="s">
        <v>33</v>
      </c>
      <c r="M351" s="9" t="s">
        <v>33</v>
      </c>
      <c r="N351" t="s">
        <v>33</v>
      </c>
      <c r="O351" t="str">
        <f>IFERROR(_xlfn.XLOOKUP($D351, SSP!$F:$F, SSP!$E:$E, "Inconnu"), "")</f>
        <v>Œdème</v>
      </c>
      <c r="P351" t="str">
        <f>IF(OR(E351="", O351=""), "", IF(LOWER(E351)=LOWER(O351), "OK", "⚠️ Libellé ≠ n°"))</f>
        <v>OK</v>
      </c>
      <c r="Q351" t="str">
        <f>IF(Feuil1!$E351="", "", IF(LOWER(Feuil1!$E351)=LOWER(E351), "Identique", "Différent"))</f>
        <v>Différent</v>
      </c>
      <c r="R351" t="str">
        <f>IF(OR(P351="⚠️ Libellé ≠ n°", O351="Inconnu"), "⚠️", IF(Q351="Différent", "ℹ️", ""))</f>
        <v>ℹ️</v>
      </c>
      <c r="S351" t="str" cm="1">
        <f t="array" ref="S351">_xlfn.LET(_xlpm.genCat,IFERROR(LOWER(TRIM(G351)),""),_xlpm.principal,IFERROR(LOWER(TRIM(H351)),""),_xlpm.orig,IFERROR(LOWER(TRIM(N351)),""),IF(OR(_xlpm.genCat="",_xlpm.principal=""),"",IF(LEFT(LOWER(G351),5)="autre","OK (Autre)",IF(OR(ISNUMBER(SEARCH(_xlpm.genCat,_xlpm.principal)),ISNUMBER(SEARCH(_xlpm.principal,_xlpm.genCat)),AND(_xlpm.orig&lt;&gt;"",OR(ISNUMBER(SEARCH(_xlpm.genCat,_xlpm.orig)),ISNUMBER(SEARCH(_xlpm.orig,_xlpm.genCat))))),"OK","⚠️ À vérifier"))))</f>
        <v/>
      </c>
      <c r="T351" t="str">
        <f>IF(S351="","",IF(S351="OK (Autre)","Diagnostic générique = 'Autre – …'",IF(S351="OK","Concordance générique/principal","Écart entre générique et principal")))</f>
        <v/>
      </c>
      <c r="U351" t="str" cm="1">
        <f t="array" ref="U351">_xlfn.LET(_xlpm.yr, A351, _xlpm.diag, IF(N351&lt;&gt;"", N351, H351), _xlpm.base, TRIM(SUBSTITUTE(SUBSTITUTE(SUBSTITUTE(SUBSTITUTE(_xlpm.diag,"•"," "),CHAR(160)," "),CHAR(10)," "),"  "," ")), LOWER(_xlpm.yr&amp;"|"&amp;_xlpm.base))</f>
        <v>2025|</v>
      </c>
      <c r="V351" t="str">
        <f>IFERROR(_xlfn.XLOOKUP($AB351,'Cas 2013-2017'!$K:$K,'Cas 2013-2017'!$D:$D,""),"")</f>
        <v/>
      </c>
      <c r="W351" t="str">
        <f>IFERROR(_xlfn.XLOOKUP($AB351,'Cas 2013-2017'!$K:$K,'Cas 2013-2017'!$E:$E,""),"")</f>
        <v/>
      </c>
      <c r="X351" t="str">
        <f>IFERROR(_xlfn.XLOOKUP($AB351,'Cas 2013-2017'!$K:$K,'Cas 2013-2017'!$F:$F,""),"")</f>
        <v/>
      </c>
      <c r="Y351" t="str">
        <f>IFERROR(_xlfn.XLOOKUP($AB351,'Cas 2013-2017'!$K:$K,'Cas 2013-2017'!$G:$G,""),"")</f>
        <v/>
      </c>
      <c r="Z351" t="str">
        <f>IFERROR(_xlfn.XLOOKUP($AB351,'Cas 2013-2017'!$K:$K,'Cas 2013-2017'!$I:$I,""),"")</f>
        <v/>
      </c>
      <c r="AA351" t="str">
        <f>IFERROR(_xlfn.XLOOKUP($AB351,'Cas 2013-2017'!$K:$K,'Cas 2013-2017'!$H:$H,""),"")</f>
        <v/>
      </c>
      <c r="AB351" t="str">
        <f>LOWER($A351 &amp; "|" &amp; $AF351)</f>
        <v>2025| </v>
      </c>
      <c r="AC351" t="str">
        <f>TRIM(SUBSTITUTE(SUBSTITUTE(SUBSTITUTE(SUBSTITUTE(" " &amp; LOWER(TRIM(IF($N351&lt;&gt;"", $N351, $H351))) &amp; " ", " aomi ", " arteriopathie des membres inferieurs "), " hta ", " hypertension arterielle "), " saos ", " syndrome d'apnees obstructives du sommeil "), " rgo ", " reflux gastro-oesophagien ") )</f>
        <v> </v>
      </c>
      <c r="AD351" t="str">
        <f>TRIM(SUBSTITUTE(SUBSTITUTE(SUBSTITUTE(SUBSTITUTE(" " &amp; LOWER(TRIM($AC351)) &amp; " ", " oacr ", " occlusion de l'artere centrale de la retine "), " hsd ", " hematome sous-dural "), " fa ", " fibrillation auriculaire "), " ep ", " embolie pulmonaire ") )</f>
        <v> </v>
      </c>
      <c r="AE351" t="str" cm="1">
        <f t="array" ref="AE351">_xlfn.LET(_xlpm.base, " " &amp; LOWER(TRIM($AD351))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351" t="str" cm="1">
        <f t="array" ref="AF351">_xlfn.LET(_xlpm.base, " " &amp; LOWER(TRIM($AE351))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352" spans="1:32" ht="50.25">
      <c r="A352" s="8">
        <v>2025</v>
      </c>
      <c r="B352" s="10" t="s">
        <v>60</v>
      </c>
      <c r="C352" s="8" t="s">
        <v>33</v>
      </c>
      <c r="D352" s="20">
        <v>39</v>
      </c>
      <c r="E352" s="11" t="str">
        <f>IF(D352="","",IFERROR(INDEX(SSP!$E$2:$E$266, MATCH(D352, SSP!$F$2:$F$266, 0)),""))</f>
        <v>Troubles visuels : photophobie, éclairs lumineux, corps flottants, diplopie, dyschromatopsie, vision floue</v>
      </c>
      <c r="F352" s="11" t="str">
        <f>Feuil1!E352</f>
        <v>Troubles de la vision avec céphalées et écoulement mammaire</v>
      </c>
      <c r="G352" s="12" t="s">
        <v>711</v>
      </c>
      <c r="H352" s="13" t="s">
        <v>712</v>
      </c>
      <c r="I352" s="13" t="s">
        <v>1083</v>
      </c>
      <c r="J352" s="15" t="s">
        <v>1084</v>
      </c>
      <c r="K352" s="9" t="s">
        <v>33</v>
      </c>
      <c r="L352" s="9" t="s">
        <v>33</v>
      </c>
      <c r="M352" s="9" t="s">
        <v>33</v>
      </c>
      <c r="N352" t="s">
        <v>712</v>
      </c>
      <c r="O352" t="str">
        <f>IFERROR(_xlfn.XLOOKUP($D352, SSP!$F:$F, SSP!$E:$E, "Inconnu"), "")</f>
        <v>Troubles visuels : photophobie, éclairs lumineux, corps flottants, diplopie, dyschromatopsie, vision floue</v>
      </c>
      <c r="P352" t="str">
        <f>IF(OR(E352="", O352=""), "", IF(LOWER(E352)=LOWER(O352), "OK", "⚠️ Libellé ≠ n°"))</f>
        <v>OK</v>
      </c>
      <c r="Q352" t="str">
        <f>IF(Feuil1!$E352="", "", IF(LOWER(Feuil1!$E352)=LOWER(E352), "Identique", "Différent"))</f>
        <v>Différent</v>
      </c>
      <c r="R352" t="str">
        <f>IF(OR(P352="⚠️ Libellé ≠ n°", O352="Inconnu"), "⚠️", IF(Q352="Différent", "ℹ️", ""))</f>
        <v>ℹ️</v>
      </c>
      <c r="S352" t="str" cm="1">
        <f t="array" ref="S352">_xlfn.LET(_xlpm.genCat,IFERROR(LOWER(TRIM(G352)),""),_xlpm.principal,IFERROR(LOWER(TRIM(H352)),""),_xlpm.orig,IFERROR(LOWER(TRIM(N352)),""),IF(OR(_xlpm.genCat="",_xlpm.principal=""),"",IF(LEFT(LOWER(G352),5)="autre","OK (Autre)",IF(OR(ISNUMBER(SEARCH(_xlpm.genCat,_xlpm.principal)),ISNUMBER(SEARCH(_xlpm.principal,_xlpm.genCat)),AND(_xlpm.orig&lt;&gt;"",OR(ISNUMBER(SEARCH(_xlpm.genCat,_xlpm.orig)),ISNUMBER(SEARCH(_xlpm.orig,_xlpm.genCat))))),"OK","⚠️ À vérifier"))))</f>
        <v>⚠️ À vérifier</v>
      </c>
      <c r="T352" t="str">
        <f>IF(S352="","",IF(S352="OK (Autre)","Diagnostic générique = 'Autre – …'",IF(S352="OK","Concordance générique/principal","Écart entre générique et principal")))</f>
        <v>Écart entre générique et principal</v>
      </c>
      <c r="U352" t="str" cm="1">
        <f t="array" ref="U352">_xlfn.LET(_xlpm.yr, A352, _xlpm.diag, IF(N352&lt;&gt;"", N352, H352), _xlpm.base, TRIM(SUBSTITUTE(SUBSTITUTE(SUBSTITUTE(SUBSTITUTE(_xlpm.diag,"•"," "),CHAR(160)," "),CHAR(10)," "),"  "," ")), LOWER(_xlpm.yr&amp;"|"&amp;_xlpm.base))</f>
        <v>2025|prolactinome</v>
      </c>
      <c r="V352" t="str">
        <f>IFERROR(_xlfn.XLOOKUP($AB352,'Cas 2013-2017'!$K:$K,'Cas 2013-2017'!$D:$D,""),"")</f>
        <v/>
      </c>
      <c r="W352" t="str">
        <f>IFERROR(_xlfn.XLOOKUP($AB352,'Cas 2013-2017'!$K:$K,'Cas 2013-2017'!$E:$E,""),"")</f>
        <v/>
      </c>
      <c r="X352" t="str">
        <f>IFERROR(_xlfn.XLOOKUP($AB352,'Cas 2013-2017'!$K:$K,'Cas 2013-2017'!$F:$F,""),"")</f>
        <v/>
      </c>
      <c r="Y352" t="str">
        <f>IFERROR(_xlfn.XLOOKUP($AB352,'Cas 2013-2017'!$K:$K,'Cas 2013-2017'!$G:$G,""),"")</f>
        <v/>
      </c>
      <c r="Z352" t="str">
        <f>IFERROR(_xlfn.XLOOKUP($AB352,'Cas 2013-2017'!$K:$K,'Cas 2013-2017'!$I:$I,""),"")</f>
        <v/>
      </c>
      <c r="AA352" t="str">
        <f>IFERROR(_xlfn.XLOOKUP($AB352,'Cas 2013-2017'!$K:$K,'Cas 2013-2017'!$H:$H,""),"")</f>
        <v/>
      </c>
      <c r="AB352" t="str">
        <f>LOWER($A352 &amp; "|" &amp; $AF352)</f>
        <v>2025|prolactinome</v>
      </c>
      <c r="AC352" t="str">
        <f>TRIM(SUBSTITUTE(SUBSTITUTE(SUBSTITUTE(SUBSTITUTE(" " &amp; LOWER(TRIM(IF($N352&lt;&gt;"", $N352, $H352))) &amp; " ", " aomi ", " arteriopathie des membres inferieurs "), " hta ", " hypertension arterielle "), " saos ", " syndrome d'apnees obstructives du sommeil "), " rgo ", " reflux gastro-oesophagien ") )</f>
        <v>prolactinome</v>
      </c>
      <c r="AD352" t="str">
        <f>TRIM(SUBSTITUTE(SUBSTITUTE(SUBSTITUTE(SUBSTITUTE(" " &amp; LOWER(TRIM($AC352)) &amp; " ", " oacr ", " occlusion de l'artere centrale de la retine "), " hsd ", " hematome sous-dural "), " fa ", " fibrillation auriculaire "), " ep ", " embolie pulmonaire ") )</f>
        <v>prolactinome</v>
      </c>
      <c r="AE352" t="str" cm="1">
        <f t="array" ref="AE352">_xlfn.LET(_xlpm.base, " " &amp; LOWER(TRIM($AD352))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prolactinome</v>
      </c>
      <c r="AF352" t="str" cm="1">
        <f t="array" ref="AF352">_xlfn.LET(_xlpm.base, " " &amp; LOWER(TRIM($AE352))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prolactinome</v>
      </c>
    </row>
    <row r="353" spans="1:32" ht="33.75">
      <c r="A353" s="8">
        <v>2025</v>
      </c>
      <c r="B353" s="10" t="s">
        <v>82</v>
      </c>
      <c r="C353" s="8" t="s">
        <v>33</v>
      </c>
      <c r="D353" s="20">
        <v>5</v>
      </c>
      <c r="E353" s="11" t="str">
        <f>IF(D353="","",IFERROR(INDEX(SSP!$E$2:$E$266, MATCH(D353, SSP!$F$2:$F$266, 0)),""))</f>
        <v>Sensation de malaise, altération de l’état général</v>
      </c>
      <c r="F353" s="11" t="str">
        <f>Feuil1!E353</f>
        <v>État confusionnel aigu</v>
      </c>
      <c r="G353" s="12" t="s">
        <v>56</v>
      </c>
      <c r="H353" s="13" t="s">
        <v>1085</v>
      </c>
      <c r="I353" s="13" t="s">
        <v>1086</v>
      </c>
      <c r="J353" s="15" t="s">
        <v>1087</v>
      </c>
      <c r="K353" s="9" t="s">
        <v>1088</v>
      </c>
      <c r="L353" s="9" t="s">
        <v>33</v>
      </c>
      <c r="M353" s="9" t="s">
        <v>33</v>
      </c>
      <c r="N353" t="s">
        <v>1089</v>
      </c>
      <c r="O353" t="str">
        <f>IFERROR(_xlfn.XLOOKUP($D353, SSP!$F:$F, SSP!$E:$E, "Inconnu"), "")</f>
        <v>Sensation de malaise, altération de l’état général</v>
      </c>
      <c r="P353" t="str">
        <f>IF(OR(E353="", O353=""), "", IF(LOWER(E353)=LOWER(O353), "OK", "⚠️ Libellé ≠ n°"))</f>
        <v>OK</v>
      </c>
      <c r="Q353" t="str">
        <f>IF(Feuil1!$E353="", "", IF(LOWER(Feuil1!$E353)=LOWER(E353), "Identique", "Différent"))</f>
        <v>Différent</v>
      </c>
      <c r="R353" t="str">
        <f>IF(OR(P353="⚠️ Libellé ≠ n°", O353="Inconnu"), "⚠️", IF(Q353="Différent", "ℹ️", ""))</f>
        <v>ℹ️</v>
      </c>
      <c r="S353" t="str" cm="1">
        <f t="array" ref="S353">_xlfn.LET(_xlpm.genCat,IFERROR(LOWER(TRIM(G353)),""),_xlpm.principal,IFERROR(LOWER(TRIM(H353)),""),_xlpm.orig,IFERROR(LOWER(TRIM(N353)),""),IF(OR(_xlpm.genCat="",_xlpm.principal=""),"",IF(LEFT(LOWER(G353),5)="autre","OK (Autre)",IF(OR(ISNUMBER(SEARCH(_xlpm.genCat,_xlpm.principal)),ISNUMBER(SEARCH(_xlpm.principal,_xlpm.genCat)),AND(_xlpm.orig&lt;&gt;"",OR(ISNUMBER(SEARCH(_xlpm.genCat,_xlpm.orig)),ISNUMBER(SEARCH(_xlpm.orig,_xlpm.genCat))))),"OK","⚠️ À vérifier"))))</f>
        <v>⚠️ À vérifier</v>
      </c>
      <c r="T353" t="str">
        <f>IF(S353="","",IF(S353="OK (Autre)","Diagnostic générique = 'Autre – …'",IF(S353="OK","Concordance générique/principal","Écart entre générique et principal")))</f>
        <v>Écart entre générique et principal</v>
      </c>
      <c r="U353" t="str" cm="1">
        <f t="array" ref="U353">_xlfn.LET(_xlpm.yr, A353, _xlpm.diag, IF(N353&lt;&gt;"", N353, H353), _xlpm.base, TRIM(SUBSTITUTE(SUBSTITUTE(SUBSTITUTE(SUBSTITUTE(_xlpm.diag,"•"," "),CHAR(160)," "),CHAR(10)," "),"  "," ")), LOWER(_xlpm.yr&amp;"|"&amp;_xlpm.base))</f>
        <v>2025|eca sur sevrage alcoolique</v>
      </c>
      <c r="V353" t="str">
        <f>IFERROR(_xlfn.XLOOKUP($AB353,'Cas 2013-2017'!$K:$K,'Cas 2013-2017'!$D:$D,""),"")</f>
        <v/>
      </c>
      <c r="W353" t="str">
        <f>IFERROR(_xlfn.XLOOKUP($AB353,'Cas 2013-2017'!$K:$K,'Cas 2013-2017'!$E:$E,""),"")</f>
        <v/>
      </c>
      <c r="X353" t="str">
        <f>IFERROR(_xlfn.XLOOKUP($AB353,'Cas 2013-2017'!$K:$K,'Cas 2013-2017'!$F:$F,""),"")</f>
        <v/>
      </c>
      <c r="Y353" t="str">
        <f>IFERROR(_xlfn.XLOOKUP($AB353,'Cas 2013-2017'!$K:$K,'Cas 2013-2017'!$G:$G,""),"")</f>
        <v/>
      </c>
      <c r="Z353" t="str">
        <f>IFERROR(_xlfn.XLOOKUP($AB353,'Cas 2013-2017'!$K:$K,'Cas 2013-2017'!$I:$I,""),"")</f>
        <v/>
      </c>
      <c r="AA353" t="str">
        <f>IFERROR(_xlfn.XLOOKUP($AB353,'Cas 2013-2017'!$K:$K,'Cas 2013-2017'!$H:$H,""),"")</f>
        <v/>
      </c>
      <c r="AB353" t="str">
        <f>LOWER($A353 &amp; "|" &amp; $AF353)</f>
        <v>2025|eca sur sevrage alcoolique</v>
      </c>
      <c r="AC353" t="str">
        <f>TRIM(SUBSTITUTE(SUBSTITUTE(SUBSTITUTE(SUBSTITUTE(" " &amp; LOWER(TRIM(IF($N353&lt;&gt;"", $N353, $H353))) &amp; " ", " aomi ", " arteriopathie des membres inferieurs "), " hta ", " hypertension arterielle "), " saos ", " syndrome d'apnees obstructives du sommeil "), " rgo ", " reflux gastro-oesophagien ") )</f>
        <v>eca sur sevrage alcoolique</v>
      </c>
      <c r="AD353" t="str">
        <f>TRIM(SUBSTITUTE(SUBSTITUTE(SUBSTITUTE(SUBSTITUTE(" " &amp; LOWER(TRIM($AC353)) &amp; " ", " oacr ", " occlusion de l'artere centrale de la retine "), " hsd ", " hematome sous-dural "), " fa ", " fibrillation auriculaire "), " ep ", " embolie pulmonaire ") )</f>
        <v>eca sur sevrage alcoolique</v>
      </c>
      <c r="AE353" t="str" cm="1">
        <f t="array" ref="AE353">_xlfn.LET(_xlpm.base, " " &amp; LOWER(TRIM($AD353))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eca sur sevrage alcoolique</v>
      </c>
      <c r="AF353" t="str" cm="1">
        <f t="array" ref="AF353">_xlfn.LET(_xlpm.base, " " &amp; LOWER(TRIM($AE353))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eca sur sevrage alcoolique</v>
      </c>
    </row>
    <row r="354" spans="1:32" ht="50.25">
      <c r="A354" s="8">
        <v>2025</v>
      </c>
      <c r="B354" s="10" t="s">
        <v>82</v>
      </c>
      <c r="C354" s="8" t="s">
        <v>33</v>
      </c>
      <c r="D354" s="20">
        <v>61</v>
      </c>
      <c r="E354" s="11" t="str">
        <f>IF(D354="","",IFERROR(INDEX(SSP!$E$2:$E$266, MATCH(D354, SSP!$F$2:$F$266, 0)),""))</f>
        <v>Nausées, vomissements</v>
      </c>
      <c r="F354" s="11" t="str">
        <f>Feuil1!E354</f>
        <v>Douleurs abdominales et vomissements</v>
      </c>
      <c r="G354" s="12" t="s">
        <v>83</v>
      </c>
      <c r="H354" s="13"/>
      <c r="I354" s="13"/>
      <c r="J354" s="15" t="s">
        <v>1090</v>
      </c>
      <c r="K354" s="9" t="s">
        <v>33</v>
      </c>
      <c r="L354" s="9" t="s">
        <v>33</v>
      </c>
      <c r="M354" s="9" t="s">
        <v>33</v>
      </c>
      <c r="N354" t="s">
        <v>33</v>
      </c>
      <c r="O354" t="str">
        <f>IFERROR(_xlfn.XLOOKUP($D354, SSP!$F:$F, SSP!$E:$E, "Inconnu"), "")</f>
        <v>Nausées, vomissements</v>
      </c>
      <c r="P354" t="str">
        <f>IF(OR(E354="", O354=""), "", IF(LOWER(E354)=LOWER(O354), "OK", "⚠️ Libellé ≠ n°"))</f>
        <v>OK</v>
      </c>
      <c r="Q354" t="str">
        <f>IF(Feuil1!$E354="", "", IF(LOWER(Feuil1!$E354)=LOWER(E354), "Identique", "Différent"))</f>
        <v>Différent</v>
      </c>
      <c r="R354" t="str">
        <f>IF(OR(P354="⚠️ Libellé ≠ n°", O354="Inconnu"), "⚠️", IF(Q354="Différent", "ℹ️", ""))</f>
        <v>ℹ️</v>
      </c>
      <c r="S354" t="str" cm="1">
        <f t="array" ref="S354">_xlfn.LET(_xlpm.genCat,IFERROR(LOWER(TRIM(G354)),""),_xlpm.principal,IFERROR(LOWER(TRIM(H354)),""),_xlpm.orig,IFERROR(LOWER(TRIM(N354)),""),IF(OR(_xlpm.genCat="",_xlpm.principal=""),"",IF(LEFT(LOWER(G354),5)="autre","OK (Autre)",IF(OR(ISNUMBER(SEARCH(_xlpm.genCat,_xlpm.principal)),ISNUMBER(SEARCH(_xlpm.principal,_xlpm.genCat)),AND(_xlpm.orig&lt;&gt;"",OR(ISNUMBER(SEARCH(_xlpm.genCat,_xlpm.orig)),ISNUMBER(SEARCH(_xlpm.orig,_xlpm.genCat))))),"OK","⚠️ À vérifier"))))</f>
        <v/>
      </c>
      <c r="T354" t="str">
        <f>IF(S354="","",IF(S354="OK (Autre)","Diagnostic générique = 'Autre – …'",IF(S354="OK","Concordance générique/principal","Écart entre générique et principal")))</f>
        <v/>
      </c>
      <c r="U354" t="str" cm="1">
        <f t="array" ref="U354">_xlfn.LET(_xlpm.yr, A354, _xlpm.diag, IF(N354&lt;&gt;"", N354, H354), _xlpm.base, TRIM(SUBSTITUTE(SUBSTITUTE(SUBSTITUTE(SUBSTITUTE(_xlpm.diag,"•"," "),CHAR(160)," "),CHAR(10)," "),"  "," ")), LOWER(_xlpm.yr&amp;"|"&amp;_xlpm.base))</f>
        <v>2025|</v>
      </c>
      <c r="V354" t="str">
        <f>IFERROR(_xlfn.XLOOKUP($AB354,'Cas 2013-2017'!$K:$K,'Cas 2013-2017'!$D:$D,""),"")</f>
        <v/>
      </c>
      <c r="W354" t="str">
        <f>IFERROR(_xlfn.XLOOKUP($AB354,'Cas 2013-2017'!$K:$K,'Cas 2013-2017'!$E:$E,""),"")</f>
        <v/>
      </c>
      <c r="X354" t="str">
        <f>IFERROR(_xlfn.XLOOKUP($AB354,'Cas 2013-2017'!$K:$K,'Cas 2013-2017'!$F:$F,""),"")</f>
        <v/>
      </c>
      <c r="Y354" t="str">
        <f>IFERROR(_xlfn.XLOOKUP($AB354,'Cas 2013-2017'!$K:$K,'Cas 2013-2017'!$G:$G,""),"")</f>
        <v/>
      </c>
      <c r="Z354" t="str">
        <f>IFERROR(_xlfn.XLOOKUP($AB354,'Cas 2013-2017'!$K:$K,'Cas 2013-2017'!$I:$I,""),"")</f>
        <v/>
      </c>
      <c r="AA354" t="str">
        <f>IFERROR(_xlfn.XLOOKUP($AB354,'Cas 2013-2017'!$K:$K,'Cas 2013-2017'!$H:$H,""),"")</f>
        <v/>
      </c>
      <c r="AB354" t="str">
        <f>LOWER($A354 &amp; "|" &amp; $AF354)</f>
        <v>2025| </v>
      </c>
      <c r="AC354" t="str">
        <f>TRIM(SUBSTITUTE(SUBSTITUTE(SUBSTITUTE(SUBSTITUTE(" " &amp; LOWER(TRIM(IF($N354&lt;&gt;"", $N354, $H354))) &amp; " ", " aomi ", " arteriopathie des membres inferieurs "), " hta ", " hypertension arterielle "), " saos ", " syndrome d'apnees obstructives du sommeil "), " rgo ", " reflux gastro-oesophagien ") )</f>
        <v> </v>
      </c>
      <c r="AD354" t="str">
        <f>TRIM(SUBSTITUTE(SUBSTITUTE(SUBSTITUTE(SUBSTITUTE(" " &amp; LOWER(TRIM($AC354)) &amp; " ", " oacr ", " occlusion de l'artere centrale de la retine "), " hsd ", " hematome sous-dural "), " fa ", " fibrillation auriculaire "), " ep ", " embolie pulmonaire ") )</f>
        <v> </v>
      </c>
      <c r="AE354" t="str" cm="1">
        <f t="array" ref="AE354">_xlfn.LET(_xlpm.base, " " &amp; LOWER(TRIM($AD354))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v>
      </c>
      <c r="AF354" t="str" cm="1">
        <f t="array" ref="AF354">_xlfn.LET(_xlpm.base, " " &amp; LOWER(TRIM($AE354))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v>
      </c>
    </row>
    <row r="355" spans="1:32" ht="50.25">
      <c r="A355" s="8">
        <v>2025</v>
      </c>
      <c r="B355" s="10" t="s">
        <v>133</v>
      </c>
      <c r="C355" s="8" t="s">
        <v>1091</v>
      </c>
      <c r="D355" s="20">
        <v>224</v>
      </c>
      <c r="E355" s="11" t="str">
        <f>IF(D355="","",IFERROR(INDEX(SSP!$E$2:$E$266, MATCH(D355, SSP!$F$2:$F$266, 0)),""))</f>
        <v>Demande de bilan de santé, d’examens radiologiques ou biologiques</v>
      </c>
      <c r="F355" s="11" t="str">
        <f>Feuil1!E355</f>
        <v>Discussion réanimation</v>
      </c>
      <c r="G355" s="12" t="s">
        <v>381</v>
      </c>
      <c r="H355" s="13" t="s">
        <v>1092</v>
      </c>
      <c r="I355" s="13"/>
      <c r="J355" s="15" t="s">
        <v>1093</v>
      </c>
      <c r="K355" s="9" t="s">
        <v>1091</v>
      </c>
      <c r="L355" s="9" t="s">
        <v>33</v>
      </c>
      <c r="M355" s="9" t="s">
        <v>33</v>
      </c>
      <c r="N355" t="s">
        <v>1092</v>
      </c>
      <c r="O355" t="str">
        <f>IFERROR(_xlfn.XLOOKUP($D355, SSP!$F:$F, SSP!$E:$E, "Inconnu"), "")</f>
        <v>Demande de bilan de santé, d’examens radiologiques ou biologiques</v>
      </c>
      <c r="P355" t="str">
        <f>IF(OR(E355="", O355=""), "", IF(LOWER(E355)=LOWER(O355), "OK", "⚠️ Libellé ≠ n°"))</f>
        <v>OK</v>
      </c>
      <c r="Q355" t="str">
        <f>IF(Feuil1!$E355="", "", IF(LOWER(Feuil1!$E355)=LOWER(E355), "Identique", "Différent"))</f>
        <v>Différent</v>
      </c>
      <c r="R355" t="str">
        <f>IF(OR(P355="⚠️ Libellé ≠ n°", O355="Inconnu"), "⚠️", IF(Q355="Différent", "ℹ️", ""))</f>
        <v>ℹ️</v>
      </c>
      <c r="S355" t="str" cm="1">
        <f t="array" ref="S355">_xlfn.LET(_xlpm.genCat,IFERROR(LOWER(TRIM(G355)),""),_xlpm.principal,IFERROR(LOWER(TRIM(H355)),""),_xlpm.orig,IFERROR(LOWER(TRIM(N355)),""),IF(OR(_xlpm.genCat="",_xlpm.principal=""),"",IF(LEFT(LOWER(G355),5)="autre","OK (Autre)",IF(OR(ISNUMBER(SEARCH(_xlpm.genCat,_xlpm.principal)),ISNUMBER(SEARCH(_xlpm.principal,_xlpm.genCat)),AND(_xlpm.orig&lt;&gt;"",OR(ISNUMBER(SEARCH(_xlpm.genCat,_xlpm.orig)),ISNUMBER(SEARCH(_xlpm.orig,_xlpm.genCat))))),"OK","⚠️ À vérifier"))))</f>
        <v>⚠️ À vérifier</v>
      </c>
      <c r="T355" t="str">
        <f>IF(S355="","",IF(S355="OK (Autre)","Diagnostic générique = 'Autre – …'",IF(S355="OK","Concordance générique/principal","Écart entre générique et principal")))</f>
        <v>Écart entre générique et principal</v>
      </c>
      <c r="U355" t="str" cm="1">
        <f t="array" ref="U355">_xlfn.LET(_xlpm.yr, A355, _xlpm.diag, IF(N355&lt;&gt;"", N355, H355), _xlpm.base, TRIM(SUBSTITUTE(SUBSTITUTE(SUBSTITUTE(SUBSTITUTE(_xlpm.diag,"•"," "),CHAR(160)," "),CHAR(10)," "),"  "," ")), LOWER(_xlpm.yr&amp;"|"&amp;_xlpm.base))</f>
        <v>2025|pneumonie massive bilatérale</v>
      </c>
      <c r="V355" t="str">
        <f>IFERROR(_xlfn.XLOOKUP($AB355,'Cas 2013-2017'!$K:$K,'Cas 2013-2017'!$D:$D,""),"")</f>
        <v/>
      </c>
      <c r="W355" t="str">
        <f>IFERROR(_xlfn.XLOOKUP($AB355,'Cas 2013-2017'!$K:$K,'Cas 2013-2017'!$E:$E,""),"")</f>
        <v/>
      </c>
      <c r="X355" t="str">
        <f>IFERROR(_xlfn.XLOOKUP($AB355,'Cas 2013-2017'!$K:$K,'Cas 2013-2017'!$F:$F,""),"")</f>
        <v/>
      </c>
      <c r="Y355" t="str">
        <f>IFERROR(_xlfn.XLOOKUP($AB355,'Cas 2013-2017'!$K:$K,'Cas 2013-2017'!$G:$G,""),"")</f>
        <v/>
      </c>
      <c r="Z355" t="str">
        <f>IFERROR(_xlfn.XLOOKUP($AB355,'Cas 2013-2017'!$K:$K,'Cas 2013-2017'!$I:$I,""),"")</f>
        <v/>
      </c>
      <c r="AA355" t="str">
        <f>IFERROR(_xlfn.XLOOKUP($AB355,'Cas 2013-2017'!$K:$K,'Cas 2013-2017'!$H:$H,""),"")</f>
        <v/>
      </c>
      <c r="AB355" t="str">
        <f>LOWER($A355 &amp; "|" &amp; $AF355)</f>
        <v>2025|pneumonie massive bilatérale</v>
      </c>
      <c r="AC355" t="str">
        <f>TRIM(SUBSTITUTE(SUBSTITUTE(SUBSTITUTE(SUBSTITUTE(" " &amp; LOWER(TRIM(IF($N355&lt;&gt;"", $N355, $H355))) &amp; " ", " aomi ", " arteriopathie des membres inferieurs "), " hta ", " hypertension arterielle "), " saos ", " syndrome d'apnees obstructives du sommeil "), " rgo ", " reflux gastro-oesophagien ") )</f>
        <v>pneumonie massive bilatérale</v>
      </c>
      <c r="AD355" t="str">
        <f>TRIM(SUBSTITUTE(SUBSTITUTE(SUBSTITUTE(SUBSTITUTE(" " &amp; LOWER(TRIM($AC355)) &amp; " ", " oacr ", " occlusion de l'artere centrale de la retine "), " hsd ", " hematome sous-dural "), " fa ", " fibrillation auriculaire "), " ep ", " embolie pulmonaire ") )</f>
        <v>pneumonie massive bilatérale</v>
      </c>
      <c r="AE355" t="str" cm="1">
        <f t="array" ref="AE355">_xlfn.LET(_xlpm.base, " " &amp; LOWER(TRIM($AD355))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pneumonie massive bilatérale</v>
      </c>
      <c r="AF355" t="str" cm="1">
        <f t="array" ref="AF355">_xlfn.LET(_xlpm.base, " " &amp; LOWER(TRIM($AE355))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pneumonie massive bilatérale</v>
      </c>
    </row>
    <row r="356" spans="1:32" ht="33.75">
      <c r="A356" s="8">
        <v>2025</v>
      </c>
      <c r="B356" s="10" t="s">
        <v>115</v>
      </c>
      <c r="C356" s="8" t="s">
        <v>33</v>
      </c>
      <c r="D356" s="20">
        <v>11</v>
      </c>
      <c r="E356" s="11" t="str">
        <f>IF(D356="","",IFERROR(INDEX(SSP!$E$2:$E$266, MATCH(D356, SSP!$F$2:$F$266, 0)),""))</f>
        <v>Troubles du sommeil (insomnie, hypersomnie, parasomnies)</v>
      </c>
      <c r="F356" s="11" t="str">
        <f>Feuil1!E356</f>
        <v>Troubles auditifs</v>
      </c>
      <c r="G356" s="12" t="s">
        <v>1070</v>
      </c>
      <c r="H356" s="13" t="s">
        <v>1094</v>
      </c>
      <c r="I356" s="13"/>
      <c r="J356" s="15" t="s">
        <v>1095</v>
      </c>
      <c r="K356" s="9" t="s">
        <v>33</v>
      </c>
      <c r="L356" s="9" t="s">
        <v>33</v>
      </c>
      <c r="M356" s="9" t="s">
        <v>33</v>
      </c>
      <c r="N356" t="s">
        <v>1094</v>
      </c>
      <c r="O356" t="str">
        <f>IFERROR(_xlfn.XLOOKUP($D356, SSP!$F:$F, SSP!$E:$E, "Inconnu"), "")</f>
        <v>Troubles du sommeil (insomnie, hypersomnie, parasomnies)</v>
      </c>
      <c r="P356" t="str">
        <f>IF(OR(E356="", O356=""), "", IF(LOWER(E356)=LOWER(O356), "OK", "⚠️ Libellé ≠ n°"))</f>
        <v>OK</v>
      </c>
      <c r="Q356" t="str">
        <f>IF(Feuil1!$E356="", "", IF(LOWER(Feuil1!$E356)=LOWER(E356), "Identique", "Différent"))</f>
        <v>Différent</v>
      </c>
      <c r="R356" t="str">
        <f>IF(OR(P356="⚠️ Libellé ≠ n°", O356="Inconnu"), "⚠️", IF(Q356="Différent", "ℹ️", ""))</f>
        <v>ℹ️</v>
      </c>
      <c r="S356" t="str" cm="1">
        <f t="array" ref="S356">_xlfn.LET(_xlpm.genCat,IFERROR(LOWER(TRIM(G356)),""),_xlpm.principal,IFERROR(LOWER(TRIM(H356)),""),_xlpm.orig,IFERROR(LOWER(TRIM(N356)),""),IF(OR(_xlpm.genCat="",_xlpm.principal=""),"",IF(LEFT(LOWER(G356),5)="autre","OK (Autre)",IF(OR(ISNUMBER(SEARCH(_xlpm.genCat,_xlpm.principal)),ISNUMBER(SEARCH(_xlpm.principal,_xlpm.genCat)),AND(_xlpm.orig&lt;&gt;"",OR(ISNUMBER(SEARCH(_xlpm.genCat,_xlpm.orig)),ISNUMBER(SEARCH(_xlpm.orig,_xlpm.genCat))))),"OK","⚠️ À vérifier"))))</f>
        <v>OK (Autre)</v>
      </c>
      <c r="T356" t="str">
        <f>IF(S356="","",IF(S356="OK (Autre)","Diagnostic générique = 'Autre – …'",IF(S356="OK","Concordance générique/principal","Écart entre générique et principal")))</f>
        <v>Diagnostic générique = 'Autre – …'</v>
      </c>
      <c r="U356" t="str" cm="1">
        <f t="array" ref="U356">_xlfn.LET(_xlpm.yr, A356, _xlpm.diag, IF(N356&lt;&gt;"", N356, H356), _xlpm.base, TRIM(SUBSTITUTE(SUBSTITUTE(SUBSTITUTE(SUBSTITUTE(_xlpm.diag,"•"," "),CHAR(160)," "),CHAR(10)," "),"  "," ")), LOWER(_xlpm.yr&amp;"|"&amp;_xlpm.base))</f>
        <v>2025|presbyacousie</v>
      </c>
      <c r="V356" t="str">
        <f>IFERROR(_xlfn.XLOOKUP($AB356,'Cas 2013-2017'!$K:$K,'Cas 2013-2017'!$D:$D,""),"")</f>
        <v/>
      </c>
      <c r="W356" t="str">
        <f>IFERROR(_xlfn.XLOOKUP($AB356,'Cas 2013-2017'!$K:$K,'Cas 2013-2017'!$E:$E,""),"")</f>
        <v/>
      </c>
      <c r="X356" t="str">
        <f>IFERROR(_xlfn.XLOOKUP($AB356,'Cas 2013-2017'!$K:$K,'Cas 2013-2017'!$F:$F,""),"")</f>
        <v/>
      </c>
      <c r="Y356" t="str">
        <f>IFERROR(_xlfn.XLOOKUP($AB356,'Cas 2013-2017'!$K:$K,'Cas 2013-2017'!$G:$G,""),"")</f>
        <v/>
      </c>
      <c r="Z356" t="str">
        <f>IFERROR(_xlfn.XLOOKUP($AB356,'Cas 2013-2017'!$K:$K,'Cas 2013-2017'!$I:$I,""),"")</f>
        <v/>
      </c>
      <c r="AA356" t="str">
        <f>IFERROR(_xlfn.XLOOKUP($AB356,'Cas 2013-2017'!$K:$K,'Cas 2013-2017'!$H:$H,""),"")</f>
        <v/>
      </c>
      <c r="AB356" t="str">
        <f>LOWER($A356 &amp; "|" &amp; $AF356)</f>
        <v>2025|presbyacousie</v>
      </c>
      <c r="AC356" t="str">
        <f>TRIM(SUBSTITUTE(SUBSTITUTE(SUBSTITUTE(SUBSTITUTE(" " &amp; LOWER(TRIM(IF($N356&lt;&gt;"", $N356, $H356))) &amp; " ", " aomi ", " arteriopathie des membres inferieurs "), " hta ", " hypertension arterielle "), " saos ", " syndrome d'apnees obstructives du sommeil "), " rgo ", " reflux gastro-oesophagien ") )</f>
        <v>presbyacousie</v>
      </c>
      <c r="AD356" t="str">
        <f>TRIM(SUBSTITUTE(SUBSTITUTE(SUBSTITUTE(SUBSTITUTE(" " &amp; LOWER(TRIM($AC356)) &amp; " ", " oacr ", " occlusion de l'artere centrale de la retine "), " hsd ", " hematome sous-dural "), " fa ", " fibrillation auriculaire "), " ep ", " embolie pulmonaire ") )</f>
        <v>presbyacousie</v>
      </c>
      <c r="AE356" t="str" cm="1">
        <f t="array" ref="AE356">_xlfn.LET(_xlpm.base, " " &amp; LOWER(TRIM($AD356))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presbyacousie</v>
      </c>
      <c r="AF356" t="str" cm="1">
        <f t="array" ref="AF356">_xlfn.LET(_xlpm.base, " " &amp; LOWER(TRIM($AE356))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presbyacousie</v>
      </c>
    </row>
    <row r="357" spans="1:32" ht="33.75">
      <c r="A357" s="8">
        <v>2025</v>
      </c>
      <c r="B357" s="10" t="s">
        <v>32</v>
      </c>
      <c r="C357" s="8" t="s">
        <v>33</v>
      </c>
      <c r="D357" s="20">
        <v>176</v>
      </c>
      <c r="E357" s="11" t="str">
        <f>IF(D357="","",IFERROR(INDEX(SSP!$E$2:$E$266, MATCH(D357, SSP!$F$2:$F$266, 0)),""))</f>
        <v>Soins de base lors de l’accouchement normal et du post-partum</v>
      </c>
      <c r="F357" s="11" t="str">
        <f>Feuil1!E357</f>
        <v>Embolie pulmonaire post-accouchement</v>
      </c>
      <c r="G357" s="12" t="s">
        <v>275</v>
      </c>
      <c r="H357" s="13" t="s">
        <v>1096</v>
      </c>
      <c r="I357" s="13" t="s">
        <v>1097</v>
      </c>
      <c r="J357" s="15" t="s">
        <v>1098</v>
      </c>
      <c r="K357" s="9" t="s">
        <v>33</v>
      </c>
      <c r="L357" s="9" t="s">
        <v>33</v>
      </c>
      <c r="M357" s="9" t="s">
        <v>33</v>
      </c>
      <c r="N357" t="s">
        <v>1096</v>
      </c>
      <c r="O357" t="str">
        <f>IFERROR(_xlfn.XLOOKUP($D357, SSP!$F:$F, SSP!$E:$E, "Inconnu"), "")</f>
        <v>Soins de base lors de l’accouchement normal et du post-partum</v>
      </c>
      <c r="P357" t="str">
        <f>IF(OR(E357="", O357=""), "", IF(LOWER(E357)=LOWER(O357), "OK", "⚠️ Libellé ≠ n°"))</f>
        <v>OK</v>
      </c>
      <c r="Q357" t="str">
        <f>IF(Feuil1!$E357="", "", IF(LOWER(Feuil1!$E357)=LOWER(E357), "Identique", "Différent"))</f>
        <v>Différent</v>
      </c>
      <c r="R357" t="str">
        <f>IF(OR(P357="⚠️ Libellé ≠ n°", O357="Inconnu"), "⚠️", IF(Q357="Différent", "ℹ️", ""))</f>
        <v>ℹ️</v>
      </c>
      <c r="S357" t="str" cm="1">
        <f t="array" ref="S357">_xlfn.LET(_xlpm.genCat,IFERROR(LOWER(TRIM(G357)),""),_xlpm.principal,IFERROR(LOWER(TRIM(H357)),""),_xlpm.orig,IFERROR(LOWER(TRIM(N357)),""),IF(OR(_xlpm.genCat="",_xlpm.principal=""),"",IF(LEFT(LOWER(G357),5)="autre","OK (Autre)",IF(OR(ISNUMBER(SEARCH(_xlpm.genCat,_xlpm.principal)),ISNUMBER(SEARCH(_xlpm.principal,_xlpm.genCat)),AND(_xlpm.orig&lt;&gt;"",OR(ISNUMBER(SEARCH(_xlpm.genCat,_xlpm.orig)),ISNUMBER(SEARCH(_xlpm.orig,_xlpm.genCat))))),"OK","⚠️ À vérifier"))))</f>
        <v>⚠️ À vérifier</v>
      </c>
      <c r="T357" t="str">
        <f>IF(S357="","",IF(S357="OK (Autre)","Diagnostic générique = 'Autre – …'",IF(S357="OK","Concordance générique/principal","Écart entre générique et principal")))</f>
        <v>Écart entre générique et principal</v>
      </c>
      <c r="U357" t="str" cm="1">
        <f t="array" ref="U357">_xlfn.LET(_xlpm.yr, A357, _xlpm.diag, IF(N357&lt;&gt;"", N357, H357), _xlpm.base, TRIM(SUBSTITUTE(SUBSTITUTE(SUBSTITUTE(SUBSTITUTE(_xlpm.diag,"•"," "),CHAR(160)," "),CHAR(10)," "),"  "," ")), LOWER(_xlpm.yr&amp;"|"&amp;_xlpm.base))</f>
        <v>2025|embolie pulmonaire</v>
      </c>
      <c r="V357" t="str">
        <f>IFERROR(_xlfn.XLOOKUP($AB357,'Cas 2013-2017'!$K:$K,'Cas 2013-2017'!$D:$D,""),"")</f>
        <v/>
      </c>
      <c r="W357" t="str">
        <f>IFERROR(_xlfn.XLOOKUP($AB357,'Cas 2013-2017'!$K:$K,'Cas 2013-2017'!$E:$E,""),"")</f>
        <v/>
      </c>
      <c r="X357" t="str">
        <f>IFERROR(_xlfn.XLOOKUP($AB357,'Cas 2013-2017'!$K:$K,'Cas 2013-2017'!$F:$F,""),"")</f>
        <v/>
      </c>
      <c r="Y357" t="str">
        <f>IFERROR(_xlfn.XLOOKUP($AB357,'Cas 2013-2017'!$K:$K,'Cas 2013-2017'!$G:$G,""),"")</f>
        <v/>
      </c>
      <c r="Z357" t="str">
        <f>IFERROR(_xlfn.XLOOKUP($AB357,'Cas 2013-2017'!$K:$K,'Cas 2013-2017'!$I:$I,""),"")</f>
        <v/>
      </c>
      <c r="AA357" t="str">
        <f>IFERROR(_xlfn.XLOOKUP($AB357,'Cas 2013-2017'!$K:$K,'Cas 2013-2017'!$H:$H,""),"")</f>
        <v/>
      </c>
      <c r="AB357" t="str">
        <f>LOWER($A357 &amp; "|" &amp; $AF357)</f>
        <v>2025|embolie pulmonaire</v>
      </c>
      <c r="AC357" t="str">
        <f>TRIM(SUBSTITUTE(SUBSTITUTE(SUBSTITUTE(SUBSTITUTE(" " &amp; LOWER(TRIM(IF($N357&lt;&gt;"", $N357, $H357))) &amp; " ", " aomi ", " arteriopathie des membres inferieurs "), " hta ", " hypertension arterielle "), " saos ", " syndrome d'apnees obstructives du sommeil "), " rgo ", " reflux gastro-oesophagien ") )</f>
        <v>embolie pulmonaire</v>
      </c>
      <c r="AD357" t="str">
        <f>TRIM(SUBSTITUTE(SUBSTITUTE(SUBSTITUTE(SUBSTITUTE(" " &amp; LOWER(TRIM($AC357)) &amp; " ", " oacr ", " occlusion de l'artere centrale de la retine "), " hsd ", " hematome sous-dural "), " fa ", " fibrillation auriculaire "), " ep ", " embolie pulmonaire ") )</f>
        <v>embolie pulmonaire</v>
      </c>
      <c r="AE357" t="str" cm="1">
        <f t="array" ref="AE357">_xlfn.LET(_xlpm.base, " " &amp; LOWER(TRIM($AD357))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embolie pulmonaire</v>
      </c>
      <c r="AF357" t="str" cm="1">
        <f t="array" ref="AF357">_xlfn.LET(_xlpm.base, " " &amp; LOWER(TRIM($AE357))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embolie pulmonaire</v>
      </c>
    </row>
    <row r="358" spans="1:32" ht="33.75">
      <c r="A358" s="8">
        <v>2025</v>
      </c>
      <c r="B358" s="10" t="s">
        <v>221</v>
      </c>
      <c r="C358" s="8" t="s">
        <v>33</v>
      </c>
      <c r="D358" s="20">
        <v>66</v>
      </c>
      <c r="E358" s="11" t="str">
        <f>IF(D358="","",IFERROR(INDEX(SSP!$E$2:$E$266, MATCH(D358, SSP!$F$2:$F$266, 0)),""))</f>
        <v>Troubles menstruels : dysménorrhée, aménorrhée, syndrome prémenstruel</v>
      </c>
      <c r="F358" s="11" t="str">
        <f>Feuil1!E358</f>
        <v>Syndrome des loges</v>
      </c>
      <c r="G358" s="12" t="s">
        <v>226</v>
      </c>
      <c r="H358" s="13" t="s">
        <v>593</v>
      </c>
      <c r="I358" s="13"/>
      <c r="J358" s="15" t="s">
        <v>1099</v>
      </c>
      <c r="K358" s="9" t="s">
        <v>33</v>
      </c>
      <c r="L358" s="9" t="s">
        <v>33</v>
      </c>
      <c r="M358" s="9" t="s">
        <v>33</v>
      </c>
      <c r="N358" t="s">
        <v>593</v>
      </c>
      <c r="O358" t="str">
        <f>IFERROR(_xlfn.XLOOKUP($D358, SSP!$F:$F, SSP!$E:$E, "Inconnu"), "")</f>
        <v>Troubles menstruels : dysménorrhée, aménorrhée, syndrome prémenstruel</v>
      </c>
      <c r="P358" t="str">
        <f>IF(OR(E358="", O358=""), "", IF(LOWER(E358)=LOWER(O358), "OK", "⚠️ Libellé ≠ n°"))</f>
        <v>OK</v>
      </c>
      <c r="Q358" t="str">
        <f>IF(Feuil1!$E358="", "", IF(LOWER(Feuil1!$E358)=LOWER(E358), "Identique", "Différent"))</f>
        <v>Différent</v>
      </c>
      <c r="R358" t="str">
        <f>IF(OR(P358="⚠️ Libellé ≠ n°", O358="Inconnu"), "⚠️", IF(Q358="Différent", "ℹ️", ""))</f>
        <v>ℹ️</v>
      </c>
      <c r="S358" t="str" cm="1">
        <f t="array" ref="S358">_xlfn.LET(_xlpm.genCat,IFERROR(LOWER(TRIM(G358)),""),_xlpm.principal,IFERROR(LOWER(TRIM(H358)),""),_xlpm.orig,IFERROR(LOWER(TRIM(N358)),""),IF(OR(_xlpm.genCat="",_xlpm.principal=""),"",IF(LEFT(LOWER(G358),5)="autre","OK (Autre)",IF(OR(ISNUMBER(SEARCH(_xlpm.genCat,_xlpm.principal)),ISNUMBER(SEARCH(_xlpm.principal,_xlpm.genCat)),AND(_xlpm.orig&lt;&gt;"",OR(ISNUMBER(SEARCH(_xlpm.genCat,_xlpm.orig)),ISNUMBER(SEARCH(_xlpm.orig,_xlpm.genCat))))),"OK","⚠️ À vérifier"))))</f>
        <v>OK (Autre)</v>
      </c>
      <c r="T358" t="str">
        <f>IF(S358="","",IF(S358="OK (Autre)","Diagnostic générique = 'Autre – …'",IF(S358="OK","Concordance générique/principal","Écart entre générique et principal")))</f>
        <v>Diagnostic générique = 'Autre – …'</v>
      </c>
      <c r="U358" t="str" cm="1">
        <f t="array" ref="U358">_xlfn.LET(_xlpm.yr, A358, _xlpm.diag, IF(N358&lt;&gt;"", N358, H358), _xlpm.base, TRIM(SUBSTITUTE(SUBSTITUTE(SUBSTITUTE(SUBSTITUTE(_xlpm.diag,"•"," "),CHAR(160)," "),CHAR(10)," "),"  "," ")), LOWER(_xlpm.yr&amp;"|"&amp;_xlpm.base))</f>
        <v>2025|syndrome des loges</v>
      </c>
      <c r="V358" t="str">
        <f>IFERROR(_xlfn.XLOOKUP($AB358,'Cas 2013-2017'!$K:$K,'Cas 2013-2017'!$D:$D,""),"")</f>
        <v/>
      </c>
      <c r="W358" t="str">
        <f>IFERROR(_xlfn.XLOOKUP($AB358,'Cas 2013-2017'!$K:$K,'Cas 2013-2017'!$E:$E,""),"")</f>
        <v/>
      </c>
      <c r="X358" t="str">
        <f>IFERROR(_xlfn.XLOOKUP($AB358,'Cas 2013-2017'!$K:$K,'Cas 2013-2017'!$F:$F,""),"")</f>
        <v/>
      </c>
      <c r="Y358" t="str">
        <f>IFERROR(_xlfn.XLOOKUP($AB358,'Cas 2013-2017'!$K:$K,'Cas 2013-2017'!$G:$G,""),"")</f>
        <v/>
      </c>
      <c r="Z358" t="str">
        <f>IFERROR(_xlfn.XLOOKUP($AB358,'Cas 2013-2017'!$K:$K,'Cas 2013-2017'!$I:$I,""),"")</f>
        <v/>
      </c>
      <c r="AA358" t="str">
        <f>IFERROR(_xlfn.XLOOKUP($AB358,'Cas 2013-2017'!$K:$K,'Cas 2013-2017'!$H:$H,""),"")</f>
        <v/>
      </c>
      <c r="AB358" t="str">
        <f>LOWER($A358 &amp; "|" &amp; $AF358)</f>
        <v>2025|syndrome des loges</v>
      </c>
      <c r="AC358" t="str">
        <f>TRIM(SUBSTITUTE(SUBSTITUTE(SUBSTITUTE(SUBSTITUTE(" " &amp; LOWER(TRIM(IF($N358&lt;&gt;"", $N358, $H358))) &amp; " ", " aomi ", " arteriopathie des membres inferieurs "), " hta ", " hypertension arterielle "), " saos ", " syndrome d'apnees obstructives du sommeil "), " rgo ", " reflux gastro-oesophagien ") )</f>
        <v>syndrome des loges</v>
      </c>
      <c r="AD358" t="str">
        <f>TRIM(SUBSTITUTE(SUBSTITUTE(SUBSTITUTE(SUBSTITUTE(" " &amp; LOWER(TRIM($AC358)) &amp; " ", " oacr ", " occlusion de l'artere centrale de la retine "), " hsd ", " hematome sous-dural "), " fa ", " fibrillation auriculaire "), " ep ", " embolie pulmonaire ") )</f>
        <v>syndrome des loges</v>
      </c>
      <c r="AE358" t="str" cm="1">
        <f t="array" ref="AE358">_xlfn.LET(_xlpm.base, " " &amp; LOWER(TRIM($AD358))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des loges</v>
      </c>
      <c r="AF358" t="str" cm="1">
        <f t="array" ref="AF358">_xlfn.LET(_xlpm.base, " " &amp; LOWER(TRIM($AE358))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des loges</v>
      </c>
    </row>
    <row r="359" spans="1:32" ht="16.5">
      <c r="A359" s="8">
        <v>2025</v>
      </c>
      <c r="B359" s="10" t="s">
        <v>133</v>
      </c>
      <c r="C359" s="8" t="s">
        <v>33</v>
      </c>
      <c r="D359" s="20">
        <v>45</v>
      </c>
      <c r="E359" s="11" t="str">
        <f>IF(D359="","",IFERROR(INDEX(SSP!$E$2:$E$266, MATCH(D359, SSP!$F$2:$F$266, 0)),""))</f>
        <v>Toux, expectoration, hémoptysie</v>
      </c>
      <c r="F359" s="11" t="str">
        <f>Feuil1!E359</f>
        <v>Toux</v>
      </c>
      <c r="G359" s="12" t="s">
        <v>381</v>
      </c>
      <c r="H359" s="13" t="s">
        <v>1100</v>
      </c>
      <c r="I359" s="13" t="s">
        <v>1101</v>
      </c>
      <c r="J359" s="15" t="s">
        <v>1102</v>
      </c>
      <c r="K359" s="9" t="s">
        <v>33</v>
      </c>
      <c r="L359" s="9" t="s">
        <v>33</v>
      </c>
      <c r="M359" s="9" t="s">
        <v>33</v>
      </c>
      <c r="N359" t="s">
        <v>1100</v>
      </c>
      <c r="O359" t="str">
        <f>IFERROR(_xlfn.XLOOKUP($D359, SSP!$F:$F, SSP!$E:$E, "Inconnu"), "")</f>
        <v>Toux, expectoration, hémoptysie</v>
      </c>
      <c r="P359" t="str">
        <f>IF(OR(E359="", O359=""), "", IF(LOWER(E359)=LOWER(O359), "OK", "⚠️ Libellé ≠ n°"))</f>
        <v>OK</v>
      </c>
      <c r="Q359" t="str">
        <f>IF(Feuil1!$E359="", "", IF(LOWER(Feuil1!$E359)=LOWER(E359), "Identique", "Différent"))</f>
        <v>Différent</v>
      </c>
      <c r="R359" t="str">
        <f>IF(OR(P359="⚠️ Libellé ≠ n°", O359="Inconnu"), "⚠️", IF(Q359="Différent", "ℹ️", ""))</f>
        <v>ℹ️</v>
      </c>
      <c r="S359" t="str" cm="1">
        <f t="array" ref="S359">_xlfn.LET(_xlpm.genCat,IFERROR(LOWER(TRIM(G359)),""),_xlpm.principal,IFERROR(LOWER(TRIM(H359)),""),_xlpm.orig,IFERROR(LOWER(TRIM(N359)),""),IF(OR(_xlpm.genCat="",_xlpm.principal=""),"",IF(LEFT(LOWER(G359),5)="autre","OK (Autre)",IF(OR(ISNUMBER(SEARCH(_xlpm.genCat,_xlpm.principal)),ISNUMBER(SEARCH(_xlpm.principal,_xlpm.genCat)),AND(_xlpm.orig&lt;&gt;"",OR(ISNUMBER(SEARCH(_xlpm.genCat,_xlpm.orig)),ISNUMBER(SEARCH(_xlpm.orig,_xlpm.genCat))))),"OK","⚠️ À vérifier"))))</f>
        <v>⚠️ À vérifier</v>
      </c>
      <c r="T359" t="str">
        <f>IF(S359="","",IF(S359="OK (Autre)","Diagnostic générique = 'Autre – …'",IF(S359="OK","Concordance générique/principal","Écart entre générique et principal")))</f>
        <v>Écart entre générique et principal</v>
      </c>
      <c r="U359" t="str" cm="1">
        <f t="array" ref="U359">_xlfn.LET(_xlpm.yr, A359, _xlpm.diag, IF(N359&lt;&gt;"", N359, H359), _xlpm.base, TRIM(SUBSTITUTE(SUBSTITUTE(SUBSTITUTE(SUBSTITUTE(_xlpm.diag,"•"," "),CHAR(160)," "),CHAR(10)," "),"  "," ")), LOWER(_xlpm.yr&amp;"|"&amp;_xlpm.base))</f>
        <v>2025|bronchite aiguë</v>
      </c>
      <c r="V359" t="str">
        <f>IFERROR(_xlfn.XLOOKUP($AB359,'Cas 2013-2017'!$K:$K,'Cas 2013-2017'!$D:$D,""),"")</f>
        <v/>
      </c>
      <c r="W359" t="str">
        <f>IFERROR(_xlfn.XLOOKUP($AB359,'Cas 2013-2017'!$K:$K,'Cas 2013-2017'!$E:$E,""),"")</f>
        <v/>
      </c>
      <c r="X359" t="str">
        <f>IFERROR(_xlfn.XLOOKUP($AB359,'Cas 2013-2017'!$K:$K,'Cas 2013-2017'!$F:$F,""),"")</f>
        <v/>
      </c>
      <c r="Y359" t="str">
        <f>IFERROR(_xlfn.XLOOKUP($AB359,'Cas 2013-2017'!$K:$K,'Cas 2013-2017'!$G:$G,""),"")</f>
        <v/>
      </c>
      <c r="Z359" t="str">
        <f>IFERROR(_xlfn.XLOOKUP($AB359,'Cas 2013-2017'!$K:$K,'Cas 2013-2017'!$I:$I,""),"")</f>
        <v/>
      </c>
      <c r="AA359" t="str">
        <f>IFERROR(_xlfn.XLOOKUP($AB359,'Cas 2013-2017'!$K:$K,'Cas 2013-2017'!$H:$H,""),"")</f>
        <v/>
      </c>
      <c r="AB359" t="str">
        <f>LOWER($A359 &amp; "|" &amp; $AF359)</f>
        <v>2025|bronchite aiguë</v>
      </c>
      <c r="AC359" t="str">
        <f>TRIM(SUBSTITUTE(SUBSTITUTE(SUBSTITUTE(SUBSTITUTE(" " &amp; LOWER(TRIM(IF($N359&lt;&gt;"", $N359, $H359))) &amp; " ", " aomi ", " arteriopathie des membres inferieurs "), " hta ", " hypertension arterielle "), " saos ", " syndrome d'apnees obstructives du sommeil "), " rgo ", " reflux gastro-oesophagien ") )</f>
        <v>bronchite aiguë</v>
      </c>
      <c r="AD359" t="str">
        <f>TRIM(SUBSTITUTE(SUBSTITUTE(SUBSTITUTE(SUBSTITUTE(" " &amp; LOWER(TRIM($AC359)) &amp; " ", " oacr ", " occlusion de l'artere centrale de la retine "), " hsd ", " hematome sous-dural "), " fa ", " fibrillation auriculaire "), " ep ", " embolie pulmonaire ") )</f>
        <v>bronchite aiguë</v>
      </c>
      <c r="AE359" t="str" cm="1">
        <f t="array" ref="AE359">_xlfn.LET(_xlpm.base, " " &amp; LOWER(TRIM($AD359))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bronchite aiguë</v>
      </c>
      <c r="AF359" t="str" cm="1">
        <f t="array" ref="AF359">_xlfn.LET(_xlpm.base, " " &amp; LOWER(TRIM($AE359))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bronchite aiguë</v>
      </c>
    </row>
    <row r="360" spans="1:32" ht="33.75">
      <c r="A360" s="8">
        <v>2025</v>
      </c>
      <c r="B360" s="10" t="s">
        <v>221</v>
      </c>
      <c r="C360" s="8" t="s">
        <v>33</v>
      </c>
      <c r="D360" s="20">
        <v>10</v>
      </c>
      <c r="E360" s="11" t="str">
        <f>IF(D360="","",IFERROR(INDEX(SSP!$E$2:$E$266, MATCH(D360, SSP!$F$2:$F$266, 0)),""))</f>
        <v>Douleur (toutes localisations et types confondus)</v>
      </c>
      <c r="F360" s="11" t="str">
        <f>Feuil1!E360</f>
        <v>Douleur dorsale</v>
      </c>
      <c r="G360" s="12" t="s">
        <v>470</v>
      </c>
      <c r="H360" s="13" t="s">
        <v>786</v>
      </c>
      <c r="I360" s="13" t="s">
        <v>149</v>
      </c>
      <c r="J360" s="15" t="s">
        <v>1103</v>
      </c>
      <c r="K360" s="9" t="s">
        <v>33</v>
      </c>
      <c r="L360" s="9" t="s">
        <v>33</v>
      </c>
      <c r="M360" s="9" t="s">
        <v>33</v>
      </c>
      <c r="N360" t="s">
        <v>786</v>
      </c>
      <c r="O360" t="str">
        <f>IFERROR(_xlfn.XLOOKUP($D360, SSP!$F:$F, SSP!$E:$E, "Inconnu"), "")</f>
        <v>Douleur (toutes localisations et types confondus)</v>
      </c>
      <c r="P360" t="str">
        <f>IF(OR(E360="", O360=""), "", IF(LOWER(E360)=LOWER(O360), "OK", "⚠️ Libellé ≠ n°"))</f>
        <v>OK</v>
      </c>
      <c r="Q360" t="str">
        <f>IF(Feuil1!$E360="", "", IF(LOWER(Feuil1!$E360)=LOWER(E360), "Identique", "Différent"))</f>
        <v>Différent</v>
      </c>
      <c r="R360" t="str">
        <f>IF(OR(P360="⚠️ Libellé ≠ n°", O360="Inconnu"), "⚠️", IF(Q360="Différent", "ℹ️", ""))</f>
        <v>ℹ️</v>
      </c>
      <c r="S360" t="str" cm="1">
        <f t="array" ref="S360">_xlfn.LET(_xlpm.genCat,IFERROR(LOWER(TRIM(G360)),""),_xlpm.principal,IFERROR(LOWER(TRIM(H360)),""),_xlpm.orig,IFERROR(LOWER(TRIM(N360)),""),IF(OR(_xlpm.genCat="",_xlpm.principal=""),"",IF(LEFT(LOWER(G360),5)="autre","OK (Autre)",IF(OR(ISNUMBER(SEARCH(_xlpm.genCat,_xlpm.principal)),ISNUMBER(SEARCH(_xlpm.principal,_xlpm.genCat)),AND(_xlpm.orig&lt;&gt;"",OR(ISNUMBER(SEARCH(_xlpm.genCat,_xlpm.orig)),ISNUMBER(SEARCH(_xlpm.orig,_xlpm.genCat))))),"OK","⚠️ À vérifier"))))</f>
        <v>⚠️ À vérifier</v>
      </c>
      <c r="T360" t="str">
        <f>IF(S360="","",IF(S360="OK (Autre)","Diagnostic générique = 'Autre – …'",IF(S360="OK","Concordance générique/principal","Écart entre générique et principal")))</f>
        <v>Écart entre générique et principal</v>
      </c>
      <c r="U360" t="str" cm="1">
        <f t="array" ref="U360">_xlfn.LET(_xlpm.yr, A360, _xlpm.diag, IF(N360&lt;&gt;"", N360, H360), _xlpm.base, TRIM(SUBSTITUTE(SUBSTITUTE(SUBSTITUTE(SUBSTITUTE(_xlpm.diag,"•"," "),CHAR(160)," "),CHAR(10)," "),"  "," ")), LOWER(_xlpm.yr&amp;"|"&amp;_xlpm.base))</f>
        <v>2025|hernie discale</v>
      </c>
      <c r="V360" t="str">
        <f>IFERROR(_xlfn.XLOOKUP($AB360,'Cas 2013-2017'!$K:$K,'Cas 2013-2017'!$D:$D,""),"")</f>
        <v/>
      </c>
      <c r="W360" t="str">
        <f>IFERROR(_xlfn.XLOOKUP($AB360,'Cas 2013-2017'!$K:$K,'Cas 2013-2017'!$E:$E,""),"")</f>
        <v/>
      </c>
      <c r="X360" t="str">
        <f>IFERROR(_xlfn.XLOOKUP($AB360,'Cas 2013-2017'!$K:$K,'Cas 2013-2017'!$F:$F,""),"")</f>
        <v/>
      </c>
      <c r="Y360" t="str">
        <f>IFERROR(_xlfn.XLOOKUP($AB360,'Cas 2013-2017'!$K:$K,'Cas 2013-2017'!$G:$G,""),"")</f>
        <v/>
      </c>
      <c r="Z360" t="str">
        <f>IFERROR(_xlfn.XLOOKUP($AB360,'Cas 2013-2017'!$K:$K,'Cas 2013-2017'!$I:$I,""),"")</f>
        <v/>
      </c>
      <c r="AA360" t="str">
        <f>IFERROR(_xlfn.XLOOKUP($AB360,'Cas 2013-2017'!$K:$K,'Cas 2013-2017'!$H:$H,""),"")</f>
        <v/>
      </c>
      <c r="AB360" t="str">
        <f>LOWER($A360 &amp; "|" &amp; $AF360)</f>
        <v>2025|hernie discale</v>
      </c>
      <c r="AC360" t="str">
        <f>TRIM(SUBSTITUTE(SUBSTITUTE(SUBSTITUTE(SUBSTITUTE(" " &amp; LOWER(TRIM(IF($N360&lt;&gt;"", $N360, $H360))) &amp; " ", " aomi ", " arteriopathie des membres inferieurs "), " hta ", " hypertension arterielle "), " saos ", " syndrome d'apnees obstructives du sommeil "), " rgo ", " reflux gastro-oesophagien ") )</f>
        <v>hernie discale</v>
      </c>
      <c r="AD360" t="str">
        <f>TRIM(SUBSTITUTE(SUBSTITUTE(SUBSTITUTE(SUBSTITUTE(" " &amp; LOWER(TRIM($AC360)) &amp; " ", " oacr ", " occlusion de l'artere centrale de la retine "), " hsd ", " hematome sous-dural "), " fa ", " fibrillation auriculaire "), " ep ", " embolie pulmonaire ") )</f>
        <v>hernie discale</v>
      </c>
      <c r="AE360" t="str" cm="1">
        <f t="array" ref="AE360">_xlfn.LET(_xlpm.base, " " &amp; LOWER(TRIM($AD360))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discale</v>
      </c>
      <c r="AF360" t="str" cm="1">
        <f t="array" ref="AF360">_xlfn.LET(_xlpm.base, " " &amp; LOWER(TRIM($AE360))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discale</v>
      </c>
    </row>
    <row r="361" spans="1:32" ht="50.25">
      <c r="A361" s="8">
        <v>2025</v>
      </c>
      <c r="B361" s="10" t="s">
        <v>32</v>
      </c>
      <c r="C361" s="8" t="s">
        <v>33</v>
      </c>
      <c r="D361" s="20">
        <v>181</v>
      </c>
      <c r="E361" s="11" t="str">
        <f>IF(D361="","",IFERROR(INDEX(SSP!$E$2:$E$266, MATCH(D361, SSP!$F$2:$F$266, 0)),""))</f>
        <v>Suivi et soins de base de la grossesse</v>
      </c>
      <c r="F361" s="11" t="str">
        <f>Feuil1!E361</f>
        <v>Suivi HTA</v>
      </c>
      <c r="G361" s="12" t="s">
        <v>46</v>
      </c>
      <c r="H361" s="13" t="s">
        <v>1104</v>
      </c>
      <c r="I361" s="13"/>
      <c r="J361" s="15" t="s">
        <v>1105</v>
      </c>
      <c r="K361" s="9" t="s">
        <v>1106</v>
      </c>
      <c r="L361" s="9" t="s">
        <v>33</v>
      </c>
      <c r="M361" s="9" t="s">
        <v>33</v>
      </c>
      <c r="N361" t="s">
        <v>1104</v>
      </c>
      <c r="O361" t="str">
        <f>IFERROR(_xlfn.XLOOKUP($D361, SSP!$F:$F, SSP!$E:$E, "Inconnu"), "")</f>
        <v>Suivi et soins de base de la grossesse</v>
      </c>
      <c r="P361" t="str">
        <f>IF(OR(E361="", O361=""), "", IF(LOWER(E361)=LOWER(O361), "OK", "⚠️ Libellé ≠ n°"))</f>
        <v>OK</v>
      </c>
      <c r="Q361" t="str">
        <f>IF(Feuil1!$E361="", "", IF(LOWER(Feuil1!$E361)=LOWER(E361), "Identique", "Différent"))</f>
        <v>Différent</v>
      </c>
      <c r="R361" t="str">
        <f>IF(OR(P361="⚠️ Libellé ≠ n°", O361="Inconnu"), "⚠️", IF(Q361="Différent", "ℹ️", ""))</f>
        <v>ℹ️</v>
      </c>
      <c r="S361" t="str" cm="1">
        <f t="array" ref="S361">_xlfn.LET(_xlpm.genCat,IFERROR(LOWER(TRIM(G361)),""),_xlpm.principal,IFERROR(LOWER(TRIM(H361)),""),_xlpm.orig,IFERROR(LOWER(TRIM(N361)),""),IF(OR(_xlpm.genCat="",_xlpm.principal=""),"",IF(LEFT(LOWER(G361),5)="autre","OK (Autre)",IF(OR(ISNUMBER(SEARCH(_xlpm.genCat,_xlpm.principal)),ISNUMBER(SEARCH(_xlpm.principal,_xlpm.genCat)),AND(_xlpm.orig&lt;&gt;"",OR(ISNUMBER(SEARCH(_xlpm.genCat,_xlpm.orig)),ISNUMBER(SEARCH(_xlpm.orig,_xlpm.genCat))))),"OK","⚠️ À vérifier"))))</f>
        <v>⚠️ À vérifier</v>
      </c>
      <c r="T361" t="str">
        <f>IF(S361="","",IF(S361="OK (Autre)","Diagnostic générique = 'Autre – …'",IF(S361="OK","Concordance générique/principal","Écart entre générique et principal")))</f>
        <v>Écart entre générique et principal</v>
      </c>
      <c r="U361" t="str" cm="1">
        <f t="array" ref="U361">_xlfn.LET(_xlpm.yr, A361, _xlpm.diag, IF(N361&lt;&gt;"", N361, H361), _xlpm.base, TRIM(SUBSTITUTE(SUBSTITUTE(SUBSTITUTE(SUBSTITUTE(_xlpm.diag,"•"," "),CHAR(160)," "),CHAR(10)," "),"  "," ")), LOWER(_xlpm.yr&amp;"|"&amp;_xlpm.base))</f>
        <v>2025|hta avec augmentation créatinine et urée</v>
      </c>
      <c r="V361" t="str">
        <f>IFERROR(_xlfn.XLOOKUP($AB361,'Cas 2013-2017'!$K:$K,'Cas 2013-2017'!$D:$D,""),"")</f>
        <v/>
      </c>
      <c r="W361" t="str">
        <f>IFERROR(_xlfn.XLOOKUP($AB361,'Cas 2013-2017'!$K:$K,'Cas 2013-2017'!$E:$E,""),"")</f>
        <v/>
      </c>
      <c r="X361" t="str">
        <f>IFERROR(_xlfn.XLOOKUP($AB361,'Cas 2013-2017'!$K:$K,'Cas 2013-2017'!$F:$F,""),"")</f>
        <v/>
      </c>
      <c r="Y361" t="str">
        <f>IFERROR(_xlfn.XLOOKUP($AB361,'Cas 2013-2017'!$K:$K,'Cas 2013-2017'!$G:$G,""),"")</f>
        <v/>
      </c>
      <c r="Z361" t="str">
        <f>IFERROR(_xlfn.XLOOKUP($AB361,'Cas 2013-2017'!$K:$K,'Cas 2013-2017'!$I:$I,""),"")</f>
        <v/>
      </c>
      <c r="AA361" t="str">
        <f>IFERROR(_xlfn.XLOOKUP($AB361,'Cas 2013-2017'!$K:$K,'Cas 2013-2017'!$H:$H,""),"")</f>
        <v/>
      </c>
      <c r="AB361" t="str">
        <f>LOWER($A361 &amp; "|" &amp; $AF361)</f>
        <v>2025|hypertension arterielle avec augmentation créatinine et urée</v>
      </c>
      <c r="AC361" t="str">
        <f>TRIM(SUBSTITUTE(SUBSTITUTE(SUBSTITUTE(SUBSTITUTE(" " &amp; LOWER(TRIM(IF($N361&lt;&gt;"", $N361, $H361))) &amp; " ", " aomi ", " arteriopathie des membres inferieurs "), " hta ", " hypertension arterielle "), " saos ", " syndrome d'apnees obstructives du sommeil "), " rgo ", " reflux gastro-oesophagien ") )</f>
        <v>hypertension arterielle avec augmentation créatinine et urée</v>
      </c>
      <c r="AD361" t="str">
        <f>TRIM(SUBSTITUTE(SUBSTITUTE(SUBSTITUTE(SUBSTITUTE(" " &amp; LOWER(TRIM($AC361)) &amp; " ", " oacr ", " occlusion de l'artere centrale de la retine "), " hsd ", " hematome sous-dural "), " fa ", " fibrillation auriculaire "), " ep ", " embolie pulmonaire ") )</f>
        <v>hypertension arterielle avec augmentation créatinine et urée</v>
      </c>
      <c r="AE361" t="str" cm="1">
        <f t="array" ref="AE361">_xlfn.LET(_xlpm.base, " " &amp; LOWER(TRIM($AD361))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hypertension arterielle avec augmentation créatinine et urée</v>
      </c>
      <c r="AF361" t="str" cm="1">
        <f t="array" ref="AF361">_xlfn.LET(_xlpm.base, " " &amp; LOWER(TRIM($AE361))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hypertension arterielle avec augmentation créatinine et urée</v>
      </c>
    </row>
    <row r="362" spans="1:32" ht="50.25">
      <c r="A362" s="8">
        <v>2025</v>
      </c>
      <c r="B362" s="10" t="s">
        <v>51</v>
      </c>
      <c r="C362" s="8" t="s">
        <v>33</v>
      </c>
      <c r="D362" s="20">
        <v>93</v>
      </c>
      <c r="E362" s="11" t="str">
        <f>IF(D362="","",IFERROR(INDEX(SSP!$E$2:$E$266, MATCH(D362, SSP!$F$2:$F$266, 0)),""))</f>
        <v>Macules, papules, pustules, vésicules, ulcères, abcès, bulles, épaississement cutané, nécrose, tumeur cutanée</v>
      </c>
      <c r="F362" s="11" t="str">
        <f>Feuil1!E362</f>
        <v>Éruption cutanée</v>
      </c>
      <c r="G362" s="12" t="s">
        <v>538</v>
      </c>
      <c r="H362" s="13" t="s">
        <v>539</v>
      </c>
      <c r="I362" s="13" t="s">
        <v>1107</v>
      </c>
      <c r="J362" s="15" t="s">
        <v>1108</v>
      </c>
      <c r="K362" s="9" t="s">
        <v>33</v>
      </c>
      <c r="L362" s="9" t="s">
        <v>33</v>
      </c>
      <c r="M362" s="9" t="s">
        <v>33</v>
      </c>
      <c r="N362" t="s">
        <v>1109</v>
      </c>
      <c r="O362" t="str">
        <f>IFERROR(_xlfn.XLOOKUP($D362, SSP!$F:$F, SSP!$E:$E, "Inconnu"), "")</f>
        <v>Macules, papules, pustules, vésicules, ulcères, abcès, bulles, épaississement cutané, nécrose, tumeur cutanée</v>
      </c>
      <c r="P362" t="str">
        <f>IF(OR(E362="", O362=""), "", IF(LOWER(E362)=LOWER(O362), "OK", "⚠️ Libellé ≠ n°"))</f>
        <v>OK</v>
      </c>
      <c r="Q362" t="str">
        <f>IF(Feuil1!$E362="", "", IF(LOWER(Feuil1!$E362)=LOWER(E362), "Identique", "Différent"))</f>
        <v>Différent</v>
      </c>
      <c r="R362" t="str">
        <f>IF(OR(P362="⚠️ Libellé ≠ n°", O362="Inconnu"), "⚠️", IF(Q362="Différent", "ℹ️", ""))</f>
        <v>ℹ️</v>
      </c>
      <c r="S362" t="str" cm="1">
        <f t="array" ref="S362">_xlfn.LET(_xlpm.genCat,IFERROR(LOWER(TRIM(G362)),""),_xlpm.principal,IFERROR(LOWER(TRIM(H362)),""),_xlpm.orig,IFERROR(LOWER(TRIM(N362)),""),IF(OR(_xlpm.genCat="",_xlpm.principal=""),"",IF(LEFT(LOWER(G362),5)="autre","OK (Autre)",IF(OR(ISNUMBER(SEARCH(_xlpm.genCat,_xlpm.principal)),ISNUMBER(SEARCH(_xlpm.principal,_xlpm.genCat)),AND(_xlpm.orig&lt;&gt;"",OR(ISNUMBER(SEARCH(_xlpm.genCat,_xlpm.orig)),ISNUMBER(SEARCH(_xlpm.orig,_xlpm.genCat))))),"OK","⚠️ À vérifier"))))</f>
        <v>⚠️ À vérifier</v>
      </c>
      <c r="T362" t="str">
        <f>IF(S362="","",IF(S362="OK (Autre)","Diagnostic générique = 'Autre – …'",IF(S362="OK","Concordance générique/principal","Écart entre générique et principal")))</f>
        <v>Écart entre générique et principal</v>
      </c>
      <c r="U362" t="str" cm="1">
        <f t="array" ref="U362">_xlfn.LET(_xlpm.yr, A362, _xlpm.diag, IF(N362&lt;&gt;"", N362, H362), _xlpm.base, TRIM(SUBSTITUTE(SUBSTITUTE(SUBSTITUTE(SUBSTITUTE(_xlpm.diag,"•"," "),CHAR(160)," "),CHAR(10)," "),"  "," ")), LOWER(_xlpm.yr&amp;"|"&amp;_xlpm.base))</f>
        <v>2025|syndrome de stevens-johnson/nécrolyse épidermique toxique</v>
      </c>
      <c r="V362" t="str">
        <f>IFERROR(_xlfn.XLOOKUP($AB362,'Cas 2013-2017'!$K:$K,'Cas 2013-2017'!$D:$D,""),"")</f>
        <v/>
      </c>
      <c r="W362" t="str">
        <f>IFERROR(_xlfn.XLOOKUP($AB362,'Cas 2013-2017'!$K:$K,'Cas 2013-2017'!$E:$E,""),"")</f>
        <v/>
      </c>
      <c r="X362" t="str">
        <f>IFERROR(_xlfn.XLOOKUP($AB362,'Cas 2013-2017'!$K:$K,'Cas 2013-2017'!$F:$F,""),"")</f>
        <v/>
      </c>
      <c r="Y362" t="str">
        <f>IFERROR(_xlfn.XLOOKUP($AB362,'Cas 2013-2017'!$K:$K,'Cas 2013-2017'!$G:$G,""),"")</f>
        <v/>
      </c>
      <c r="Z362" t="str">
        <f>IFERROR(_xlfn.XLOOKUP($AB362,'Cas 2013-2017'!$K:$K,'Cas 2013-2017'!$I:$I,""),"")</f>
        <v/>
      </c>
      <c r="AA362" t="str">
        <f>IFERROR(_xlfn.XLOOKUP($AB362,'Cas 2013-2017'!$K:$K,'Cas 2013-2017'!$H:$H,""),"")</f>
        <v/>
      </c>
      <c r="AB362" t="str">
        <f>LOWER($A362 &amp; "|" &amp; $AF362)</f>
        <v>2025|syndrome de stevens-johnson/nécrolyse épidermique toxique</v>
      </c>
      <c r="AC362" t="str">
        <f>TRIM(SUBSTITUTE(SUBSTITUTE(SUBSTITUTE(SUBSTITUTE(" " &amp; LOWER(TRIM(IF($N362&lt;&gt;"", $N362, $H362))) &amp; " ", " aomi ", " arteriopathie des membres inferieurs "), " hta ", " hypertension arterielle "), " saos ", " syndrome d'apnees obstructives du sommeil "), " rgo ", " reflux gastro-oesophagien ") )</f>
        <v>syndrome de stevens-johnson/nécrolyse épidermique toxique</v>
      </c>
      <c r="AD362" t="str">
        <f>TRIM(SUBSTITUTE(SUBSTITUTE(SUBSTITUTE(SUBSTITUTE(" " &amp; LOWER(TRIM($AC362)) &amp; " ", " oacr ", " occlusion de l'artere centrale de la retine "), " hsd ", " hematome sous-dural "), " fa ", " fibrillation auriculaire "), " ep ", " embolie pulmonaire ") )</f>
        <v>syndrome de stevens-johnson/nécrolyse épidermique toxique</v>
      </c>
      <c r="AE362" t="str" cm="1">
        <f t="array" ref="AE362">_xlfn.LET(_xlpm.base, " " &amp; LOWER(TRIM($AD362))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de stevens-johnson/nécrolyse épidermique toxique</v>
      </c>
      <c r="AF362" t="str" cm="1">
        <f t="array" ref="AF362">_xlfn.LET(_xlpm.base, " " &amp; LOWER(TRIM($AE362))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de stevens-johnson/nécrolyse épidermique toxique</v>
      </c>
    </row>
    <row r="363" spans="1:32" ht="33.75">
      <c r="A363" s="8">
        <v>2025</v>
      </c>
      <c r="B363" s="10" t="s">
        <v>68</v>
      </c>
      <c r="C363" s="8" t="s">
        <v>33</v>
      </c>
      <c r="D363" s="20">
        <v>59</v>
      </c>
      <c r="E363" s="11" t="str">
        <f>IF(D363="","",IFERROR(INDEX(SSP!$E$2:$E$266, MATCH(D363, SSP!$F$2:$F$266, 0)),""))</f>
        <v>Diarrhée</v>
      </c>
      <c r="F363" s="11" t="str">
        <f>Feuil1!E363</f>
        <v>Diarrhée sanglante</v>
      </c>
      <c r="G363" s="12" t="s">
        <v>542</v>
      </c>
      <c r="H363" s="13" t="s">
        <v>1110</v>
      </c>
      <c r="I363" s="13" t="s">
        <v>1111</v>
      </c>
      <c r="J363" s="15" t="s">
        <v>1112</v>
      </c>
      <c r="K363" s="9" t="s">
        <v>33</v>
      </c>
      <c r="L363" s="9" t="s">
        <v>33</v>
      </c>
      <c r="M363" s="9" t="s">
        <v>33</v>
      </c>
      <c r="N363" t="s">
        <v>1110</v>
      </c>
      <c r="O363" t="str">
        <f>IFERROR(_xlfn.XLOOKUP($D363, SSP!$F:$F, SSP!$E:$E, "Inconnu"), "")</f>
        <v>Diarrhée</v>
      </c>
      <c r="P363" t="str">
        <f>IF(OR(E363="", O363=""), "", IF(LOWER(E363)=LOWER(O363), "OK", "⚠️ Libellé ≠ n°"))</f>
        <v>OK</v>
      </c>
      <c r="Q363" t="str">
        <f>IF(Feuil1!$E363="", "", IF(LOWER(Feuil1!$E363)=LOWER(E363), "Identique", "Différent"))</f>
        <v>Différent</v>
      </c>
      <c r="R363" t="str">
        <f>IF(OR(P363="⚠️ Libellé ≠ n°", O363="Inconnu"), "⚠️", IF(Q363="Différent", "ℹ️", ""))</f>
        <v>ℹ️</v>
      </c>
      <c r="S363" t="str" cm="1">
        <f t="array" ref="S363">_xlfn.LET(_xlpm.genCat,IFERROR(LOWER(TRIM(G363)),""),_xlpm.principal,IFERROR(LOWER(TRIM(H363)),""),_xlpm.orig,IFERROR(LOWER(TRIM(N363)),""),IF(OR(_xlpm.genCat="",_xlpm.principal=""),"",IF(LEFT(LOWER(G363),5)="autre","OK (Autre)",IF(OR(ISNUMBER(SEARCH(_xlpm.genCat,_xlpm.principal)),ISNUMBER(SEARCH(_xlpm.principal,_xlpm.genCat)),AND(_xlpm.orig&lt;&gt;"",OR(ISNUMBER(SEARCH(_xlpm.genCat,_xlpm.orig)),ISNUMBER(SEARCH(_xlpm.orig,_xlpm.genCat))))),"OK","⚠️ À vérifier"))))</f>
        <v>OK (Autre)</v>
      </c>
      <c r="T363" t="str">
        <f>IF(S363="","",IF(S363="OK (Autre)","Diagnostic générique = 'Autre – …'",IF(S363="OK","Concordance générique/principal","Écart entre générique et principal")))</f>
        <v>Diagnostic générique = 'Autre – …'</v>
      </c>
      <c r="U363" t="str" cm="1">
        <f t="array" ref="U363">_xlfn.LET(_xlpm.yr, A363, _xlpm.diag, IF(N363&lt;&gt;"", N363, H363), _xlpm.base, TRIM(SUBSTITUTE(SUBSTITUTE(SUBSTITUTE(SUBSTITUTE(_xlpm.diag,"•"," "),CHAR(160)," "),CHAR(10)," "),"  "," ")), LOWER(_xlpm.yr&amp;"|"&amp;_xlpm.base))</f>
        <v>2025|rectocolite ulcéro-hémorragique</v>
      </c>
      <c r="V363" t="str">
        <f>IFERROR(_xlfn.XLOOKUP($AB363,'Cas 2013-2017'!$K:$K,'Cas 2013-2017'!$D:$D,""),"")</f>
        <v/>
      </c>
      <c r="W363" t="str">
        <f>IFERROR(_xlfn.XLOOKUP($AB363,'Cas 2013-2017'!$K:$K,'Cas 2013-2017'!$E:$E,""),"")</f>
        <v/>
      </c>
      <c r="X363" t="str">
        <f>IFERROR(_xlfn.XLOOKUP($AB363,'Cas 2013-2017'!$K:$K,'Cas 2013-2017'!$F:$F,""),"")</f>
        <v/>
      </c>
      <c r="Y363" t="str">
        <f>IFERROR(_xlfn.XLOOKUP($AB363,'Cas 2013-2017'!$K:$K,'Cas 2013-2017'!$G:$G,""),"")</f>
        <v/>
      </c>
      <c r="Z363" t="str">
        <f>IFERROR(_xlfn.XLOOKUP($AB363,'Cas 2013-2017'!$K:$K,'Cas 2013-2017'!$I:$I,""),"")</f>
        <v/>
      </c>
      <c r="AA363" t="str">
        <f>IFERROR(_xlfn.XLOOKUP($AB363,'Cas 2013-2017'!$K:$K,'Cas 2013-2017'!$H:$H,""),"")</f>
        <v/>
      </c>
      <c r="AB363" t="str">
        <f>LOWER($A363 &amp; "|" &amp; $AF363)</f>
        <v>2025|rectocolite ulcéro-hémorragique</v>
      </c>
      <c r="AC363" t="str">
        <f>TRIM(SUBSTITUTE(SUBSTITUTE(SUBSTITUTE(SUBSTITUTE(" " &amp; LOWER(TRIM(IF($N363&lt;&gt;"", $N363, $H363))) &amp; " ", " aomi ", " arteriopathie des membres inferieurs "), " hta ", " hypertension arterielle "), " saos ", " syndrome d'apnees obstructives du sommeil "), " rgo ", " reflux gastro-oesophagien ") )</f>
        <v>rectocolite ulcéro-hémorragique</v>
      </c>
      <c r="AD363" t="str">
        <f>TRIM(SUBSTITUTE(SUBSTITUTE(SUBSTITUTE(SUBSTITUTE(" " &amp; LOWER(TRIM($AC363)) &amp; " ", " oacr ", " occlusion de l'artere centrale de la retine "), " hsd ", " hematome sous-dural "), " fa ", " fibrillation auriculaire "), " ep ", " embolie pulmonaire ") )</f>
        <v>rectocolite ulcéro-hémorragique</v>
      </c>
      <c r="AE363" t="str" cm="1">
        <f t="array" ref="AE363">_xlfn.LET(_xlpm.base, " " &amp; LOWER(TRIM($AD363))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rectocolite ulcéro-hémorragique</v>
      </c>
      <c r="AF363" t="str" cm="1">
        <f t="array" ref="AF363">_xlfn.LET(_xlpm.base, " " &amp; LOWER(TRIM($AE363))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rectocolite ulcéro-hémorragique</v>
      </c>
    </row>
    <row r="364" spans="1:32" ht="33.75">
      <c r="A364" s="8">
        <v>2025</v>
      </c>
      <c r="B364" s="10" t="s">
        <v>100</v>
      </c>
      <c r="C364" s="8" t="s">
        <v>33</v>
      </c>
      <c r="D364" s="20">
        <v>74</v>
      </c>
      <c r="E364" s="11" t="str">
        <f>IF(D364="","",IFERROR(INDEX(SSP!$E$2:$E$266, MATCH(D364, SSP!$F$2:$F$266, 0)),""))</f>
        <v>Symptômes liés à la ménopause</v>
      </c>
      <c r="F364" s="11" t="str">
        <f>Feuil1!E364</f>
        <v>Paresthésies + faiblesse main droite + symptômes B</v>
      </c>
      <c r="G364" s="12" t="s">
        <v>233</v>
      </c>
      <c r="H364" s="13" t="s">
        <v>1113</v>
      </c>
      <c r="I364" s="13"/>
      <c r="J364" s="15" t="s">
        <v>1114</v>
      </c>
      <c r="K364" s="9" t="s">
        <v>33</v>
      </c>
      <c r="L364" s="9" t="s">
        <v>33</v>
      </c>
      <c r="M364" s="9" t="s">
        <v>33</v>
      </c>
      <c r="N364" t="s">
        <v>1113</v>
      </c>
      <c r="O364" t="str">
        <f>IFERROR(_xlfn.XLOOKUP($D364, SSP!$F:$F, SSP!$E:$E, "Inconnu"), "")</f>
        <v>Symptômes liés à la ménopause</v>
      </c>
      <c r="P364" t="str">
        <f>IF(OR(E364="", O364=""), "", IF(LOWER(E364)=LOWER(O364), "OK", "⚠️ Libellé ≠ n°"))</f>
        <v>OK</v>
      </c>
      <c r="Q364" t="str">
        <f>IF(Feuil1!$E364="", "", IF(LOWER(Feuil1!$E364)=LOWER(E364), "Identique", "Différent"))</f>
        <v>Différent</v>
      </c>
      <c r="R364" t="str">
        <f>IF(OR(P364="⚠️ Libellé ≠ n°", O364="Inconnu"), "⚠️", IF(Q364="Différent", "ℹ️", ""))</f>
        <v>ℹ️</v>
      </c>
      <c r="S364" t="str" cm="1">
        <f t="array" ref="S364">_xlfn.LET(_xlpm.genCat,IFERROR(LOWER(TRIM(G364)),""),_xlpm.principal,IFERROR(LOWER(TRIM(H364)),""),_xlpm.orig,IFERROR(LOWER(TRIM(N364)),""),IF(OR(_xlpm.genCat="",_xlpm.principal=""),"",IF(LEFT(LOWER(G364),5)="autre","OK (Autre)",IF(OR(ISNUMBER(SEARCH(_xlpm.genCat,_xlpm.principal)),ISNUMBER(SEARCH(_xlpm.principal,_xlpm.genCat)),AND(_xlpm.orig&lt;&gt;"",OR(ISNUMBER(SEARCH(_xlpm.genCat,_xlpm.orig)),ISNUMBER(SEARCH(_xlpm.orig,_xlpm.genCat))))),"OK","⚠️ À vérifier"))))</f>
        <v>OK (Autre)</v>
      </c>
      <c r="T364" t="str">
        <f>IF(S364="","",IF(S364="OK (Autre)","Diagnostic générique = 'Autre – …'",IF(S364="OK","Concordance générique/principal","Écart entre générique et principal")))</f>
        <v>Diagnostic générique = 'Autre – …'</v>
      </c>
      <c r="U364" t="str" cm="1">
        <f t="array" ref="U364">_xlfn.LET(_xlpm.yr, A364, _xlpm.diag, IF(N364&lt;&gt;"", N364, H364), _xlpm.base, TRIM(SUBSTITUTE(SUBSTITUTE(SUBSTITUTE(SUBSTITUTE(_xlpm.diag,"•"," "),CHAR(160)," "),CHAR(10)," "),"  "," ")), LOWER(_xlpm.yr&amp;"|"&amp;_xlpm.base))</f>
        <v>2025|tumeur cérébrale</v>
      </c>
      <c r="V364" t="str">
        <f>IFERROR(_xlfn.XLOOKUP($AB364,'Cas 2013-2017'!$K:$K,'Cas 2013-2017'!$D:$D,""),"")</f>
        <v/>
      </c>
      <c r="W364" t="str">
        <f>IFERROR(_xlfn.XLOOKUP($AB364,'Cas 2013-2017'!$K:$K,'Cas 2013-2017'!$E:$E,""),"")</f>
        <v/>
      </c>
      <c r="X364" t="str">
        <f>IFERROR(_xlfn.XLOOKUP($AB364,'Cas 2013-2017'!$K:$K,'Cas 2013-2017'!$F:$F,""),"")</f>
        <v/>
      </c>
      <c r="Y364" t="str">
        <f>IFERROR(_xlfn.XLOOKUP($AB364,'Cas 2013-2017'!$K:$K,'Cas 2013-2017'!$G:$G,""),"")</f>
        <v/>
      </c>
      <c r="Z364" t="str">
        <f>IFERROR(_xlfn.XLOOKUP($AB364,'Cas 2013-2017'!$K:$K,'Cas 2013-2017'!$I:$I,""),"")</f>
        <v/>
      </c>
      <c r="AA364" t="str">
        <f>IFERROR(_xlfn.XLOOKUP($AB364,'Cas 2013-2017'!$K:$K,'Cas 2013-2017'!$H:$H,""),"")</f>
        <v/>
      </c>
      <c r="AB364" t="str">
        <f>LOWER($A364 &amp; "|" &amp; $AF364)</f>
        <v>2025|tumeur cérébrale</v>
      </c>
      <c r="AC364" t="str">
        <f>TRIM(SUBSTITUTE(SUBSTITUTE(SUBSTITUTE(SUBSTITUTE(" " &amp; LOWER(TRIM(IF($N364&lt;&gt;"", $N364, $H364))) &amp; " ", " aomi ", " arteriopathie des membres inferieurs "), " hta ", " hypertension arterielle "), " saos ", " syndrome d'apnees obstructives du sommeil "), " rgo ", " reflux gastro-oesophagien ") )</f>
        <v>tumeur cérébrale</v>
      </c>
      <c r="AD364" t="str">
        <f>TRIM(SUBSTITUTE(SUBSTITUTE(SUBSTITUTE(SUBSTITUTE(" " &amp; LOWER(TRIM($AC364)) &amp; " ", " oacr ", " occlusion de l'artere centrale de la retine "), " hsd ", " hematome sous-dural "), " fa ", " fibrillation auriculaire "), " ep ", " embolie pulmonaire ") )</f>
        <v>tumeur cérébrale</v>
      </c>
      <c r="AE364" t="str" cm="1">
        <f t="array" ref="AE364">_xlfn.LET(_xlpm.base, " " &amp; LOWER(TRIM($AD364))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tumeur cérébrale</v>
      </c>
      <c r="AF364" t="str" cm="1">
        <f t="array" ref="AF364">_xlfn.LET(_xlpm.base, " " &amp; LOWER(TRIM($AE364))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tumeur cérébrale</v>
      </c>
    </row>
    <row r="365" spans="1:32" ht="16.5">
      <c r="A365" s="8">
        <v>2025</v>
      </c>
      <c r="B365" s="10" t="s">
        <v>32</v>
      </c>
      <c r="C365" s="8" t="s">
        <v>33</v>
      </c>
      <c r="D365" s="20">
        <v>116</v>
      </c>
      <c r="E365" s="11" t="str">
        <f>IF(D365="","",IFERROR(INDEX(SSP!$E$2:$E$266, MATCH(D365, SSP!$F$2:$F$266, 0)),""))</f>
        <v>Traumatismes thoraciques</v>
      </c>
      <c r="F365" s="11" t="str">
        <f>Feuil1!E365</f>
        <v>Douleurs thoraciques</v>
      </c>
      <c r="G365" s="12" t="s">
        <v>41</v>
      </c>
      <c r="H365" s="13" t="s">
        <v>1115</v>
      </c>
      <c r="I365" s="13"/>
      <c r="J365" s="15" t="s">
        <v>1116</v>
      </c>
      <c r="K365" s="9" t="s">
        <v>33</v>
      </c>
      <c r="L365" s="9" t="s">
        <v>33</v>
      </c>
      <c r="M365" s="9" t="s">
        <v>33</v>
      </c>
      <c r="N365" t="s">
        <v>1115</v>
      </c>
      <c r="O365" t="str">
        <f>IFERROR(_xlfn.XLOOKUP($D365, SSP!$F:$F, SSP!$E:$E, "Inconnu"), "")</f>
        <v>Traumatismes thoraciques</v>
      </c>
      <c r="P365" t="str">
        <f>IF(OR(E365="", O365=""), "", IF(LOWER(E365)=LOWER(O365), "OK", "⚠️ Libellé ≠ n°"))</f>
        <v>OK</v>
      </c>
      <c r="Q365" t="str">
        <f>IF(Feuil1!$E365="", "", IF(LOWER(Feuil1!$E365)=LOWER(E365), "Identique", "Différent"))</f>
        <v>Différent</v>
      </c>
      <c r="R365" t="str">
        <f>IF(OR(P365="⚠️ Libellé ≠ n°", O365="Inconnu"), "⚠️", IF(Q365="Différent", "ℹ️", ""))</f>
        <v>ℹ️</v>
      </c>
      <c r="S365" t="str" cm="1">
        <f t="array" ref="S365">_xlfn.LET(_xlpm.genCat,IFERROR(LOWER(TRIM(G365)),""),_xlpm.principal,IFERROR(LOWER(TRIM(H365)),""),_xlpm.orig,IFERROR(LOWER(TRIM(N365)),""),IF(OR(_xlpm.genCat="",_xlpm.principal=""),"",IF(LEFT(LOWER(G365),5)="autre","OK (Autre)",IF(OR(ISNUMBER(SEARCH(_xlpm.genCat,_xlpm.principal)),ISNUMBER(SEARCH(_xlpm.principal,_xlpm.genCat)),AND(_xlpm.orig&lt;&gt;"",OR(ISNUMBER(SEARCH(_xlpm.genCat,_xlpm.orig)),ISNUMBER(SEARCH(_xlpm.orig,_xlpm.genCat))))),"OK","⚠️ À vérifier"))))</f>
        <v>OK (Autre)</v>
      </c>
      <c r="T365" t="str">
        <f>IF(S365="","",IF(S365="OK (Autre)","Diagnostic générique = 'Autre – …'",IF(S365="OK","Concordance générique/principal","Écart entre générique et principal")))</f>
        <v>Diagnostic générique = 'Autre – …'</v>
      </c>
      <c r="U365" t="str" cm="1">
        <f t="array" ref="U365">_xlfn.LET(_xlpm.yr, A365, _xlpm.diag, IF(N365&lt;&gt;"", N365, H365), _xlpm.base, TRIM(SUBSTITUTE(SUBSTITUTE(SUBSTITUTE(SUBSTITUTE(_xlpm.diag,"•"," "),CHAR(160)," "),CHAR(10)," "),"  "," ")), LOWER(_xlpm.yr&amp;"|"&amp;_xlpm.base))</f>
        <v>2025|périmyocardite</v>
      </c>
      <c r="V365" t="str">
        <f>IFERROR(_xlfn.XLOOKUP($AB365,'Cas 2013-2017'!$K:$K,'Cas 2013-2017'!$D:$D,""),"")</f>
        <v/>
      </c>
      <c r="W365" t="str">
        <f>IFERROR(_xlfn.XLOOKUP($AB365,'Cas 2013-2017'!$K:$K,'Cas 2013-2017'!$E:$E,""),"")</f>
        <v/>
      </c>
      <c r="X365" t="str">
        <f>IFERROR(_xlfn.XLOOKUP($AB365,'Cas 2013-2017'!$K:$K,'Cas 2013-2017'!$F:$F,""),"")</f>
        <v/>
      </c>
      <c r="Y365" t="str">
        <f>IFERROR(_xlfn.XLOOKUP($AB365,'Cas 2013-2017'!$K:$K,'Cas 2013-2017'!$G:$G,""),"")</f>
        <v/>
      </c>
      <c r="Z365" t="str">
        <f>IFERROR(_xlfn.XLOOKUP($AB365,'Cas 2013-2017'!$K:$K,'Cas 2013-2017'!$I:$I,""),"")</f>
        <v/>
      </c>
      <c r="AA365" t="str">
        <f>IFERROR(_xlfn.XLOOKUP($AB365,'Cas 2013-2017'!$K:$K,'Cas 2013-2017'!$H:$H,""),"")</f>
        <v/>
      </c>
      <c r="AB365" t="str">
        <f>LOWER($A365 &amp; "|" &amp; $AF365)</f>
        <v>2025|périmyocardite</v>
      </c>
      <c r="AC365" t="str">
        <f>TRIM(SUBSTITUTE(SUBSTITUTE(SUBSTITUTE(SUBSTITUTE(" " &amp; LOWER(TRIM(IF($N365&lt;&gt;"", $N365, $H365))) &amp; " ", " aomi ", " arteriopathie des membres inferieurs "), " hta ", " hypertension arterielle "), " saos ", " syndrome d'apnees obstructives du sommeil "), " rgo ", " reflux gastro-oesophagien ") )</f>
        <v>périmyocardite</v>
      </c>
      <c r="AD365" t="str">
        <f>TRIM(SUBSTITUTE(SUBSTITUTE(SUBSTITUTE(SUBSTITUTE(" " &amp; LOWER(TRIM($AC365)) &amp; " ", " oacr ", " occlusion de l'artere centrale de la retine "), " hsd ", " hematome sous-dural "), " fa ", " fibrillation auriculaire "), " ep ", " embolie pulmonaire ") )</f>
        <v>périmyocardite</v>
      </c>
      <c r="AE365" t="str" cm="1">
        <f t="array" ref="AE365">_xlfn.LET(_xlpm.base, " " &amp; LOWER(TRIM($AD365))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périmyocardite</v>
      </c>
      <c r="AF365" t="str" cm="1">
        <f t="array" ref="AF365">_xlfn.LET(_xlpm.base, " " &amp; LOWER(TRIM($AE365))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périmyocardite</v>
      </c>
    </row>
    <row r="366" spans="1:32" ht="66.75">
      <c r="A366" s="8">
        <v>2025</v>
      </c>
      <c r="B366" s="10" t="s">
        <v>91</v>
      </c>
      <c r="C366" s="8" t="s">
        <v>1091</v>
      </c>
      <c r="D366" s="20">
        <v>226</v>
      </c>
      <c r="E366" s="11" t="str">
        <f>IF(D366="","",IFERROR(INDEX(SSP!$E$2:$E$266, MATCH(D366, SSP!$F$2:$F$266, 0)),""))</f>
        <v>Évaluation partagée des risques et bénéfices du dépistage ou du traitement des affections asymptomatiques</v>
      </c>
      <c r="F366" s="11" t="str">
        <f>Feuil1!E366</f>
        <v>Discussion traitement otite</v>
      </c>
      <c r="G366" s="12" t="s">
        <v>160</v>
      </c>
      <c r="H366" s="13" t="s">
        <v>1117</v>
      </c>
      <c r="I366" s="13"/>
      <c r="J366" s="15" t="s">
        <v>1118</v>
      </c>
      <c r="K366" s="9" t="s">
        <v>33</v>
      </c>
      <c r="L366" s="9" t="s">
        <v>33</v>
      </c>
      <c r="M366" s="9" t="s">
        <v>33</v>
      </c>
      <c r="N366" t="s">
        <v>1117</v>
      </c>
      <c r="O366" t="str">
        <f>IFERROR(_xlfn.XLOOKUP($D366, SSP!$F:$F, SSP!$E:$E, "Inconnu"), "")</f>
        <v>Évaluation partagée des risques et bénéfices du dépistage ou du traitement des affections asymptomatiques</v>
      </c>
      <c r="P366" t="str">
        <f>IF(OR(E366="", O366=""), "", IF(LOWER(E366)=LOWER(O366), "OK", "⚠️ Libellé ≠ n°"))</f>
        <v>OK</v>
      </c>
      <c r="Q366" t="str">
        <f>IF(Feuil1!$E366="", "", IF(LOWER(Feuil1!$E366)=LOWER(E366), "Identique", "Différent"))</f>
        <v>Différent</v>
      </c>
      <c r="R366" t="str">
        <f>IF(OR(P366="⚠️ Libellé ≠ n°", O366="Inconnu"), "⚠️", IF(Q366="Différent", "ℹ️", ""))</f>
        <v>ℹ️</v>
      </c>
      <c r="S366" t="str" cm="1">
        <f t="array" ref="S366">_xlfn.LET(_xlpm.genCat,IFERROR(LOWER(TRIM(G366)),""),_xlpm.principal,IFERROR(LOWER(TRIM(H366)),""),_xlpm.orig,IFERROR(LOWER(TRIM(N366)),""),IF(OR(_xlpm.genCat="",_xlpm.principal=""),"",IF(LEFT(LOWER(G366),5)="autre","OK (Autre)",IF(OR(ISNUMBER(SEARCH(_xlpm.genCat,_xlpm.principal)),ISNUMBER(SEARCH(_xlpm.principal,_xlpm.genCat)),AND(_xlpm.orig&lt;&gt;"",OR(ISNUMBER(SEARCH(_xlpm.genCat,_xlpm.orig)),ISNUMBER(SEARCH(_xlpm.orig,_xlpm.genCat))))),"OK","⚠️ À vérifier"))))</f>
        <v>OK (Autre)</v>
      </c>
      <c r="T366" t="str">
        <f>IF(S366="","",IF(S366="OK (Autre)","Diagnostic générique = 'Autre – …'",IF(S366="OK","Concordance générique/principal","Écart entre générique et principal")))</f>
        <v>Diagnostic générique = 'Autre – …'</v>
      </c>
      <c r="U366" t="str" cm="1">
        <f t="array" ref="U366">_xlfn.LET(_xlpm.yr, A366, _xlpm.diag, IF(N366&lt;&gt;"", N366, H366), _xlpm.base, TRIM(SUBSTITUTE(SUBSTITUTE(SUBSTITUTE(SUBSTITUTE(_xlpm.diag,"•"," "),CHAR(160)," "),CHAR(10)," "),"  "," ")), LOWER(_xlpm.yr&amp;"|"&amp;_xlpm.base))</f>
        <v>2025|otite moyenne aiguë</v>
      </c>
      <c r="V366" t="str">
        <f>IFERROR(_xlfn.XLOOKUP($AB366,'Cas 2013-2017'!$K:$K,'Cas 2013-2017'!$D:$D,""),"")</f>
        <v/>
      </c>
      <c r="W366" t="str">
        <f>IFERROR(_xlfn.XLOOKUP($AB366,'Cas 2013-2017'!$K:$K,'Cas 2013-2017'!$E:$E,""),"")</f>
        <v/>
      </c>
      <c r="X366" t="str">
        <f>IFERROR(_xlfn.XLOOKUP($AB366,'Cas 2013-2017'!$K:$K,'Cas 2013-2017'!$F:$F,""),"")</f>
        <v/>
      </c>
      <c r="Y366" t="str">
        <f>IFERROR(_xlfn.XLOOKUP($AB366,'Cas 2013-2017'!$K:$K,'Cas 2013-2017'!$G:$G,""),"")</f>
        <v/>
      </c>
      <c r="Z366" t="str">
        <f>IFERROR(_xlfn.XLOOKUP($AB366,'Cas 2013-2017'!$K:$K,'Cas 2013-2017'!$I:$I,""),"")</f>
        <v/>
      </c>
      <c r="AA366" t="str">
        <f>IFERROR(_xlfn.XLOOKUP($AB366,'Cas 2013-2017'!$K:$K,'Cas 2013-2017'!$H:$H,""),"")</f>
        <v/>
      </c>
      <c r="AB366" t="str">
        <f>LOWER($A366 &amp; "|" &amp; $AF366)</f>
        <v>2025|otite moyenne aiguë</v>
      </c>
      <c r="AC366" t="str">
        <f>TRIM(SUBSTITUTE(SUBSTITUTE(SUBSTITUTE(SUBSTITUTE(" " &amp; LOWER(TRIM(IF($N366&lt;&gt;"", $N366, $H366))) &amp; " ", " aomi ", " arteriopathie des membres inferieurs "), " hta ", " hypertension arterielle "), " saos ", " syndrome d'apnees obstructives du sommeil "), " rgo ", " reflux gastro-oesophagien ") )</f>
        <v>otite moyenne aiguë</v>
      </c>
      <c r="AD366" t="str">
        <f>TRIM(SUBSTITUTE(SUBSTITUTE(SUBSTITUTE(SUBSTITUTE(" " &amp; LOWER(TRIM($AC366)) &amp; " ", " oacr ", " occlusion de l'artere centrale de la retine "), " hsd ", " hematome sous-dural "), " fa ", " fibrillation auriculaire "), " ep ", " embolie pulmonaire ") )</f>
        <v>otite moyenne aiguë</v>
      </c>
      <c r="AE366" t="str" cm="1">
        <f t="array" ref="AE366">_xlfn.LET(_xlpm.base, " " &amp; LOWER(TRIM($AD366))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otite moyenne aiguë</v>
      </c>
      <c r="AF366" t="str" cm="1">
        <f t="array" ref="AF366">_xlfn.LET(_xlpm.base, " " &amp; LOWER(TRIM($AE366))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otite moyenne aiguë</v>
      </c>
    </row>
    <row r="367" spans="1:32" ht="33.75">
      <c r="A367" s="8">
        <v>2025</v>
      </c>
      <c r="B367" s="10" t="s">
        <v>141</v>
      </c>
      <c r="C367" s="8" t="s">
        <v>33</v>
      </c>
      <c r="D367" s="20">
        <v>61</v>
      </c>
      <c r="E367" s="11" t="str">
        <f>IF(D367="","",IFERROR(INDEX(SSP!$E$2:$E$266, MATCH(D367, SSP!$F$2:$F$266, 0)),""))</f>
        <v>Nausées, vomissements</v>
      </c>
      <c r="F367" s="11" t="str">
        <f>Feuil1!E367</f>
        <v>Vomissements répétés</v>
      </c>
      <c r="G367" s="12" t="s">
        <v>517</v>
      </c>
      <c r="H367" s="13" t="s">
        <v>518</v>
      </c>
      <c r="I367" s="13"/>
      <c r="J367" s="15" t="s">
        <v>1119</v>
      </c>
      <c r="K367" s="9" t="s">
        <v>33</v>
      </c>
      <c r="L367" s="9" t="s">
        <v>33</v>
      </c>
      <c r="M367" s="9" t="s">
        <v>33</v>
      </c>
      <c r="N367" t="s">
        <v>1120</v>
      </c>
      <c r="O367" t="str">
        <f>IFERROR(_xlfn.XLOOKUP($D367, SSP!$F:$F, SSP!$E:$E, "Inconnu"), "")</f>
        <v>Nausées, vomissements</v>
      </c>
      <c r="P367" t="str">
        <f>IF(OR(E367="", O367=""), "", IF(LOWER(E367)=LOWER(O367), "OK", "⚠️ Libellé ≠ n°"))</f>
        <v>OK</v>
      </c>
      <c r="Q367" t="str">
        <f>IF(Feuil1!$E367="", "", IF(LOWER(Feuil1!$E367)=LOWER(E367), "Identique", "Différent"))</f>
        <v>Différent</v>
      </c>
      <c r="R367" t="str">
        <f>IF(OR(P367="⚠️ Libellé ≠ n°", O367="Inconnu"), "⚠️", IF(Q367="Différent", "ℹ️", ""))</f>
        <v>ℹ️</v>
      </c>
      <c r="S367" t="str" cm="1">
        <f t="array" ref="S367">_xlfn.LET(_xlpm.genCat,IFERROR(LOWER(TRIM(G367)),""),_xlpm.principal,IFERROR(LOWER(TRIM(H367)),""),_xlpm.orig,IFERROR(LOWER(TRIM(N367)),""),IF(OR(_xlpm.genCat="",_xlpm.principal=""),"",IF(LEFT(LOWER(G367),5)="autre","OK (Autre)",IF(OR(ISNUMBER(SEARCH(_xlpm.genCat,_xlpm.principal)),ISNUMBER(SEARCH(_xlpm.principal,_xlpm.genCat)),AND(_xlpm.orig&lt;&gt;"",OR(ISNUMBER(SEARCH(_xlpm.genCat,_xlpm.orig)),ISNUMBER(SEARCH(_xlpm.orig,_xlpm.genCat))))),"OK","⚠️ À vérifier"))))</f>
        <v>⚠️ À vérifier</v>
      </c>
      <c r="T367" t="str">
        <f>IF(S367="","",IF(S367="OK (Autre)","Diagnostic générique = 'Autre – …'",IF(S367="OK","Concordance générique/principal","Écart entre générique et principal")))</f>
        <v>Écart entre générique et principal</v>
      </c>
      <c r="U367" t="str" cm="1">
        <f t="array" ref="U367">_xlfn.LET(_xlpm.yr, A367, _xlpm.diag, IF(N367&lt;&gt;"", N367, H367), _xlpm.base, TRIM(SUBSTITUTE(SUBSTITUTE(SUBSTITUTE(SUBSTITUTE(_xlpm.diag,"•"," "),CHAR(160)," "),CHAR(10)," "),"  "," ")), LOWER(_xlpm.yr&amp;"|"&amp;_xlpm.base))</f>
        <v>2025|boulimie anosognosique</v>
      </c>
      <c r="V367" t="str">
        <f>IFERROR(_xlfn.XLOOKUP($AB367,'Cas 2013-2017'!$K:$K,'Cas 2013-2017'!$D:$D,""),"")</f>
        <v/>
      </c>
      <c r="W367" t="str">
        <f>IFERROR(_xlfn.XLOOKUP($AB367,'Cas 2013-2017'!$K:$K,'Cas 2013-2017'!$E:$E,""),"")</f>
        <v/>
      </c>
      <c r="X367" t="str">
        <f>IFERROR(_xlfn.XLOOKUP($AB367,'Cas 2013-2017'!$K:$K,'Cas 2013-2017'!$F:$F,""),"")</f>
        <v/>
      </c>
      <c r="Y367" t="str">
        <f>IFERROR(_xlfn.XLOOKUP($AB367,'Cas 2013-2017'!$K:$K,'Cas 2013-2017'!$G:$G,""),"")</f>
        <v/>
      </c>
      <c r="Z367" t="str">
        <f>IFERROR(_xlfn.XLOOKUP($AB367,'Cas 2013-2017'!$K:$K,'Cas 2013-2017'!$I:$I,""),"")</f>
        <v/>
      </c>
      <c r="AA367" t="str">
        <f>IFERROR(_xlfn.XLOOKUP($AB367,'Cas 2013-2017'!$K:$K,'Cas 2013-2017'!$H:$H,""),"")</f>
        <v/>
      </c>
      <c r="AB367" t="str">
        <f>LOWER($A367 &amp; "|" &amp; $AF367)</f>
        <v>2025|boulimie anosognosique</v>
      </c>
      <c r="AC367" t="str">
        <f>TRIM(SUBSTITUTE(SUBSTITUTE(SUBSTITUTE(SUBSTITUTE(" " &amp; LOWER(TRIM(IF($N367&lt;&gt;"", $N367, $H367))) &amp; " ", " aomi ", " arteriopathie des membres inferieurs "), " hta ", " hypertension arterielle "), " saos ", " syndrome d'apnees obstructives du sommeil "), " rgo ", " reflux gastro-oesophagien ") )</f>
        <v>boulimie anosognosique</v>
      </c>
      <c r="AD367" t="str">
        <f>TRIM(SUBSTITUTE(SUBSTITUTE(SUBSTITUTE(SUBSTITUTE(" " &amp; LOWER(TRIM($AC367)) &amp; " ", " oacr ", " occlusion de l'artere centrale de la retine "), " hsd ", " hematome sous-dural "), " fa ", " fibrillation auriculaire "), " ep ", " embolie pulmonaire ") )</f>
        <v>boulimie anosognosique</v>
      </c>
      <c r="AE367" t="str" cm="1">
        <f t="array" ref="AE367">_xlfn.LET(_xlpm.base, " " &amp; LOWER(TRIM($AD367))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boulimie anosognosique</v>
      </c>
      <c r="AF367" t="str" cm="1">
        <f t="array" ref="AF367">_xlfn.LET(_xlpm.base, " " &amp; LOWER(TRIM($AE367))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boulimie anosognosique</v>
      </c>
    </row>
    <row r="368" spans="1:32" ht="50.25">
      <c r="A368" s="8">
        <v>2025</v>
      </c>
      <c r="B368" s="10" t="s">
        <v>133</v>
      </c>
      <c r="C368" s="8" t="s">
        <v>1121</v>
      </c>
      <c r="D368" s="20">
        <v>46</v>
      </c>
      <c r="E368" s="11" t="str">
        <f>IF(D368="","",IFERROR(INDEX(SSP!$E$2:$E$266, MATCH(D368, SSP!$F$2:$F$266, 0)),""))</f>
        <v>Dyspnée</v>
      </c>
      <c r="F368" s="11" t="str">
        <f>Feuil1!E368</f>
        <v>Dyspnée</v>
      </c>
      <c r="G368" s="12" t="s">
        <v>271</v>
      </c>
      <c r="H368" s="13" t="s">
        <v>1122</v>
      </c>
      <c r="I368" s="13"/>
      <c r="J368" s="15" t="s">
        <v>1123</v>
      </c>
      <c r="K368" s="9" t="s">
        <v>1124</v>
      </c>
      <c r="L368" s="9" t="s">
        <v>33</v>
      </c>
      <c r="M368" s="9" t="s">
        <v>33</v>
      </c>
      <c r="N368" t="s">
        <v>1122</v>
      </c>
      <c r="O368" t="str">
        <f>IFERROR(_xlfn.XLOOKUP($D368, SSP!$F:$F, SSP!$E:$E, "Inconnu"), "")</f>
        <v>Dyspnée</v>
      </c>
      <c r="P368" t="str">
        <f>IF(OR(E368="", O368=""), "", IF(LOWER(E368)=LOWER(O368), "OK", "⚠️ Libellé ≠ n°"))</f>
        <v>OK</v>
      </c>
      <c r="Q368" t="str">
        <f>IF(Feuil1!$E368="", "", IF(LOWER(Feuil1!$E368)=LOWER(E368), "Identique", "Différent"))</f>
        <v>Identique</v>
      </c>
      <c r="R368" t="str">
        <f>IF(OR(P368="⚠️ Libellé ≠ n°", O368="Inconnu"), "⚠️", IF(Q368="Différent", "ℹ️", ""))</f>
        <v/>
      </c>
      <c r="S368" t="str" cm="1">
        <f t="array" ref="S368">_xlfn.LET(_xlpm.genCat,IFERROR(LOWER(TRIM(G368)),""),_xlpm.principal,IFERROR(LOWER(TRIM(H368)),""),_xlpm.orig,IFERROR(LOWER(TRIM(N368)),""),IF(OR(_xlpm.genCat="",_xlpm.principal=""),"",IF(LEFT(LOWER(G368),5)="autre","OK (Autre)",IF(OR(ISNUMBER(SEARCH(_xlpm.genCat,_xlpm.principal)),ISNUMBER(SEARCH(_xlpm.principal,_xlpm.genCat)),AND(_xlpm.orig&lt;&gt;"",OR(ISNUMBER(SEARCH(_xlpm.genCat,_xlpm.orig)),ISNUMBER(SEARCH(_xlpm.orig,_xlpm.genCat))))),"OK","⚠️ À vérifier"))))</f>
        <v>OK</v>
      </c>
      <c r="T368" t="str">
        <f>IF(S368="","",IF(S368="OK (Autre)","Diagnostic générique = 'Autre – …'",IF(S368="OK","Concordance générique/principal","Écart entre générique et principal")))</f>
        <v>Concordance générique/principal</v>
      </c>
      <c r="U368" t="str" cm="1">
        <f t="array" ref="U368">_xlfn.LET(_xlpm.yr, A368, _xlpm.diag, IF(N368&lt;&gt;"", N368, H368), _xlpm.base, TRIM(SUBSTITUTE(SUBSTITUTE(SUBSTITUTE(SUBSTITUTE(_xlpm.diag,"•"," "),CHAR(160)," "),CHAR(10)," "),"  "," ")), LOWER(_xlpm.yr&amp;"|"&amp;_xlpm.base))</f>
        <v>2025|bpco exacerbée avec aggravation dyspnée</v>
      </c>
      <c r="V368" t="str">
        <f>IFERROR(_xlfn.XLOOKUP($AB368,'Cas 2013-2017'!$K:$K,'Cas 2013-2017'!$D:$D,""),"")</f>
        <v/>
      </c>
      <c r="W368" t="str">
        <f>IFERROR(_xlfn.XLOOKUP($AB368,'Cas 2013-2017'!$K:$K,'Cas 2013-2017'!$E:$E,""),"")</f>
        <v/>
      </c>
      <c r="X368" t="str">
        <f>IFERROR(_xlfn.XLOOKUP($AB368,'Cas 2013-2017'!$K:$K,'Cas 2013-2017'!$F:$F,""),"")</f>
        <v/>
      </c>
      <c r="Y368" t="str">
        <f>IFERROR(_xlfn.XLOOKUP($AB368,'Cas 2013-2017'!$K:$K,'Cas 2013-2017'!$G:$G,""),"")</f>
        <v/>
      </c>
      <c r="Z368" t="str">
        <f>IFERROR(_xlfn.XLOOKUP($AB368,'Cas 2013-2017'!$K:$K,'Cas 2013-2017'!$I:$I,""),"")</f>
        <v/>
      </c>
      <c r="AA368" t="str">
        <f>IFERROR(_xlfn.XLOOKUP($AB368,'Cas 2013-2017'!$K:$K,'Cas 2013-2017'!$H:$H,""),"")</f>
        <v/>
      </c>
      <c r="AB368" t="str">
        <f>LOWER($A368 &amp; "|" &amp; $AF368)</f>
        <v>2025|bronchopneumopathie chronique obstructive exacerbée avec aggravation dyspnée</v>
      </c>
      <c r="AC368" t="str">
        <f>TRIM(SUBSTITUTE(SUBSTITUTE(SUBSTITUTE(SUBSTITUTE(" " &amp; LOWER(TRIM(IF($N368&lt;&gt;"", $N368, $H368))) &amp; " ", " aomi ", " arteriopathie des membres inferieurs "), " hta ", " hypertension arterielle "), " saos ", " syndrome d'apnees obstructives du sommeil "), " rgo ", " reflux gastro-oesophagien ") )</f>
        <v>bpco exacerbée avec aggravation dyspnée</v>
      </c>
      <c r="AD368" t="str">
        <f>TRIM(SUBSTITUTE(SUBSTITUTE(SUBSTITUTE(SUBSTITUTE(" " &amp; LOWER(TRIM($AC368)) &amp; " ", " oacr ", " occlusion de l'artere centrale de la retine "), " hsd ", " hematome sous-dural "), " fa ", " fibrillation auriculaire "), " ep ", " embolie pulmonaire ") )</f>
        <v>bpco exacerbée avec aggravation dyspnée</v>
      </c>
      <c r="AE368" t="str" cm="1">
        <f t="array" ref="AE368">_xlfn.LET(_xlpm.base, " " &amp; LOWER(TRIM($AD368))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bronchopneumopathie chronique obstructive exacerbée avec aggravation dyspnée</v>
      </c>
      <c r="AF368" t="str" cm="1">
        <f t="array" ref="AF368">_xlfn.LET(_xlpm.base, " " &amp; LOWER(TRIM($AE368))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bronchopneumopathie chronique obstructive exacerbée avec aggravation dyspnée</v>
      </c>
    </row>
    <row r="369" spans="1:32" ht="16.5">
      <c r="A369" s="8">
        <v>2025</v>
      </c>
      <c r="B369" s="10" t="s">
        <v>87</v>
      </c>
      <c r="C369" s="8" t="s">
        <v>33</v>
      </c>
      <c r="D369" s="20">
        <v>59</v>
      </c>
      <c r="E369" s="11" t="str">
        <f>IF(D369="","",IFERROR(INDEX(SSP!$E$2:$E$266, MATCH(D369, SSP!$F$2:$F$266, 0)),""))</f>
        <v>Diarrhée</v>
      </c>
      <c r="F369" s="11" t="str">
        <f>Feuil1!E369</f>
        <v>Diarrhées</v>
      </c>
      <c r="G369" s="12" t="s">
        <v>69</v>
      </c>
      <c r="H369" s="13" t="s">
        <v>1125</v>
      </c>
      <c r="I369" s="13"/>
      <c r="J369" s="15" t="s">
        <v>1126</v>
      </c>
      <c r="K369" s="9" t="s">
        <v>33</v>
      </c>
      <c r="L369" s="9" t="s">
        <v>33</v>
      </c>
      <c r="M369" s="9" t="s">
        <v>33</v>
      </c>
      <c r="N369" t="s">
        <v>1125</v>
      </c>
      <c r="O369" t="str">
        <f>IFERROR(_xlfn.XLOOKUP($D369, SSP!$F:$F, SSP!$E:$E, "Inconnu"), "")</f>
        <v>Diarrhée</v>
      </c>
      <c r="P369" t="str">
        <f>IF(OR(E369="", O369=""), "", IF(LOWER(E369)=LOWER(O369), "OK", "⚠️ Libellé ≠ n°"))</f>
        <v>OK</v>
      </c>
      <c r="Q369" t="str">
        <f>IF(Feuil1!$E369="", "", IF(LOWER(Feuil1!$E369)=LOWER(E369), "Identique", "Différent"))</f>
        <v>Différent</v>
      </c>
      <c r="R369" t="str">
        <f>IF(OR(P369="⚠️ Libellé ≠ n°", O369="Inconnu"), "⚠️", IF(Q369="Différent", "ℹ️", ""))</f>
        <v>ℹ️</v>
      </c>
      <c r="S369" t="str" cm="1">
        <f t="array" ref="S369">_xlfn.LET(_xlpm.genCat,IFERROR(LOWER(TRIM(G369)),""),_xlpm.principal,IFERROR(LOWER(TRIM(H369)),""),_xlpm.orig,IFERROR(LOWER(TRIM(N369)),""),IF(OR(_xlpm.genCat="",_xlpm.principal=""),"",IF(LEFT(LOWER(G369),5)="autre","OK (Autre)",IF(OR(ISNUMBER(SEARCH(_xlpm.genCat,_xlpm.principal)),ISNUMBER(SEARCH(_xlpm.principal,_xlpm.genCat)),AND(_xlpm.orig&lt;&gt;"",OR(ISNUMBER(SEARCH(_xlpm.genCat,_xlpm.orig)),ISNUMBER(SEARCH(_xlpm.orig,_xlpm.genCat))))),"OK","⚠️ À vérifier"))))</f>
        <v>⚠️ À vérifier</v>
      </c>
      <c r="T369" t="str">
        <f>IF(S369="","",IF(S369="OK (Autre)","Diagnostic générique = 'Autre – …'",IF(S369="OK","Concordance générique/principal","Écart entre générique et principal")))</f>
        <v>Écart entre générique et principal</v>
      </c>
      <c r="U369" t="str" cm="1">
        <f t="array" ref="U369">_xlfn.LET(_xlpm.yr, A369, _xlpm.diag, IF(N369&lt;&gt;"", N369, H369), _xlpm.base, TRIM(SUBSTITUTE(SUBSTITUTE(SUBSTITUTE(SUBSTITUTE(_xlpm.diag,"•"," "),CHAR(160)," "),CHAR(10)," "),"  "," ")), LOWER(_xlpm.yr&amp;"|"&amp;_xlpm.base))</f>
        <v>2025|diarrhées du voyageur</v>
      </c>
      <c r="V369" t="str">
        <f>IFERROR(_xlfn.XLOOKUP($AB369,'Cas 2013-2017'!$K:$K,'Cas 2013-2017'!$D:$D,""),"")</f>
        <v/>
      </c>
      <c r="W369" t="str">
        <f>IFERROR(_xlfn.XLOOKUP($AB369,'Cas 2013-2017'!$K:$K,'Cas 2013-2017'!$E:$E,""),"")</f>
        <v/>
      </c>
      <c r="X369" t="str">
        <f>IFERROR(_xlfn.XLOOKUP($AB369,'Cas 2013-2017'!$K:$K,'Cas 2013-2017'!$F:$F,""),"")</f>
        <v/>
      </c>
      <c r="Y369" t="str">
        <f>IFERROR(_xlfn.XLOOKUP($AB369,'Cas 2013-2017'!$K:$K,'Cas 2013-2017'!$G:$G,""),"")</f>
        <v/>
      </c>
      <c r="Z369" t="str">
        <f>IFERROR(_xlfn.XLOOKUP($AB369,'Cas 2013-2017'!$K:$K,'Cas 2013-2017'!$I:$I,""),"")</f>
        <v/>
      </c>
      <c r="AA369" t="str">
        <f>IFERROR(_xlfn.XLOOKUP($AB369,'Cas 2013-2017'!$K:$K,'Cas 2013-2017'!$H:$H,""),"")</f>
        <v/>
      </c>
      <c r="AB369" t="str">
        <f>LOWER($A369 &amp; "|" &amp; $AF369)</f>
        <v>2025|diarrhées du voyageur</v>
      </c>
      <c r="AC369" t="str">
        <f>TRIM(SUBSTITUTE(SUBSTITUTE(SUBSTITUTE(SUBSTITUTE(" " &amp; LOWER(TRIM(IF($N369&lt;&gt;"", $N369, $H369))) &amp; " ", " aomi ", " arteriopathie des membres inferieurs "), " hta ", " hypertension arterielle "), " saos ", " syndrome d'apnees obstructives du sommeil "), " rgo ", " reflux gastro-oesophagien ") )</f>
        <v>diarrhées du voyageur</v>
      </c>
      <c r="AD369" t="str">
        <f>TRIM(SUBSTITUTE(SUBSTITUTE(SUBSTITUTE(SUBSTITUTE(" " &amp; LOWER(TRIM($AC369)) &amp; " ", " oacr ", " occlusion de l'artere centrale de la retine "), " hsd ", " hematome sous-dural "), " fa ", " fibrillation auriculaire "), " ep ", " embolie pulmonaire ") )</f>
        <v>diarrhées du voyageur</v>
      </c>
      <c r="AE369" t="str" cm="1">
        <f t="array" ref="AE369">_xlfn.LET(_xlpm.base, " " &amp; LOWER(TRIM($AD369))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diarrhées du voyageur</v>
      </c>
      <c r="AF369" t="str" cm="1">
        <f t="array" ref="AF369">_xlfn.LET(_xlpm.base, " " &amp; LOWER(TRIM($AE369))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diarrhées du voyageur</v>
      </c>
    </row>
    <row r="370" spans="1:32" ht="16.5">
      <c r="A370" s="8">
        <v>2025</v>
      </c>
      <c r="B370" s="10" t="s">
        <v>68</v>
      </c>
      <c r="C370" s="8" t="s">
        <v>33</v>
      </c>
      <c r="D370" s="20">
        <v>91</v>
      </c>
      <c r="E370" s="11" t="str">
        <f>IF(D370="","",IFERROR(INDEX(SSP!$E$2:$E$266, MATCH(D370, SSP!$F$2:$F$266, 0)),""))</f>
        <v>Ictère</v>
      </c>
      <c r="F370" s="11" t="str">
        <f>Feuil1!E370</f>
        <v>Saignements des gencives + ictère</v>
      </c>
      <c r="G370" s="12" t="s">
        <v>77</v>
      </c>
      <c r="H370" s="13" t="s">
        <v>1127</v>
      </c>
      <c r="I370" s="13"/>
      <c r="J370" s="15" t="s">
        <v>1128</v>
      </c>
      <c r="K370" s="9" t="s">
        <v>33</v>
      </c>
      <c r="L370" s="9" t="s">
        <v>33</v>
      </c>
      <c r="M370" s="9" t="s">
        <v>33</v>
      </c>
      <c r="N370" t="s">
        <v>1127</v>
      </c>
      <c r="O370" t="str">
        <f>IFERROR(_xlfn.XLOOKUP($D370, SSP!$F:$F, SSP!$E:$E, "Inconnu"), "")</f>
        <v>Ictère</v>
      </c>
      <c r="P370" t="str">
        <f>IF(OR(E370="", O370=""), "", IF(LOWER(E370)=LOWER(O370), "OK", "⚠️ Libellé ≠ n°"))</f>
        <v>OK</v>
      </c>
      <c r="Q370" t="str">
        <f>IF(Feuil1!$E370="", "", IF(LOWER(Feuil1!$E370)=LOWER(E370), "Identique", "Différent"))</f>
        <v>Différent</v>
      </c>
      <c r="R370" t="str">
        <f>IF(OR(P370="⚠️ Libellé ≠ n°", O370="Inconnu"), "⚠️", IF(Q370="Différent", "ℹ️", ""))</f>
        <v>ℹ️</v>
      </c>
      <c r="S370" t="str" cm="1">
        <f t="array" ref="S370">_xlfn.LET(_xlpm.genCat,IFERROR(LOWER(TRIM(G370)),""),_xlpm.principal,IFERROR(LOWER(TRIM(H370)),""),_xlpm.orig,IFERROR(LOWER(TRIM(N370)),""),IF(OR(_xlpm.genCat="",_xlpm.principal=""),"",IF(LEFT(LOWER(G370),5)="autre","OK (Autre)",IF(OR(ISNUMBER(SEARCH(_xlpm.genCat,_xlpm.principal)),ISNUMBER(SEARCH(_xlpm.principal,_xlpm.genCat)),AND(_xlpm.orig&lt;&gt;"",OR(ISNUMBER(SEARCH(_xlpm.genCat,_xlpm.orig)),ISNUMBER(SEARCH(_xlpm.orig,_xlpm.genCat))))),"OK","⚠️ À vérifier"))))</f>
        <v>OK</v>
      </c>
      <c r="T370" t="str">
        <f>IF(S370="","",IF(S370="OK (Autre)","Diagnostic générique = 'Autre – …'",IF(S370="OK","Concordance générique/principal","Écart entre générique et principal")))</f>
        <v>Concordance générique/principal</v>
      </c>
      <c r="U370" t="str" cm="1">
        <f t="array" ref="U370">_xlfn.LET(_xlpm.yr, A370, _xlpm.diag, IF(N370&lt;&gt;"", N370, H370), _xlpm.base, TRIM(SUBSTITUTE(SUBSTITUTE(SUBSTITUTE(SUBSTITUTE(_xlpm.diag,"•"," "),CHAR(160)," "),CHAR(10)," "),"  "," ")), LOWER(_xlpm.yr&amp;"|"&amp;_xlpm.base))</f>
        <v>2025|hépatite chronique</v>
      </c>
      <c r="V370" t="str">
        <f>IFERROR(_xlfn.XLOOKUP($AB370,'Cas 2013-2017'!$K:$K,'Cas 2013-2017'!$D:$D,""),"")</f>
        <v/>
      </c>
      <c r="W370" t="str">
        <f>IFERROR(_xlfn.XLOOKUP($AB370,'Cas 2013-2017'!$K:$K,'Cas 2013-2017'!$E:$E,""),"")</f>
        <v/>
      </c>
      <c r="X370" t="str">
        <f>IFERROR(_xlfn.XLOOKUP($AB370,'Cas 2013-2017'!$K:$K,'Cas 2013-2017'!$F:$F,""),"")</f>
        <v/>
      </c>
      <c r="Y370" t="str">
        <f>IFERROR(_xlfn.XLOOKUP($AB370,'Cas 2013-2017'!$K:$K,'Cas 2013-2017'!$G:$G,""),"")</f>
        <v/>
      </c>
      <c r="Z370" t="str">
        <f>IFERROR(_xlfn.XLOOKUP($AB370,'Cas 2013-2017'!$K:$K,'Cas 2013-2017'!$I:$I,""),"")</f>
        <v/>
      </c>
      <c r="AA370" t="str">
        <f>IFERROR(_xlfn.XLOOKUP($AB370,'Cas 2013-2017'!$K:$K,'Cas 2013-2017'!$H:$H,""),"")</f>
        <v/>
      </c>
      <c r="AB370" t="str">
        <f>LOWER($A370 &amp; "|" &amp; $AF370)</f>
        <v>2025|hépatite chronique</v>
      </c>
      <c r="AC370" t="str">
        <f>TRIM(SUBSTITUTE(SUBSTITUTE(SUBSTITUTE(SUBSTITUTE(" " &amp; LOWER(TRIM(IF($N370&lt;&gt;"", $N370, $H370))) &amp; " ", " aomi ", " arteriopathie des membres inferieurs "), " hta ", " hypertension arterielle "), " saos ", " syndrome d'apnees obstructives du sommeil "), " rgo ", " reflux gastro-oesophagien ") )</f>
        <v>hépatite chronique</v>
      </c>
      <c r="AD370" t="str">
        <f>TRIM(SUBSTITUTE(SUBSTITUTE(SUBSTITUTE(SUBSTITUTE(" " &amp; LOWER(TRIM($AC370)) &amp; " ", " oacr ", " occlusion de l'artere centrale de la retine "), " hsd ", " hematome sous-dural "), " fa ", " fibrillation auriculaire "), " ep ", " embolie pulmonaire ") )</f>
        <v>hépatite chronique</v>
      </c>
      <c r="AE370" t="str" cm="1">
        <f t="array" ref="AE370">_xlfn.LET(_xlpm.base, " " &amp; LOWER(TRIM($AD370))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hépatite chronique</v>
      </c>
      <c r="AF370" t="str" cm="1">
        <f t="array" ref="AF370">_xlfn.LET(_xlpm.base, " " &amp; LOWER(TRIM($AE370))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hépatite chronique</v>
      </c>
    </row>
    <row r="371" spans="1:32" ht="50.25">
      <c r="A371" s="8">
        <v>2025</v>
      </c>
      <c r="B371" s="10" t="s">
        <v>82</v>
      </c>
      <c r="C371" s="8" t="s">
        <v>33</v>
      </c>
      <c r="D371" s="20">
        <v>42</v>
      </c>
      <c r="E371" s="11" t="str">
        <f>IF(D371="","",IFERROR(INDEX(SSP!$E$2:$E$266, MATCH(D371, SSP!$F$2:$F$266, 0)),""))</f>
        <v>Modification du volume mammaire, masse mammaire, écoulement mammaire</v>
      </c>
      <c r="F371" s="11" t="str">
        <f>Feuil1!E371</f>
        <v>Nodule mammaire</v>
      </c>
      <c r="G371" s="12" t="s">
        <v>498</v>
      </c>
      <c r="H371" s="13" t="s">
        <v>1129</v>
      </c>
      <c r="I371" s="13"/>
      <c r="J371" s="15" t="s">
        <v>458</v>
      </c>
      <c r="K371" s="9" t="s">
        <v>33</v>
      </c>
      <c r="L371" s="9" t="s">
        <v>33</v>
      </c>
      <c r="M371" s="9" t="s">
        <v>33</v>
      </c>
      <c r="N371" t="s">
        <v>1129</v>
      </c>
      <c r="O371" t="str">
        <f>IFERROR(_xlfn.XLOOKUP($D371, SSP!$F:$F, SSP!$E:$E, "Inconnu"), "")</f>
        <v>Modification du volume mammaire, masse mammaire, écoulement mammaire</v>
      </c>
      <c r="P371" t="str">
        <f>IF(OR(E371="", O371=""), "", IF(LOWER(E371)=LOWER(O371), "OK", "⚠️ Libellé ≠ n°"))</f>
        <v>OK</v>
      </c>
      <c r="Q371" t="str">
        <f>IF(Feuil1!$E371="", "", IF(LOWER(Feuil1!$E371)=LOWER(E371), "Identique", "Différent"))</f>
        <v>Différent</v>
      </c>
      <c r="R371" t="str">
        <f>IF(OR(P371="⚠️ Libellé ≠ n°", O371="Inconnu"), "⚠️", IF(Q371="Différent", "ℹ️", ""))</f>
        <v>ℹ️</v>
      </c>
      <c r="S371" t="str" cm="1">
        <f t="array" ref="S371">_xlfn.LET(_xlpm.genCat,IFERROR(LOWER(TRIM(G371)),""),_xlpm.principal,IFERROR(LOWER(TRIM(H371)),""),_xlpm.orig,IFERROR(LOWER(TRIM(N371)),""),IF(OR(_xlpm.genCat="",_xlpm.principal=""),"",IF(LEFT(LOWER(G371),5)="autre","OK (Autre)",IF(OR(ISNUMBER(SEARCH(_xlpm.genCat,_xlpm.principal)),ISNUMBER(SEARCH(_xlpm.principal,_xlpm.genCat)),AND(_xlpm.orig&lt;&gt;"",OR(ISNUMBER(SEARCH(_xlpm.genCat,_xlpm.orig)),ISNUMBER(SEARCH(_xlpm.orig,_xlpm.genCat))))),"OK","⚠️ À vérifier"))))</f>
        <v>OK (Autre)</v>
      </c>
      <c r="T371" t="str">
        <f>IF(S371="","",IF(S371="OK (Autre)","Diagnostic générique = 'Autre – …'",IF(S371="OK","Concordance générique/principal","Écart entre générique et principal")))</f>
        <v>Diagnostic générique = 'Autre – …'</v>
      </c>
      <c r="U371" t="str" cm="1">
        <f t="array" ref="U371">_xlfn.LET(_xlpm.yr, A371, _xlpm.diag, IF(N371&lt;&gt;"", N371, H371), _xlpm.base, TRIM(SUBSTITUTE(SUBSTITUTE(SUBSTITUTE(SUBSTITUTE(_xlpm.diag,"•"," "),CHAR(160)," "),CHAR(10)," "),"  "," ")), LOWER(_xlpm.yr&amp;"|"&amp;_xlpm.base))</f>
        <v>2025|fibroadénome</v>
      </c>
      <c r="V371" t="str">
        <f>IFERROR(_xlfn.XLOOKUP($AB371,'Cas 2013-2017'!$K:$K,'Cas 2013-2017'!$D:$D,""),"")</f>
        <v/>
      </c>
      <c r="W371" t="str">
        <f>IFERROR(_xlfn.XLOOKUP($AB371,'Cas 2013-2017'!$K:$K,'Cas 2013-2017'!$E:$E,""),"")</f>
        <v/>
      </c>
      <c r="X371" t="str">
        <f>IFERROR(_xlfn.XLOOKUP($AB371,'Cas 2013-2017'!$K:$K,'Cas 2013-2017'!$F:$F,""),"")</f>
        <v/>
      </c>
      <c r="Y371" t="str">
        <f>IFERROR(_xlfn.XLOOKUP($AB371,'Cas 2013-2017'!$K:$K,'Cas 2013-2017'!$G:$G,""),"")</f>
        <v/>
      </c>
      <c r="Z371" t="str">
        <f>IFERROR(_xlfn.XLOOKUP($AB371,'Cas 2013-2017'!$K:$K,'Cas 2013-2017'!$I:$I,""),"")</f>
        <v/>
      </c>
      <c r="AA371" t="str">
        <f>IFERROR(_xlfn.XLOOKUP($AB371,'Cas 2013-2017'!$K:$K,'Cas 2013-2017'!$H:$H,""),"")</f>
        <v/>
      </c>
      <c r="AB371" t="str">
        <f>LOWER($A371 &amp; "|" &amp; $AF371)</f>
        <v>2025|fibroadénome</v>
      </c>
      <c r="AC371" t="str">
        <f>TRIM(SUBSTITUTE(SUBSTITUTE(SUBSTITUTE(SUBSTITUTE(" " &amp; LOWER(TRIM(IF($N371&lt;&gt;"", $N371, $H371))) &amp; " ", " aomi ", " arteriopathie des membres inferieurs "), " hta ", " hypertension arterielle "), " saos ", " syndrome d'apnees obstructives du sommeil "), " rgo ", " reflux gastro-oesophagien ") )</f>
        <v>fibroadénome</v>
      </c>
      <c r="AD371" t="str">
        <f>TRIM(SUBSTITUTE(SUBSTITUTE(SUBSTITUTE(SUBSTITUTE(" " &amp; LOWER(TRIM($AC371)) &amp; " ", " oacr ", " occlusion de l'artere centrale de la retine "), " hsd ", " hematome sous-dural "), " fa ", " fibrillation auriculaire "), " ep ", " embolie pulmonaire ") )</f>
        <v>fibroadénome</v>
      </c>
      <c r="AE371" t="str" cm="1">
        <f t="array" ref="AE371">_xlfn.LET(_xlpm.base, " " &amp; LOWER(TRIM($AD371))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fibroadénome</v>
      </c>
      <c r="AF371" t="str" cm="1">
        <f t="array" ref="AF371">_xlfn.LET(_xlpm.base, " " &amp; LOWER(TRIM($AE371))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fibroadénome</v>
      </c>
    </row>
    <row r="372" spans="1:32" ht="50.25">
      <c r="A372" s="8">
        <v>2025</v>
      </c>
      <c r="B372" s="10" t="s">
        <v>221</v>
      </c>
      <c r="C372" s="8" t="s">
        <v>33</v>
      </c>
      <c r="D372" s="20">
        <v>88</v>
      </c>
      <c r="E372" s="11" t="str">
        <f>IF(D372="","",IFERROR(INDEX(SSP!$E$2:$E$266, MATCH(D372, SSP!$F$2:$F$266, 0)),""))</f>
        <v>Ecchymose, hématome, purpura</v>
      </c>
      <c r="F372" s="11" t="str">
        <f>Feuil1!E372</f>
        <v>Hématome médial au bras</v>
      </c>
      <c r="G372" s="12" t="s">
        <v>222</v>
      </c>
      <c r="H372" s="13" t="s">
        <v>1130</v>
      </c>
      <c r="I372" s="13"/>
      <c r="J372" s="15" t="s">
        <v>1131</v>
      </c>
      <c r="K372" s="9" t="s">
        <v>33</v>
      </c>
      <c r="L372" s="9" t="s">
        <v>33</v>
      </c>
      <c r="M372" s="9" t="s">
        <v>33</v>
      </c>
      <c r="N372" t="s">
        <v>1130</v>
      </c>
      <c r="O372" t="str">
        <f>IFERROR(_xlfn.XLOOKUP($D372, SSP!$F:$F, SSP!$E:$E, "Inconnu"), "")</f>
        <v>Ecchymose, hématome, purpura</v>
      </c>
      <c r="P372" t="str">
        <f>IF(OR(E372="", O372=""), "", IF(LOWER(E372)=LOWER(O372), "OK", "⚠️ Libellé ≠ n°"))</f>
        <v>OK</v>
      </c>
      <c r="Q372" t="str">
        <f>IF(Feuil1!$E372="", "", IF(LOWER(Feuil1!$E372)=LOWER(E372), "Identique", "Différent"))</f>
        <v>Différent</v>
      </c>
      <c r="R372" t="str">
        <f>IF(OR(P372="⚠️ Libellé ≠ n°", O372="Inconnu"), "⚠️", IF(Q372="Différent", "ℹ️", ""))</f>
        <v>ℹ️</v>
      </c>
      <c r="S372" t="str" cm="1">
        <f t="array" ref="S372">_xlfn.LET(_xlpm.genCat,IFERROR(LOWER(TRIM(G372)),""),_xlpm.principal,IFERROR(LOWER(TRIM(H372)),""),_xlpm.orig,IFERROR(LOWER(TRIM(N372)),""),IF(OR(_xlpm.genCat="",_xlpm.principal=""),"",IF(LEFT(LOWER(G372),5)="autre","OK (Autre)",IF(OR(ISNUMBER(SEARCH(_xlpm.genCat,_xlpm.principal)),ISNUMBER(SEARCH(_xlpm.principal,_xlpm.genCat)),AND(_xlpm.orig&lt;&gt;"",OR(ISNUMBER(SEARCH(_xlpm.genCat,_xlpm.orig)),ISNUMBER(SEARCH(_xlpm.orig,_xlpm.genCat))))),"OK","⚠️ À vérifier"))))</f>
        <v>OK</v>
      </c>
      <c r="T372" t="str">
        <f>IF(S372="","",IF(S372="OK (Autre)","Diagnostic générique = 'Autre – …'",IF(S372="OK","Concordance générique/principal","Écart entre générique et principal")))</f>
        <v>Concordance générique/principal</v>
      </c>
      <c r="U372" t="str" cm="1">
        <f t="array" ref="U372">_xlfn.LET(_xlpm.yr, A372, _xlpm.diag, IF(N372&lt;&gt;"", N372, H372), _xlpm.base, TRIM(SUBSTITUTE(SUBSTITUTE(SUBSTITUTE(SUBSTITUTE(_xlpm.diag,"•"," "),CHAR(160)," "),CHAR(10)," "),"  "," ")), LOWER(_xlpm.yr&amp;"|"&amp;_xlpm.base))</f>
        <v>2025|fracture humérus</v>
      </c>
      <c r="V372" t="str">
        <f>IFERROR(_xlfn.XLOOKUP($AB372,'Cas 2013-2017'!$K:$K,'Cas 2013-2017'!$D:$D,""),"")</f>
        <v/>
      </c>
      <c r="W372" t="str">
        <f>IFERROR(_xlfn.XLOOKUP($AB372,'Cas 2013-2017'!$K:$K,'Cas 2013-2017'!$E:$E,""),"")</f>
        <v/>
      </c>
      <c r="X372" t="str">
        <f>IFERROR(_xlfn.XLOOKUP($AB372,'Cas 2013-2017'!$K:$K,'Cas 2013-2017'!$F:$F,""),"")</f>
        <v/>
      </c>
      <c r="Y372" t="str">
        <f>IFERROR(_xlfn.XLOOKUP($AB372,'Cas 2013-2017'!$K:$K,'Cas 2013-2017'!$G:$G,""),"")</f>
        <v/>
      </c>
      <c r="Z372" t="str">
        <f>IFERROR(_xlfn.XLOOKUP($AB372,'Cas 2013-2017'!$K:$K,'Cas 2013-2017'!$I:$I,""),"")</f>
        <v/>
      </c>
      <c r="AA372" t="str">
        <f>IFERROR(_xlfn.XLOOKUP($AB372,'Cas 2013-2017'!$K:$K,'Cas 2013-2017'!$H:$H,""),"")</f>
        <v/>
      </c>
      <c r="AB372" t="str">
        <f>LOWER($A372 &amp; "|" &amp; $AF372)</f>
        <v>2025|fracture humérus</v>
      </c>
      <c r="AC372" t="str">
        <f>TRIM(SUBSTITUTE(SUBSTITUTE(SUBSTITUTE(SUBSTITUTE(" " &amp; LOWER(TRIM(IF($N372&lt;&gt;"", $N372, $H372))) &amp; " ", " aomi ", " arteriopathie des membres inferieurs "), " hta ", " hypertension arterielle "), " saos ", " syndrome d'apnees obstructives du sommeil "), " rgo ", " reflux gastro-oesophagien ") )</f>
        <v>fracture humérus</v>
      </c>
      <c r="AD372" t="str">
        <f>TRIM(SUBSTITUTE(SUBSTITUTE(SUBSTITUTE(SUBSTITUTE(" " &amp; LOWER(TRIM($AC372)) &amp; " ", " oacr ", " occlusion de l'artere centrale de la retine "), " hsd ", " hematome sous-dural "), " fa ", " fibrillation auriculaire "), " ep ", " embolie pulmonaire ") )</f>
        <v>fracture humérus</v>
      </c>
      <c r="AE372" t="str" cm="1">
        <f t="array" ref="AE372">_xlfn.LET(_xlpm.base, " " &amp; LOWER(TRIM($AD372))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fracture humérus</v>
      </c>
      <c r="AF372" t="str" cm="1">
        <f t="array" ref="AF372">_xlfn.LET(_xlpm.base, " " &amp; LOWER(TRIM($AE372))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fracture humérus</v>
      </c>
    </row>
    <row r="373" spans="1:32" ht="16.5">
      <c r="A373" s="8">
        <v>2025</v>
      </c>
      <c r="B373" s="10" t="s">
        <v>91</v>
      </c>
      <c r="C373" s="8" t="s">
        <v>33</v>
      </c>
      <c r="D373" s="20">
        <v>9</v>
      </c>
      <c r="E373" s="11" t="str">
        <f>IF(D373="","",IFERROR(INDEX(SSP!$E$2:$E$266, MATCH(D373, SSP!$F$2:$F$266, 0)),""))</f>
        <v>Prurit</v>
      </c>
      <c r="F373" s="11" t="str">
        <f>Feuil1!E373</f>
        <v>Yeux rouges + prurit</v>
      </c>
      <c r="G373" s="12" t="s">
        <v>160</v>
      </c>
      <c r="H373" s="13" t="s">
        <v>1132</v>
      </c>
      <c r="I373" s="13"/>
      <c r="J373" s="15" t="s">
        <v>1133</v>
      </c>
      <c r="K373" s="9" t="s">
        <v>33</v>
      </c>
      <c r="L373" s="9" t="s">
        <v>33</v>
      </c>
      <c r="M373" s="9" t="s">
        <v>33</v>
      </c>
      <c r="N373" t="s">
        <v>1132</v>
      </c>
      <c r="O373" t="str">
        <f>IFERROR(_xlfn.XLOOKUP($D373, SSP!$F:$F, SSP!$E:$E, "Inconnu"), "")</f>
        <v>Prurit</v>
      </c>
      <c r="P373" t="str">
        <f>IF(OR(E373="", O373=""), "", IF(LOWER(E373)=LOWER(O373), "OK", "⚠️ Libellé ≠ n°"))</f>
        <v>OK</v>
      </c>
      <c r="Q373" t="str">
        <f>IF(Feuil1!$E373="", "", IF(LOWER(Feuil1!$E373)=LOWER(E373), "Identique", "Différent"))</f>
        <v>Différent</v>
      </c>
      <c r="R373" t="str">
        <f>IF(OR(P373="⚠️ Libellé ≠ n°", O373="Inconnu"), "⚠️", IF(Q373="Différent", "ℹ️", ""))</f>
        <v>ℹ️</v>
      </c>
      <c r="S373" t="str" cm="1">
        <f t="array" ref="S373">_xlfn.LET(_xlpm.genCat,IFERROR(LOWER(TRIM(G373)),""),_xlpm.principal,IFERROR(LOWER(TRIM(H373)),""),_xlpm.orig,IFERROR(LOWER(TRIM(N373)),""),IF(OR(_xlpm.genCat="",_xlpm.principal=""),"",IF(LEFT(LOWER(G373),5)="autre","OK (Autre)",IF(OR(ISNUMBER(SEARCH(_xlpm.genCat,_xlpm.principal)),ISNUMBER(SEARCH(_xlpm.principal,_xlpm.genCat)),AND(_xlpm.orig&lt;&gt;"",OR(ISNUMBER(SEARCH(_xlpm.genCat,_xlpm.orig)),ISNUMBER(SEARCH(_xlpm.orig,_xlpm.genCat))))),"OK","⚠️ À vérifier"))))</f>
        <v>OK (Autre)</v>
      </c>
      <c r="T373" t="str">
        <f>IF(S373="","",IF(S373="OK (Autre)","Diagnostic générique = 'Autre – …'",IF(S373="OK","Concordance générique/principal","Écart entre générique et principal")))</f>
        <v>Diagnostic générique = 'Autre – …'</v>
      </c>
      <c r="U373" t="str" cm="1">
        <f t="array" ref="U373">_xlfn.LET(_xlpm.yr, A373, _xlpm.diag, IF(N373&lt;&gt;"", N373, H373), _xlpm.base, TRIM(SUBSTITUTE(SUBSTITUTE(SUBSTITUTE(SUBSTITUTE(_xlpm.diag,"•"," "),CHAR(160)," "),CHAR(10)," "),"  "," ")), LOWER(_xlpm.yr&amp;"|"&amp;_xlpm.base))</f>
        <v>2025|conjonctivite bactérienne</v>
      </c>
      <c r="V373" t="str">
        <f>IFERROR(_xlfn.XLOOKUP($AB373,'Cas 2013-2017'!$K:$K,'Cas 2013-2017'!$D:$D,""),"")</f>
        <v/>
      </c>
      <c r="W373" t="str">
        <f>IFERROR(_xlfn.XLOOKUP($AB373,'Cas 2013-2017'!$K:$K,'Cas 2013-2017'!$E:$E,""),"")</f>
        <v/>
      </c>
      <c r="X373" t="str">
        <f>IFERROR(_xlfn.XLOOKUP($AB373,'Cas 2013-2017'!$K:$K,'Cas 2013-2017'!$F:$F,""),"")</f>
        <v/>
      </c>
      <c r="Y373" t="str">
        <f>IFERROR(_xlfn.XLOOKUP($AB373,'Cas 2013-2017'!$K:$K,'Cas 2013-2017'!$G:$G,""),"")</f>
        <v/>
      </c>
      <c r="Z373" t="str">
        <f>IFERROR(_xlfn.XLOOKUP($AB373,'Cas 2013-2017'!$K:$K,'Cas 2013-2017'!$I:$I,""),"")</f>
        <v/>
      </c>
      <c r="AA373" t="str">
        <f>IFERROR(_xlfn.XLOOKUP($AB373,'Cas 2013-2017'!$K:$K,'Cas 2013-2017'!$H:$H,""),"")</f>
        <v/>
      </c>
      <c r="AB373" t="str">
        <f>LOWER($A373 &amp; "|" &amp; $AF373)</f>
        <v>2025|conjonctivite bactérienne</v>
      </c>
      <c r="AC373" t="str">
        <f>TRIM(SUBSTITUTE(SUBSTITUTE(SUBSTITUTE(SUBSTITUTE(" " &amp; LOWER(TRIM(IF($N373&lt;&gt;"", $N373, $H373))) &amp; " ", " aomi ", " arteriopathie des membres inferieurs "), " hta ", " hypertension arterielle "), " saos ", " syndrome d'apnees obstructives du sommeil "), " rgo ", " reflux gastro-oesophagien ") )</f>
        <v>conjonctivite bactérienne</v>
      </c>
      <c r="AD373" t="str">
        <f>TRIM(SUBSTITUTE(SUBSTITUTE(SUBSTITUTE(SUBSTITUTE(" " &amp; LOWER(TRIM($AC373)) &amp; " ", " oacr ", " occlusion de l'artere centrale de la retine "), " hsd ", " hematome sous-dural "), " fa ", " fibrillation auriculaire "), " ep ", " embolie pulmonaire ") )</f>
        <v>conjonctivite bactérienne</v>
      </c>
      <c r="AE373" t="str" cm="1">
        <f t="array" ref="AE373">_xlfn.LET(_xlpm.base, " " &amp; LOWER(TRIM($AD373))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conjonctivite bactérienne</v>
      </c>
      <c r="AF373" t="str" cm="1">
        <f t="array" ref="AF373">_xlfn.LET(_xlpm.base, " " &amp; LOWER(TRIM($AE373))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conjonctivite bactérienne</v>
      </c>
    </row>
    <row r="374" spans="1:32" ht="33.75">
      <c r="A374" s="8">
        <v>2025</v>
      </c>
      <c r="B374" s="10" t="s">
        <v>51</v>
      </c>
      <c r="C374" s="8" t="s">
        <v>33</v>
      </c>
      <c r="D374" s="20">
        <v>25</v>
      </c>
      <c r="E374" s="11" t="str">
        <f>IF(D374="","",IFERROR(INDEX(SSP!$E$2:$E$266, MATCH(D374, SSP!$F$2:$F$266, 0)),""))</f>
        <v>Sécheresse, douleur, masse buccale ou pharyngée, lésions orales</v>
      </c>
      <c r="F374" s="11" t="str">
        <f>Feuil1!E374</f>
        <v>Lésions cutanées multiples</v>
      </c>
      <c r="G374" s="12" t="s">
        <v>52</v>
      </c>
      <c r="H374" s="13" t="s">
        <v>1134</v>
      </c>
      <c r="I374" s="13"/>
      <c r="J374" s="15" t="s">
        <v>1135</v>
      </c>
      <c r="K374" s="9" t="s">
        <v>33</v>
      </c>
      <c r="L374" s="9" t="s">
        <v>33</v>
      </c>
      <c r="M374" s="9" t="s">
        <v>33</v>
      </c>
      <c r="N374" t="s">
        <v>1134</v>
      </c>
      <c r="O374" t="str">
        <f>IFERROR(_xlfn.XLOOKUP($D374, SSP!$F:$F, SSP!$E:$E, "Inconnu"), "")</f>
        <v>Sécheresse, douleur, masse buccale ou pharyngée, lésions orales</v>
      </c>
      <c r="P374" t="str">
        <f>IF(OR(E374="", O374=""), "", IF(LOWER(E374)=LOWER(O374), "OK", "⚠️ Libellé ≠ n°"))</f>
        <v>OK</v>
      </c>
      <c r="Q374" t="str">
        <f>IF(Feuil1!$E374="", "", IF(LOWER(Feuil1!$E374)=LOWER(E374), "Identique", "Différent"))</f>
        <v>Différent</v>
      </c>
      <c r="R374" t="str">
        <f>IF(OR(P374="⚠️ Libellé ≠ n°", O374="Inconnu"), "⚠️", IF(Q374="Différent", "ℹ️", ""))</f>
        <v>ℹ️</v>
      </c>
      <c r="S374" t="str" cm="1">
        <f t="array" ref="S374">_xlfn.LET(_xlpm.genCat,IFERROR(LOWER(TRIM(G374)),""),_xlpm.principal,IFERROR(LOWER(TRIM(H374)),""),_xlpm.orig,IFERROR(LOWER(TRIM(N374)),""),IF(OR(_xlpm.genCat="",_xlpm.principal=""),"",IF(LEFT(LOWER(G374),5)="autre","OK (Autre)",IF(OR(ISNUMBER(SEARCH(_xlpm.genCat,_xlpm.principal)),ISNUMBER(SEARCH(_xlpm.principal,_xlpm.genCat)),AND(_xlpm.orig&lt;&gt;"",OR(ISNUMBER(SEARCH(_xlpm.genCat,_xlpm.orig)),ISNUMBER(SEARCH(_xlpm.orig,_xlpm.genCat))))),"OK","⚠️ À vérifier"))))</f>
        <v>OK</v>
      </c>
      <c r="T374" t="str">
        <f>IF(S374="","",IF(S374="OK (Autre)","Diagnostic générique = 'Autre – …'",IF(S374="OK","Concordance générique/principal","Écart entre générique et principal")))</f>
        <v>Concordance générique/principal</v>
      </c>
      <c r="U374" t="str" cm="1">
        <f t="array" ref="U374">_xlfn.LET(_xlpm.yr, A374, _xlpm.diag, IF(N374&lt;&gt;"", N374, H374), _xlpm.base, TRIM(SUBSTITUTE(SUBSTITUTE(SUBSTITUTE(SUBSTITUTE(_xlpm.diag,"•"," "),CHAR(160)," "),CHAR(10)," "),"  "," ")), LOWER(_xlpm.yr&amp;"|"&amp;_xlpm.base))</f>
        <v>2025|psoriasis en plaques</v>
      </c>
      <c r="V374" t="str">
        <f>IFERROR(_xlfn.XLOOKUP($AB374,'Cas 2013-2017'!$K:$K,'Cas 2013-2017'!$D:$D,""),"")</f>
        <v/>
      </c>
      <c r="W374" t="str">
        <f>IFERROR(_xlfn.XLOOKUP($AB374,'Cas 2013-2017'!$K:$K,'Cas 2013-2017'!$E:$E,""),"")</f>
        <v/>
      </c>
      <c r="X374" t="str">
        <f>IFERROR(_xlfn.XLOOKUP($AB374,'Cas 2013-2017'!$K:$K,'Cas 2013-2017'!$F:$F,""),"")</f>
        <v/>
      </c>
      <c r="Y374" t="str">
        <f>IFERROR(_xlfn.XLOOKUP($AB374,'Cas 2013-2017'!$K:$K,'Cas 2013-2017'!$G:$G,""),"")</f>
        <v/>
      </c>
      <c r="Z374" t="str">
        <f>IFERROR(_xlfn.XLOOKUP($AB374,'Cas 2013-2017'!$K:$K,'Cas 2013-2017'!$I:$I,""),"")</f>
        <v/>
      </c>
      <c r="AA374" t="str">
        <f>IFERROR(_xlfn.XLOOKUP($AB374,'Cas 2013-2017'!$K:$K,'Cas 2013-2017'!$H:$H,""),"")</f>
        <v/>
      </c>
      <c r="AB374" t="str">
        <f>LOWER($A374 &amp; "|" &amp; $AF374)</f>
        <v>2025|psoriasis en plaques</v>
      </c>
      <c r="AC374" t="str">
        <f>TRIM(SUBSTITUTE(SUBSTITUTE(SUBSTITUTE(SUBSTITUTE(" " &amp; LOWER(TRIM(IF($N374&lt;&gt;"", $N374, $H374))) &amp; " ", " aomi ", " arteriopathie des membres inferieurs "), " hta ", " hypertension arterielle "), " saos ", " syndrome d'apnees obstructives du sommeil "), " rgo ", " reflux gastro-oesophagien ") )</f>
        <v>psoriasis en plaques</v>
      </c>
      <c r="AD374" t="str">
        <f>TRIM(SUBSTITUTE(SUBSTITUTE(SUBSTITUTE(SUBSTITUTE(" " &amp; LOWER(TRIM($AC374)) &amp; " ", " oacr ", " occlusion de l'artere centrale de la retine "), " hsd ", " hematome sous-dural "), " fa ", " fibrillation auriculaire "), " ep ", " embolie pulmonaire ") )</f>
        <v>psoriasis en plaques</v>
      </c>
      <c r="AE374" t="str" cm="1">
        <f t="array" ref="AE374">_xlfn.LET(_xlpm.base, " " &amp; LOWER(TRIM($AD374))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psoriasis en plaques</v>
      </c>
      <c r="AF374" t="str" cm="1">
        <f t="array" ref="AF374">_xlfn.LET(_xlpm.base, " " &amp; LOWER(TRIM($AE374))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psoriasis en plaques</v>
      </c>
    </row>
    <row r="375" spans="1:32" ht="66.75">
      <c r="A375" s="8">
        <v>2025</v>
      </c>
      <c r="B375" s="10" t="s">
        <v>64</v>
      </c>
      <c r="C375" s="8" t="s">
        <v>33</v>
      </c>
      <c r="D375" s="20">
        <v>64</v>
      </c>
      <c r="E375" s="11" t="str">
        <f>IF(D375="","",IFERROR(INDEX(SSP!$E$2:$E$266, MATCH(D375, SSP!$F$2:$F$266, 0)),""))</f>
        <v>Dysurie, pyurie, hématurie</v>
      </c>
      <c r="F375" s="11" t="str">
        <f>Feuil1!E375</f>
        <v>Douleurs lombaires aiguës</v>
      </c>
      <c r="G375" s="12" t="s">
        <v>65</v>
      </c>
      <c r="H375" s="13" t="s">
        <v>1136</v>
      </c>
      <c r="I375" s="13"/>
      <c r="J375" s="15" t="s">
        <v>1137</v>
      </c>
      <c r="K375" s="9" t="s">
        <v>33</v>
      </c>
      <c r="L375" s="9" t="s">
        <v>33</v>
      </c>
      <c r="M375" s="9" t="s">
        <v>33</v>
      </c>
      <c r="N375" t="s">
        <v>1136</v>
      </c>
      <c r="O375" t="str">
        <f>IFERROR(_xlfn.XLOOKUP($D375, SSP!$F:$F, SSP!$E:$E, "Inconnu"), "")</f>
        <v>Dysurie, pyurie, hématurie</v>
      </c>
      <c r="P375" t="str">
        <f>IF(OR(E375="", O375=""), "", IF(LOWER(E375)=LOWER(O375), "OK", "⚠️ Libellé ≠ n°"))</f>
        <v>OK</v>
      </c>
      <c r="Q375" t="str">
        <f>IF(Feuil1!$E375="", "", IF(LOWER(Feuil1!$E375)=LOWER(E375), "Identique", "Différent"))</f>
        <v>Différent</v>
      </c>
      <c r="R375" t="str">
        <f>IF(OR(P375="⚠️ Libellé ≠ n°", O375="Inconnu"), "⚠️", IF(Q375="Différent", "ℹ️", ""))</f>
        <v>ℹ️</v>
      </c>
      <c r="S375" t="str" cm="1">
        <f t="array" ref="S375">_xlfn.LET(_xlpm.genCat,IFERROR(LOWER(TRIM(G375)),""),_xlpm.principal,IFERROR(LOWER(TRIM(H375)),""),_xlpm.orig,IFERROR(LOWER(TRIM(N375)),""),IF(OR(_xlpm.genCat="",_xlpm.principal=""),"",IF(LEFT(LOWER(G375),5)="autre","OK (Autre)",IF(OR(ISNUMBER(SEARCH(_xlpm.genCat,_xlpm.principal)),ISNUMBER(SEARCH(_xlpm.principal,_xlpm.genCat)),AND(_xlpm.orig&lt;&gt;"",OR(ISNUMBER(SEARCH(_xlpm.genCat,_xlpm.orig)),ISNUMBER(SEARCH(_xlpm.orig,_xlpm.genCat))))),"OK","⚠️ À vérifier"))))</f>
        <v>OK</v>
      </c>
      <c r="T375" t="str">
        <f>IF(S375="","",IF(S375="OK (Autre)","Diagnostic générique = 'Autre – …'",IF(S375="OK","Concordance générique/principal","Écart entre générique et principal")))</f>
        <v>Concordance générique/principal</v>
      </c>
      <c r="U375" t="str" cm="1">
        <f t="array" ref="U375">_xlfn.LET(_xlpm.yr, A375, _xlpm.diag, IF(N375&lt;&gt;"", N375, H375), _xlpm.base, TRIM(SUBSTITUTE(SUBSTITUTE(SUBSTITUTE(SUBSTITUTE(_xlpm.diag,"•"," "),CHAR(160)," "),CHAR(10)," "),"  "," ")), LOWER(_xlpm.yr&amp;"|"&amp;_xlpm.base))</f>
        <v>2025|métastase osseuse du cancer de la prostate</v>
      </c>
      <c r="V375" t="str">
        <f>IFERROR(_xlfn.XLOOKUP($AB375,'Cas 2013-2017'!$K:$K,'Cas 2013-2017'!$D:$D,""),"")</f>
        <v/>
      </c>
      <c r="W375" t="str">
        <f>IFERROR(_xlfn.XLOOKUP($AB375,'Cas 2013-2017'!$K:$K,'Cas 2013-2017'!$E:$E,""),"")</f>
        <v/>
      </c>
      <c r="X375" t="str">
        <f>IFERROR(_xlfn.XLOOKUP($AB375,'Cas 2013-2017'!$K:$K,'Cas 2013-2017'!$F:$F,""),"")</f>
        <v/>
      </c>
      <c r="Y375" t="str">
        <f>IFERROR(_xlfn.XLOOKUP($AB375,'Cas 2013-2017'!$K:$K,'Cas 2013-2017'!$G:$G,""),"")</f>
        <v/>
      </c>
      <c r="Z375" t="str">
        <f>IFERROR(_xlfn.XLOOKUP($AB375,'Cas 2013-2017'!$K:$K,'Cas 2013-2017'!$I:$I,""),"")</f>
        <v/>
      </c>
      <c r="AA375" t="str">
        <f>IFERROR(_xlfn.XLOOKUP($AB375,'Cas 2013-2017'!$K:$K,'Cas 2013-2017'!$H:$H,""),"")</f>
        <v/>
      </c>
      <c r="AB375" t="str">
        <f>LOWER($A375 &amp; "|" &amp; $AF375)</f>
        <v>2025|métastase osseuse du cancer de la prostate</v>
      </c>
      <c r="AC375" t="str">
        <f>TRIM(SUBSTITUTE(SUBSTITUTE(SUBSTITUTE(SUBSTITUTE(" " &amp; LOWER(TRIM(IF($N375&lt;&gt;"", $N375, $H375))) &amp; " ", " aomi ", " arteriopathie des membres inferieurs "), " hta ", " hypertension arterielle "), " saos ", " syndrome d'apnees obstructives du sommeil "), " rgo ", " reflux gastro-oesophagien ") )</f>
        <v>métastase osseuse du cancer de la prostate</v>
      </c>
      <c r="AD375" t="str">
        <f>TRIM(SUBSTITUTE(SUBSTITUTE(SUBSTITUTE(SUBSTITUTE(" " &amp; LOWER(TRIM($AC375)) &amp; " ", " oacr ", " occlusion de l'artere centrale de la retine "), " hsd ", " hematome sous-dural "), " fa ", " fibrillation auriculaire "), " ep ", " embolie pulmonaire ") )</f>
        <v>métastase osseuse du cancer de la prostate</v>
      </c>
      <c r="AE375" t="str" cm="1">
        <f t="array" ref="AE375">_xlfn.LET(_xlpm.base, " " &amp; LOWER(TRIM($AD375))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métastase osseuse du cancer de la prostate</v>
      </c>
      <c r="AF375" t="str" cm="1">
        <f t="array" ref="AF375">_xlfn.LET(_xlpm.base, " " &amp; LOWER(TRIM($AE375))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métastase osseuse du cancer de la prostate</v>
      </c>
    </row>
  </sheetData>
  <conditionalFormatting sqref="P2:P375">
    <cfRule type="containsText" dxfId="5" priority="1" operator="containsText" text="OK">
      <formula>NOT(ISERROR(SEARCH("OK",P2)))</formula>
    </cfRule>
  </conditionalFormatting>
  <conditionalFormatting sqref="P2:P375">
    <cfRule type="containsText" dxfId="4" priority="2" operator="containsText" text="Libellé ≠ n°">
      <formula>NOT(ISERROR(SEARCH("Libellé ≠ n°",P2)))</formula>
    </cfRule>
  </conditionalFormatting>
  <conditionalFormatting sqref="Q2:Q375">
    <cfRule type="containsText" dxfId="3" priority="3" operator="containsText" text="Identique">
      <formula>NOT(ISERROR(SEARCH("Identique",Q2)))</formula>
    </cfRule>
  </conditionalFormatting>
  <conditionalFormatting sqref="Q2:Q375">
    <cfRule type="containsText" dxfId="2" priority="4" operator="containsText" text="Différent">
      <formula>NOT(ISERROR(SEARCH("Différent",Q2)))</formula>
    </cfRule>
  </conditionalFormatting>
  <conditionalFormatting sqref="S2:S375">
    <cfRule type="expression" dxfId="1" priority="5">
      <formula>OR($S2="OK", $S2="OK (Autre)")</formula>
    </cfRule>
  </conditionalFormatting>
  <conditionalFormatting sqref="S2:S375">
    <cfRule type="expression" dxfId="0" priority="6">
      <formula>$S2="⚠️ À vérifier"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32CB-BB39-44BF-89CB-E59A2F830328}">
  <dimension ref="A1:O175"/>
  <sheetViews>
    <sheetView tabSelected="1" workbookViewId="0">
      <selection sqref="A1:I175"/>
    </sheetView>
  </sheetViews>
  <sheetFormatPr defaultRowHeight="15"/>
  <cols>
    <col min="1" max="1" width="33.140625" bestFit="1" customWidth="1"/>
    <col min="2" max="2" width="6.140625" bestFit="1" customWidth="1"/>
    <col min="3" max="9" width="36.5703125" bestFit="1" customWidth="1"/>
    <col min="10" max="10" width="135.42578125" bestFit="1" customWidth="1"/>
    <col min="11" max="11" width="136.7109375" bestFit="1" customWidth="1"/>
    <col min="12" max="15" width="0" hidden="1" customWidth="1"/>
  </cols>
  <sheetData>
    <row r="1" spans="1:15">
      <c r="A1" s="44" t="s">
        <v>1138</v>
      </c>
      <c r="B1" s="44" t="s">
        <v>0</v>
      </c>
      <c r="C1" s="46" t="s">
        <v>1139</v>
      </c>
      <c r="D1" s="46" t="s">
        <v>9</v>
      </c>
      <c r="E1" s="46" t="s">
        <v>10</v>
      </c>
      <c r="F1" s="46" t="s">
        <v>11</v>
      </c>
      <c r="G1" s="46" t="s">
        <v>1140</v>
      </c>
      <c r="H1" s="46" t="s">
        <v>1141</v>
      </c>
      <c r="I1" s="46" t="s">
        <v>1142</v>
      </c>
      <c r="J1" t="s">
        <v>1143</v>
      </c>
      <c r="K1" s="18" t="s">
        <v>27</v>
      </c>
      <c r="L1" t="s">
        <v>1144</v>
      </c>
      <c r="M1" t="s">
        <v>1145</v>
      </c>
      <c r="N1" t="s">
        <v>1146</v>
      </c>
      <c r="O1" t="s">
        <v>1147</v>
      </c>
    </row>
    <row r="2" spans="1:15">
      <c r="A2" s="44" t="s">
        <v>1148</v>
      </c>
      <c r="B2" s="44">
        <v>2014</v>
      </c>
      <c r="C2" s="45" t="s">
        <v>343</v>
      </c>
      <c r="D2" s="45"/>
      <c r="E2" s="46"/>
      <c r="F2" s="46"/>
      <c r="G2" s="46"/>
      <c r="H2" s="46"/>
      <c r="I2" s="46"/>
      <c r="J2" t="str" cm="1">
        <f t="array" ref="J2">_xlfn.LET(_xlpm.yr, B2, _xlpm.title, IFERROR(_xlfn.TEXTBEFORE(C2,"["), C2), _xlpm.base, TRIM(SUBSTITUTE(SUBSTITUTE(SUBSTITUTE(SUBSTITUTE(_xlpm.title,"•"," "),CHAR(160)," "),CHAR(10)," "),"  "," ")), LOWER(_xlpm.yr&amp;"|"&amp;_xlpm.base))</f>
        <v>2014|tunnel carpien</v>
      </c>
      <c r="K2" t="str">
        <f>LOWER($B2 &amp; "|" &amp; $O2)</f>
        <v>2014|tunnel carpien</v>
      </c>
      <c r="L2" t="str" cm="1">
        <f t="array" ref="L2">_xlfn.LET(_xlpm.base, " " &amp; LOWER(TRIM(IFERROR(_xlfn.TEXTBEFORE($C2,"["), $C2))) &amp; " ", _xlpm.s1, SUBSTITUTE(_xlpm.base, " fa ", " fibrillation auriculaire "), _xlpm.s2, SUBSTITUTE(_xlpm.s1, " ep ", " embolie pulmonaire "), _xlpm.s3, SUBSTITUTE(_xlpm.s2, " rgo ", " reflux gastro-oesophagien "), TRIM(_xlpm.s3))</f>
        <v>tunnel carpien</v>
      </c>
      <c r="M2" t="str" cm="1">
        <f t="array" ref="M2">_xlfn.LET(_xlpm.base, " " &amp; LOWER(TRIM($L2)) &amp; " ", _xlpm.s1, SUBSTITUTE(_xlpm.base, " saos ", " syndrome d'apnees obstructives du sommeil "), _xlpm.s2, SUBSTITUTE(_xlpm.s1, " oacr ", " occlusion de l'artere centrale de la retine "), _xlpm.s3, SUBSTITUTE(_xlpm.s2, " hsd ", " hematome sous-dural "), TRIM(_xlpm.s3))</f>
        <v>tunnel carpien</v>
      </c>
      <c r="N2" t="str" cm="1">
        <f t="array" ref="N2">_xlfn.LET(_xlpm.base, " " &amp; LOWER(TRIM($M2))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tunnel carpien</v>
      </c>
      <c r="O2" t="str" cm="1">
        <f t="array" ref="O2">_xlfn.LET(_xlpm.base, " " &amp; LOWER(TRIM($N2))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tunnel carpien</v>
      </c>
    </row>
    <row r="3" spans="1:15" ht="192.75">
      <c r="A3" s="44" t="s">
        <v>1148</v>
      </c>
      <c r="B3" s="44">
        <v>2017</v>
      </c>
      <c r="C3" s="46" t="s">
        <v>1149</v>
      </c>
      <c r="D3" s="46" t="s">
        <v>1150</v>
      </c>
      <c r="E3" s="46" t="s">
        <v>1151</v>
      </c>
      <c r="F3" s="46" t="s">
        <v>1152</v>
      </c>
      <c r="G3" s="46" t="s">
        <v>1153</v>
      </c>
      <c r="H3" s="46" t="s">
        <v>1154</v>
      </c>
      <c r="I3" s="46" t="s">
        <v>1155</v>
      </c>
      <c r="J3" t="str" cm="1">
        <f t="array" ref="J3">_xlfn.LET(_xlpm.yr, B3, _xlpm.title, IFERROR(_xlfn.TEXTBEFORE(C3,"["), C3), _xlpm.base, TRIM(SUBSTITUTE(SUBSTITUTE(SUBSTITUTE(SUBSTITUTE(_xlpm.title,"•"," "),CHAR(160)," "),CHAR(10)," "),"  "," ")), LOWER(_xlpm.yr&amp;"|"&amp;_xlpm.base))</f>
        <v>2017|brulure 2ème degré moitié du visage, tout l’avant-bras circonférenciel, thorax et abdomen = 25% cf répét. de chir plastique 2018</v>
      </c>
      <c r="K3" t="str">
        <f>LOWER($B3 &amp; "|" &amp; $O3)</f>
        <v>2017|brulure 2ème degré • moitié du visage, tout l’avant-bras circonférenciel, thorax et abdomen = 25% • cf répét. de chir plastique 2018</v>
      </c>
      <c r="L3" t="str" cm="1">
        <f t="array" ref="L3">_xlfn.LET(_xlpm.base, " " &amp; LOWER(TRIM(IFERROR(_xlfn.TEXTBEFORE($C3,"["), $C3))) &amp; " ", _xlpm.s1, SUBSTITUTE(_xlpm.base, " fa ", " fibrillation auriculaire "), _xlpm.s2, SUBSTITUTE(_xlpm.s1, " ep ", " embolie pulmonaire "), _xlpm.s3, SUBSTITUTE(_xlpm.s2, " rgo ", " reflux gastro-oesophagien "), TRIM(_xlpm.s3))</f>
        <v>brulure 2ème degré • moitié du visage, tout l’avant-bras circonférenciel, thorax et abdomen = 25% • cf répét. de chir plastique 2018</v>
      </c>
      <c r="M3" t="str" cm="1">
        <f t="array" ref="M3">_xlfn.LET(_xlpm.base, " " &amp; LOWER(TRIM($L3)) &amp; " ", _xlpm.s1, SUBSTITUTE(_xlpm.base, " saos ", " syndrome d'apnees obstructives du sommeil "), _xlpm.s2, SUBSTITUTE(_xlpm.s1, " oacr ", " occlusion de l'artere centrale de la retine "), _xlpm.s3, SUBSTITUTE(_xlpm.s2, " hsd ", " hematome sous-dural "), TRIM(_xlpm.s3))</f>
        <v>brulure 2ème degré • moitié du visage, tout l’avant-bras circonférenciel, thorax et abdomen = 25% • cf répét. de chir plastique 2018</v>
      </c>
      <c r="N3" t="str" cm="1">
        <f t="array" ref="N3">_xlfn.LET(_xlpm.base, " " &amp; LOWER(TRIM($M3))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brulure 2ème degré • moitié du visage, tout l’avant-bras circonférenciel, thorax et abdomen = 25% • cf répét. de chir plastique 2018</v>
      </c>
      <c r="O3" t="str" cm="1">
        <f t="array" ref="O3">_xlfn.LET(_xlpm.base, " " &amp; LOWER(TRIM($N3))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brulure 2ème degré • moitié du visage, tout l’avant-bras circonférenciel, thorax et abdomen = 25% • cf répét. de chir plastique 2018</v>
      </c>
    </row>
    <row r="4" spans="1:15" ht="165">
      <c r="A4" s="44" t="s">
        <v>1148</v>
      </c>
      <c r="B4" s="44">
        <v>2017</v>
      </c>
      <c r="C4" s="46" t="s">
        <v>908</v>
      </c>
      <c r="D4" s="46" t="s">
        <v>1156</v>
      </c>
      <c r="E4" s="46" t="s">
        <v>1157</v>
      </c>
      <c r="F4" s="45" t="s">
        <v>1158</v>
      </c>
      <c r="G4" s="45"/>
      <c r="H4" s="46" t="s">
        <v>1159</v>
      </c>
      <c r="I4" s="46" t="s">
        <v>1160</v>
      </c>
      <c r="J4" t="str" cm="1">
        <f t="array" ref="J4">_xlfn.LET(_xlpm.yr, B4, _xlpm.title, IFERROR(_xlfn.TEXTBEFORE(C4,"["), C4), _xlpm.base, TRIM(SUBSTITUTE(SUBSTITUTE(SUBSTITUTE(SUBSTITUTE(_xlpm.title,"•"," "),CHAR(160)," "),CHAR(10)," "),"  "," ")), LOWER(_xlpm.yr&amp;"|"&amp;_xlpm.base))</f>
        <v>2017|morsure de chien</v>
      </c>
      <c r="K4" t="str">
        <f>LOWER($B4 &amp; "|" &amp; $O4)</f>
        <v>2017|morsure de chien</v>
      </c>
      <c r="L4" t="str" cm="1">
        <f t="array" ref="L4">_xlfn.LET(_xlpm.base, " " &amp; LOWER(TRIM(IFERROR(_xlfn.TEXTBEFORE($C4,"["), $C4))) &amp; " ", _xlpm.s1, SUBSTITUTE(_xlpm.base, " fa ", " fibrillation auriculaire "), _xlpm.s2, SUBSTITUTE(_xlpm.s1, " ep ", " embolie pulmonaire "), _xlpm.s3, SUBSTITUTE(_xlpm.s2, " rgo ", " reflux gastro-oesophagien "), TRIM(_xlpm.s3))</f>
        <v>morsure de chien</v>
      </c>
      <c r="M4" t="str" cm="1">
        <f t="array" ref="M4">_xlfn.LET(_xlpm.base, " " &amp; LOWER(TRIM($L4)) &amp; " ", _xlpm.s1, SUBSTITUTE(_xlpm.base, " saos ", " syndrome d'apnees obstructives du sommeil "), _xlpm.s2, SUBSTITUTE(_xlpm.s1, " oacr ", " occlusion de l'artere centrale de la retine "), _xlpm.s3, SUBSTITUTE(_xlpm.s2, " hsd ", " hematome sous-dural "), TRIM(_xlpm.s3))</f>
        <v>morsure de chien</v>
      </c>
      <c r="N4" t="str" cm="1">
        <f t="array" ref="N4">_xlfn.LET(_xlpm.base, " " &amp; LOWER(TRIM($M4))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morsure de chien</v>
      </c>
      <c r="O4" t="str" cm="1">
        <f t="array" ref="O4">_xlfn.LET(_xlpm.base, " " &amp; LOWER(TRIM($N4))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morsure de chien</v>
      </c>
    </row>
    <row r="5" spans="1:15" ht="68.25">
      <c r="A5" s="44" t="s">
        <v>1161</v>
      </c>
      <c r="B5" s="44">
        <v>2013</v>
      </c>
      <c r="C5" s="46" t="s">
        <v>1162</v>
      </c>
      <c r="D5" s="46" t="s">
        <v>1163</v>
      </c>
      <c r="E5" s="45" t="s">
        <v>1164</v>
      </c>
      <c r="F5" s="45"/>
      <c r="G5" s="46" t="s">
        <v>1165</v>
      </c>
      <c r="H5" s="46" t="s">
        <v>1166</v>
      </c>
      <c r="I5" s="46" t="s">
        <v>1167</v>
      </c>
      <c r="J5" t="str" cm="1">
        <f t="array" ref="J5">_xlfn.LET(_xlpm.yr, B5, _xlpm.title, IFERROR(_xlfn.TEXTBEFORE(C5,"["), C5), _xlpm.base, TRIM(SUBSTITUTE(SUBSTITUTE(SUBSTITUTE(SUBSTITUTE(_xlpm.title,"•"," "),CHAR(160)," "),CHAR(10)," "),"  "," ")), LOWER(_xlpm.yr&amp;"|"&amp;_xlpm.base))</f>
        <v>2013|diverticulite aiguë</v>
      </c>
      <c r="K5" t="str">
        <f>LOWER($B5 &amp; "|" &amp; $O5)</f>
        <v>2013|diverticulite aiguë</v>
      </c>
      <c r="L5" t="str" cm="1">
        <f t="array" ref="L5">_xlfn.LET(_xlpm.base, " " &amp; LOWER(TRIM(IFERROR(_xlfn.TEXTBEFORE($C5,"["), $C5))) &amp; " ", _xlpm.s1, SUBSTITUTE(_xlpm.base, " fa ", " fibrillation auriculaire "), _xlpm.s2, SUBSTITUTE(_xlpm.s1, " ep ", " embolie pulmonaire "), _xlpm.s3, SUBSTITUTE(_xlpm.s2, " rgo ", " reflux gastro-oesophagien "), TRIM(_xlpm.s3))</f>
        <v>diverticulite aiguë</v>
      </c>
      <c r="M5" t="str" cm="1">
        <f t="array" ref="M5">_xlfn.LET(_xlpm.base, " " &amp; LOWER(TRIM($L5)) &amp; " ", _xlpm.s1, SUBSTITUTE(_xlpm.base, " saos ", " syndrome d'apnees obstructives du sommeil "), _xlpm.s2, SUBSTITUTE(_xlpm.s1, " oacr ", " occlusion de l'artere centrale de la retine "), _xlpm.s3, SUBSTITUTE(_xlpm.s2, " hsd ", " hematome sous-dural "), TRIM(_xlpm.s3))</f>
        <v>diverticulite aiguë</v>
      </c>
      <c r="N5" t="str" cm="1">
        <f t="array" ref="N5">_xlfn.LET(_xlpm.base, " " &amp; LOWER(TRIM($M5))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diverticulite aiguë</v>
      </c>
      <c r="O5" t="str" cm="1">
        <f t="array" ref="O5">_xlfn.LET(_xlpm.base, " " &amp; LOWER(TRIM($N5))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diverticulite aiguë</v>
      </c>
    </row>
    <row r="6" spans="1:15" ht="68.25">
      <c r="A6" s="44" t="s">
        <v>1161</v>
      </c>
      <c r="B6" s="44">
        <v>2013</v>
      </c>
      <c r="C6" s="45" t="s">
        <v>203</v>
      </c>
      <c r="D6" s="45"/>
      <c r="E6" s="46" t="s">
        <v>1168</v>
      </c>
      <c r="F6" s="45" t="s">
        <v>206</v>
      </c>
      <c r="G6" s="45"/>
      <c r="H6" s="46" t="s">
        <v>1169</v>
      </c>
      <c r="I6" s="46" t="s">
        <v>207</v>
      </c>
      <c r="J6" t="str" cm="1">
        <f t="array" ref="J6">_xlfn.LET(_xlpm.yr, B6, _xlpm.title, IFERROR(_xlfn.TEXTBEFORE(C6,"["), C6), _xlpm.base, TRIM(SUBSTITUTE(SUBSTITUTE(SUBSTITUTE(SUBSTITUTE(_xlpm.title,"•"," "),CHAR(160)," "),CHAR(10)," "),"  "," ")), LOWER(_xlpm.yr&amp;"|"&amp;_xlpm.base))</f>
        <v>2013|pancréatite biliaire</v>
      </c>
      <c r="K6" t="str">
        <f>LOWER($B6 &amp; "|" &amp; $O6)</f>
        <v>2013|pancréatite biliaire</v>
      </c>
      <c r="L6" t="str" cm="1">
        <f t="array" ref="L6">_xlfn.LET(_xlpm.base, " " &amp; LOWER(TRIM(IFERROR(_xlfn.TEXTBEFORE($C6,"["), $C6))) &amp; " ", _xlpm.s1, SUBSTITUTE(_xlpm.base, " fa ", " fibrillation auriculaire "), _xlpm.s2, SUBSTITUTE(_xlpm.s1, " ep ", " embolie pulmonaire "), _xlpm.s3, SUBSTITUTE(_xlpm.s2, " rgo ", " reflux gastro-oesophagien "), TRIM(_xlpm.s3))</f>
        <v>pancréatite biliaire</v>
      </c>
      <c r="M6" t="str" cm="1">
        <f t="array" ref="M6">_xlfn.LET(_xlpm.base, " " &amp; LOWER(TRIM($L6)) &amp; " ", _xlpm.s1, SUBSTITUTE(_xlpm.base, " saos ", " syndrome d'apnees obstructives du sommeil "), _xlpm.s2, SUBSTITUTE(_xlpm.s1, " oacr ", " occlusion de l'artere centrale de la retine "), _xlpm.s3, SUBSTITUTE(_xlpm.s2, " hsd ", " hematome sous-dural "), TRIM(_xlpm.s3))</f>
        <v>pancréatite biliaire</v>
      </c>
      <c r="N6" t="str" cm="1">
        <f t="array" ref="N6">_xlfn.LET(_xlpm.base, " " &amp; LOWER(TRIM($M6))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pancréatite biliaire</v>
      </c>
      <c r="O6" t="str" cm="1">
        <f t="array" ref="O6">_xlfn.LET(_xlpm.base, " " &amp; LOWER(TRIM($N6))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pancréatite biliaire</v>
      </c>
    </row>
    <row r="7" spans="1:15" ht="54.75">
      <c r="A7" s="44" t="s">
        <v>1161</v>
      </c>
      <c r="B7" s="44">
        <v>2014</v>
      </c>
      <c r="C7" s="46" t="s">
        <v>1170</v>
      </c>
      <c r="D7" s="46" t="s">
        <v>1171</v>
      </c>
      <c r="E7" s="46" t="s">
        <v>1172</v>
      </c>
      <c r="F7" s="45" t="s">
        <v>1173</v>
      </c>
      <c r="G7" s="45"/>
      <c r="H7" s="46" t="s">
        <v>1174</v>
      </c>
      <c r="I7" s="46" t="s">
        <v>1175</v>
      </c>
      <c r="J7" t="str" cm="1">
        <f t="array" ref="J7">_xlfn.LET(_xlpm.yr, B7, _xlpm.title, IFERROR(_xlfn.TEXTBEFORE(C7,"["), C7), _xlpm.base, TRIM(SUBSTITUTE(SUBSTITUTE(SUBSTITUTE(SUBSTITUTE(_xlpm.title,"•"," "),CHAR(160)," "),CHAR(10)," "),"  "," ")), LOWER(_xlpm.yr&amp;"|"&amp;_xlpm.base))</f>
        <v>2014|soit cholédocholithiase soit cholécystite cf cas 1 amboss</v>
      </c>
      <c r="K7" t="str">
        <f>LOWER($B7 &amp; "|" &amp; $O7)</f>
        <v>2014|soit cholédocholithiase soit cholécystite • cf cas 1 amboss</v>
      </c>
      <c r="L7" t="str" cm="1">
        <f t="array" ref="L7">_xlfn.LET(_xlpm.base, " " &amp; LOWER(TRIM(IFERROR(_xlfn.TEXTBEFORE($C7,"["), $C7))) &amp; " ", _xlpm.s1, SUBSTITUTE(_xlpm.base, " fa ", " fibrillation auriculaire "), _xlpm.s2, SUBSTITUTE(_xlpm.s1, " ep ", " embolie pulmonaire "), _xlpm.s3, SUBSTITUTE(_xlpm.s2, " rgo ", " reflux gastro-oesophagien "), TRIM(_xlpm.s3))</f>
        <v>soit cholédocholithiase soit cholécystite • cf cas 1 amboss</v>
      </c>
      <c r="M7" t="str" cm="1">
        <f t="array" ref="M7">_xlfn.LET(_xlpm.base, " " &amp; LOWER(TRIM($L7)) &amp; " ", _xlpm.s1, SUBSTITUTE(_xlpm.base, " saos ", " syndrome d'apnees obstructives du sommeil "), _xlpm.s2, SUBSTITUTE(_xlpm.s1, " oacr ", " occlusion de l'artere centrale de la retine "), _xlpm.s3, SUBSTITUTE(_xlpm.s2, " hsd ", " hematome sous-dural "), TRIM(_xlpm.s3))</f>
        <v>soit cholédocholithiase soit cholécystite • cf cas 1 amboss</v>
      </c>
      <c r="N7" t="str" cm="1">
        <f t="array" ref="N7">_xlfn.LET(_xlpm.base, " " &amp; LOWER(TRIM($M7))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soit cholédocholithiase soit cholécystite • cf cas 1 amboss</v>
      </c>
      <c r="O7" t="str" cm="1">
        <f t="array" ref="O7">_xlfn.LET(_xlpm.base, " " &amp; LOWER(TRIM($N7))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soit cholédocholithiase soit cholécystite • cf cas 1 amboss</v>
      </c>
    </row>
    <row r="8" spans="1:15">
      <c r="A8" s="44" t="s">
        <v>1161</v>
      </c>
      <c r="B8" s="44">
        <v>2014</v>
      </c>
      <c r="C8" s="45" t="s">
        <v>322</v>
      </c>
      <c r="D8" s="45"/>
      <c r="E8" s="46"/>
      <c r="F8" s="46"/>
      <c r="G8" s="46"/>
      <c r="H8" s="46"/>
      <c r="I8" s="46"/>
      <c r="J8" t="str" cm="1">
        <f t="array" ref="J8">_xlfn.LET(_xlpm.yr, B8, _xlpm.title, IFERROR(_xlfn.TEXTBEFORE(C8,"["), C8), _xlpm.base, TRIM(SUBSTITUTE(SUBSTITUTE(SUBSTITUTE(SUBSTITUTE(_xlpm.title,"•"," "),CHAR(160)," "),CHAR(10)," "),"  "," ")), LOWER(_xlpm.yr&amp;"|"&amp;_xlpm.base))</f>
        <v>2014|ulcère gastrique</v>
      </c>
      <c r="K8" t="str">
        <f>LOWER($B8 &amp; "|" &amp; $O8)</f>
        <v>2014|ulcère gastrique</v>
      </c>
      <c r="L8" t="str" cm="1">
        <f t="array" ref="L8">_xlfn.LET(_xlpm.base, " " &amp; LOWER(TRIM(IFERROR(_xlfn.TEXTBEFORE($C8,"["), $C8))) &amp; " ", _xlpm.s1, SUBSTITUTE(_xlpm.base, " fa ", " fibrillation auriculaire "), _xlpm.s2, SUBSTITUTE(_xlpm.s1, " ep ", " embolie pulmonaire "), _xlpm.s3, SUBSTITUTE(_xlpm.s2, " rgo ", " reflux gastro-oesophagien "), TRIM(_xlpm.s3))</f>
        <v>ulcère gastrique</v>
      </c>
      <c r="M8" t="str" cm="1">
        <f t="array" ref="M8">_xlfn.LET(_xlpm.base, " " &amp; LOWER(TRIM($L8)) &amp; " ", _xlpm.s1, SUBSTITUTE(_xlpm.base, " saos ", " syndrome d'apnees obstructives du sommeil "), _xlpm.s2, SUBSTITUTE(_xlpm.s1, " oacr ", " occlusion de l'artere centrale de la retine "), _xlpm.s3, SUBSTITUTE(_xlpm.s2, " hsd ", " hematome sous-dural "), TRIM(_xlpm.s3))</f>
        <v>ulcère gastrique</v>
      </c>
      <c r="N8" t="str" cm="1">
        <f t="array" ref="N8">_xlfn.LET(_xlpm.base, " " &amp; LOWER(TRIM($M8))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ulcère gastrique</v>
      </c>
      <c r="O8" t="str" cm="1">
        <f t="array" ref="O8">_xlfn.LET(_xlpm.base, " " &amp; LOWER(TRIM($N8))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ulcère gastrique</v>
      </c>
    </row>
    <row r="9" spans="1:15">
      <c r="A9" s="44" t="s">
        <v>1161</v>
      </c>
      <c r="B9" s="44">
        <v>2015</v>
      </c>
      <c r="C9" s="46" t="s">
        <v>1176</v>
      </c>
      <c r="D9" s="45" t="s">
        <v>1177</v>
      </c>
      <c r="E9" s="45"/>
      <c r="F9" s="46"/>
      <c r="G9" s="46"/>
      <c r="H9" s="46"/>
      <c r="I9" s="46"/>
      <c r="J9" t="str" cm="1">
        <f t="array" ref="J9">_xlfn.LET(_xlpm.yr, B9, _xlpm.title, IFERROR(_xlfn.TEXTBEFORE(C9,"["), C9), _xlpm.base, TRIM(SUBSTITUTE(SUBSTITUTE(SUBSTITUTE(SUBSTITUTE(_xlpm.title,"•"," "),CHAR(160)," "),CHAR(10)," "),"  "," ")), LOWER(_xlpm.yr&amp;"|"&amp;_xlpm.base))</f>
        <v>2015|ileus/cancer du côlon</v>
      </c>
      <c r="K9" t="str">
        <f>LOWER($B9 &amp; "|" &amp; $O9)</f>
        <v>2015|ileus/cancer du côlon</v>
      </c>
      <c r="L9" t="str" cm="1">
        <f t="array" ref="L9">_xlfn.LET(_xlpm.base, " " &amp; LOWER(TRIM(IFERROR(_xlfn.TEXTBEFORE($C9,"["), $C9))) &amp; " ", _xlpm.s1, SUBSTITUTE(_xlpm.base, " fa ", " fibrillation auriculaire "), _xlpm.s2, SUBSTITUTE(_xlpm.s1, " ep ", " embolie pulmonaire "), _xlpm.s3, SUBSTITUTE(_xlpm.s2, " rgo ", " reflux gastro-oesophagien "), TRIM(_xlpm.s3))</f>
        <v>ileus/cancer du côlon</v>
      </c>
      <c r="M9" t="str" cm="1">
        <f t="array" ref="M9">_xlfn.LET(_xlpm.base, " " &amp; LOWER(TRIM($L9)) &amp; " ", _xlpm.s1, SUBSTITUTE(_xlpm.base, " saos ", " syndrome d'apnees obstructives du sommeil "), _xlpm.s2, SUBSTITUTE(_xlpm.s1, " oacr ", " occlusion de l'artere centrale de la retine "), _xlpm.s3, SUBSTITUTE(_xlpm.s2, " hsd ", " hematome sous-dural "), TRIM(_xlpm.s3))</f>
        <v>ileus/cancer du côlon</v>
      </c>
      <c r="N9" t="str" cm="1">
        <f t="array" ref="N9">_xlfn.LET(_xlpm.base, " " &amp; LOWER(TRIM($M9))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ileus/cancer du côlon</v>
      </c>
      <c r="O9" t="str" cm="1">
        <f t="array" ref="O9">_xlfn.LET(_xlpm.base, " " &amp; LOWER(TRIM($N9))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ileus/cancer du côlon</v>
      </c>
    </row>
    <row r="10" spans="1:15" ht="27.75">
      <c r="A10" s="44" t="s">
        <v>1161</v>
      </c>
      <c r="B10" s="44">
        <v>2015</v>
      </c>
      <c r="C10" s="46" t="s">
        <v>1178</v>
      </c>
      <c r="D10" s="46" t="s">
        <v>1179</v>
      </c>
      <c r="E10" s="45" t="s">
        <v>1180</v>
      </c>
      <c r="F10" s="45"/>
      <c r="G10" s="46" t="s">
        <v>1181</v>
      </c>
      <c r="H10" s="46" t="s">
        <v>1182</v>
      </c>
      <c r="I10" s="46" t="s">
        <v>1183</v>
      </c>
      <c r="J10" t="str" cm="1">
        <f t="array" ref="J10">_xlfn.LET(_xlpm.yr, B10, _xlpm.title, IFERROR(_xlfn.TEXTBEFORE(C10,"["), C10), _xlpm.base, TRIM(SUBSTITUTE(SUBSTITUTE(SUBSTITUTE(SUBSTITUTE(_xlpm.title,"•"," "),CHAR(160)," "),CHAR(10)," "),"  "," ")), LOWER(_xlpm.yr&amp;"|"&amp;_xlpm.base))</f>
        <v>2015|rgo</v>
      </c>
      <c r="K10" t="str">
        <f>LOWER($B10 &amp; "|" &amp; $O10)</f>
        <v>2015|reflux gastro-oesophagien</v>
      </c>
      <c r="L10" t="str" cm="1">
        <f t="array" ref="L10">_xlfn.LET(_xlpm.base, " " &amp; LOWER(TRIM(IFERROR(_xlfn.TEXTBEFORE($C10,"["), $C10))) &amp; " ", _xlpm.s1, SUBSTITUTE(_xlpm.base, " fa ", " fibrillation auriculaire "), _xlpm.s2, SUBSTITUTE(_xlpm.s1, " ep ", " embolie pulmonaire "), _xlpm.s3, SUBSTITUTE(_xlpm.s2, " rgo ", " reflux gastro-oesophagien "), TRIM(_xlpm.s3))</f>
        <v>reflux gastro-oesophagien</v>
      </c>
      <c r="M10" t="str" cm="1">
        <f t="array" ref="M10">_xlfn.LET(_xlpm.base, " " &amp; LOWER(TRIM($L10)) &amp; " ", _xlpm.s1, SUBSTITUTE(_xlpm.base, " saos ", " syndrome d'apnees obstructives du sommeil "), _xlpm.s2, SUBSTITUTE(_xlpm.s1, " oacr ", " occlusion de l'artere centrale de la retine "), _xlpm.s3, SUBSTITUTE(_xlpm.s2, " hsd ", " hematome sous-dural "), TRIM(_xlpm.s3))</f>
        <v>reflux gastro-oesophagien</v>
      </c>
      <c r="N10" t="str" cm="1">
        <f t="array" ref="N10">_xlfn.LET(_xlpm.base, " " &amp; LOWER(TRIM($M10))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reflux gastro-oesophagien</v>
      </c>
      <c r="O10" t="str" cm="1">
        <f t="array" ref="O10">_xlfn.LET(_xlpm.base, " " &amp; LOWER(TRIM($N10))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reflux gastro-oesophagien</v>
      </c>
    </row>
    <row r="11" spans="1:15">
      <c r="A11" s="44" t="s">
        <v>1161</v>
      </c>
      <c r="B11" s="44">
        <v>2015</v>
      </c>
      <c r="C11" s="46" t="s">
        <v>1184</v>
      </c>
      <c r="D11" s="45" t="s">
        <v>1185</v>
      </c>
      <c r="E11" s="45"/>
      <c r="F11" s="45"/>
      <c r="G11" s="45"/>
      <c r="H11" s="45"/>
      <c r="I11" s="45"/>
      <c r="J11" t="str" cm="1">
        <f t="array" ref="J11">_xlfn.LET(_xlpm.yr, B11, _xlpm.title, IFERROR(_xlfn.TEXTBEFORE(C11,"["), C11), _xlpm.base, TRIM(SUBSTITUTE(SUBSTITUTE(SUBSTITUTE(SUBSTITUTE(_xlpm.title,"•"," "),CHAR(160)," "),CHAR(10)," "),"  "," ")), LOWER(_xlpm.yr&amp;"|"&amp;_xlpm.base))</f>
        <v>2015|ileus chez patiente polycancereuse</v>
      </c>
      <c r="K11" t="str">
        <f>LOWER($B11 &amp; "|" &amp; $O11)</f>
        <v>2015|ileus chez patiente polycancereuse</v>
      </c>
      <c r="L11" t="str" cm="1">
        <f t="array" ref="L11">_xlfn.LET(_xlpm.base, " " &amp; LOWER(TRIM(IFERROR(_xlfn.TEXTBEFORE($C11,"["), $C11))) &amp; " ", _xlpm.s1, SUBSTITUTE(_xlpm.base, " fa ", " fibrillation auriculaire "), _xlpm.s2, SUBSTITUTE(_xlpm.s1, " ep ", " embolie pulmonaire "), _xlpm.s3, SUBSTITUTE(_xlpm.s2, " rgo ", " reflux gastro-oesophagien "), TRIM(_xlpm.s3))</f>
        <v>ileus chez patiente polycancereuse</v>
      </c>
      <c r="M11" t="str" cm="1">
        <f t="array" ref="M11">_xlfn.LET(_xlpm.base, " " &amp; LOWER(TRIM($L11)) &amp; " ", _xlpm.s1, SUBSTITUTE(_xlpm.base, " saos ", " syndrome d'apnees obstructives du sommeil "), _xlpm.s2, SUBSTITUTE(_xlpm.s1, " oacr ", " occlusion de l'artere centrale de la retine "), _xlpm.s3, SUBSTITUTE(_xlpm.s2, " hsd ", " hematome sous-dural "), TRIM(_xlpm.s3))</f>
        <v>ileus chez patiente polycancereuse</v>
      </c>
      <c r="N11" t="str" cm="1">
        <f t="array" ref="N11">_xlfn.LET(_xlpm.base, " " &amp; LOWER(TRIM($M11))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ileus chez patiente polycancereuse</v>
      </c>
      <c r="O11" t="str" cm="1">
        <f t="array" ref="O11">_xlfn.LET(_xlpm.base, " " &amp; LOWER(TRIM($N11))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ileus chez patiente polycancereuse</v>
      </c>
    </row>
    <row r="12" spans="1:15">
      <c r="A12" s="44" t="s">
        <v>1161</v>
      </c>
      <c r="B12" s="44">
        <v>2015</v>
      </c>
      <c r="C12" s="46" t="s">
        <v>1186</v>
      </c>
      <c r="D12" s="45" t="s">
        <v>1177</v>
      </c>
      <c r="E12" s="45"/>
      <c r="F12" s="46"/>
      <c r="G12" s="46"/>
      <c r="H12" s="46"/>
      <c r="I12" s="46"/>
      <c r="J12" t="str" cm="1">
        <f t="array" ref="J12">_xlfn.LET(_xlpm.yr, B12, _xlpm.title, IFERROR(_xlfn.TEXTBEFORE(C12,"["), C12), _xlpm.base, TRIM(SUBSTITUTE(SUBSTITUTE(SUBSTITUTE(SUBSTITUTE(_xlpm.title,"•"," "),CHAR(160)," "),CHAR(10)," "),"  "," ")), LOWER(_xlpm.yr&amp;"|"&amp;_xlpm.base))</f>
        <v>2015|perforation ulcère gastrique</v>
      </c>
      <c r="K12" t="str">
        <f>LOWER($B12 &amp; "|" &amp; $O12)</f>
        <v>2015|perforation ulcère gastrique</v>
      </c>
      <c r="L12" t="str" cm="1">
        <f t="array" ref="L12">_xlfn.LET(_xlpm.base, " " &amp; LOWER(TRIM(IFERROR(_xlfn.TEXTBEFORE($C12,"["), $C12))) &amp; " ", _xlpm.s1, SUBSTITUTE(_xlpm.base, " fa ", " fibrillation auriculaire "), _xlpm.s2, SUBSTITUTE(_xlpm.s1, " ep ", " embolie pulmonaire "), _xlpm.s3, SUBSTITUTE(_xlpm.s2, " rgo ", " reflux gastro-oesophagien "), TRIM(_xlpm.s3))</f>
        <v>perforation ulcère gastrique</v>
      </c>
      <c r="M12" t="str" cm="1">
        <f t="array" ref="M12">_xlfn.LET(_xlpm.base, " " &amp; LOWER(TRIM($L12)) &amp; " ", _xlpm.s1, SUBSTITUTE(_xlpm.base, " saos ", " syndrome d'apnees obstructives du sommeil "), _xlpm.s2, SUBSTITUTE(_xlpm.s1, " oacr ", " occlusion de l'artere centrale de la retine "), _xlpm.s3, SUBSTITUTE(_xlpm.s2, " hsd ", " hematome sous-dural "), TRIM(_xlpm.s3))</f>
        <v>perforation ulcère gastrique</v>
      </c>
      <c r="N12" t="str" cm="1">
        <f t="array" ref="N12">_xlfn.LET(_xlpm.base, " " &amp; LOWER(TRIM($M12))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perforation ulcère gastrique</v>
      </c>
      <c r="O12" t="str" cm="1">
        <f t="array" ref="O12">_xlfn.LET(_xlpm.base, " " &amp; LOWER(TRIM($N12))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perforation ulcère gastrique</v>
      </c>
    </row>
    <row r="13" spans="1:15" ht="234">
      <c r="A13" s="44" t="s">
        <v>1161</v>
      </c>
      <c r="B13" s="44">
        <v>2015</v>
      </c>
      <c r="C13" s="46" t="s">
        <v>1187</v>
      </c>
      <c r="D13" s="46" t="s">
        <v>1188</v>
      </c>
      <c r="E13" s="46" t="s">
        <v>1189</v>
      </c>
      <c r="F13" s="45" t="s">
        <v>1190</v>
      </c>
      <c r="G13" s="45"/>
      <c r="H13" s="46" t="s">
        <v>1191</v>
      </c>
      <c r="I13" s="46" t="s">
        <v>1192</v>
      </c>
      <c r="J13" t="str" cm="1">
        <f t="array" ref="J13">_xlfn.LET(_xlpm.yr, B13, _xlpm.title, IFERROR(_xlfn.TEXTBEFORE(C13,"["), C13), _xlpm.base, TRIM(SUBSTITUTE(SUBSTITUTE(SUBSTITUTE(SUBSTITUTE(_xlpm.title,"•"," "),CHAR(160)," "),CHAR(10)," "),"  "," ")), LOWER(_xlpm.yr&amp;"|"&amp;_xlpm.base))</f>
        <v>2015|bilan pré-anesthésie cure de hernie inguinale</v>
      </c>
      <c r="K13" t="str">
        <f>LOWER($B13 &amp; "|" &amp; $O13)</f>
        <v>2015|bilan pré-anesthésie cure de hernie inguinale</v>
      </c>
      <c r="L13" t="str" cm="1">
        <f t="array" ref="L13">_xlfn.LET(_xlpm.base, " " &amp; LOWER(TRIM(IFERROR(_xlfn.TEXTBEFORE($C13,"["), $C13))) &amp; " ", _xlpm.s1, SUBSTITUTE(_xlpm.base, " fa ", " fibrillation auriculaire "), _xlpm.s2, SUBSTITUTE(_xlpm.s1, " ep ", " embolie pulmonaire "), _xlpm.s3, SUBSTITUTE(_xlpm.s2, " rgo ", " reflux gastro-oesophagien "), TRIM(_xlpm.s3))</f>
        <v>bilan pré-anesthésie cure de hernie inguinale</v>
      </c>
      <c r="M13" t="str" cm="1">
        <f t="array" ref="M13">_xlfn.LET(_xlpm.base, " " &amp; LOWER(TRIM($L13)) &amp; " ", _xlpm.s1, SUBSTITUTE(_xlpm.base, " saos ", " syndrome d'apnees obstructives du sommeil "), _xlpm.s2, SUBSTITUTE(_xlpm.s1, " oacr ", " occlusion de l'artere centrale de la retine "), _xlpm.s3, SUBSTITUTE(_xlpm.s2, " hsd ", " hematome sous-dural "), TRIM(_xlpm.s3))</f>
        <v>bilan pré-anesthésie cure de hernie inguinale</v>
      </c>
      <c r="N13" t="str" cm="1">
        <f t="array" ref="N13">_xlfn.LET(_xlpm.base, " " &amp; LOWER(TRIM($M13))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bilan pré-anesthésie cure de hernie inguinale</v>
      </c>
      <c r="O13" t="str" cm="1">
        <f t="array" ref="O13">_xlfn.LET(_xlpm.base, " " &amp; LOWER(TRIM($N13))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bilan pré-anesthésie cure de hernie inguinale</v>
      </c>
    </row>
    <row r="14" spans="1:15">
      <c r="A14" s="44" t="s">
        <v>1161</v>
      </c>
      <c r="B14" s="44">
        <v>2016</v>
      </c>
      <c r="C14" s="46" t="s">
        <v>1193</v>
      </c>
      <c r="D14" s="45" t="s">
        <v>1194</v>
      </c>
      <c r="E14" s="45"/>
      <c r="F14" s="46"/>
      <c r="G14" s="46"/>
      <c r="H14" s="46"/>
      <c r="I14" s="46"/>
      <c r="J14" t="str" cm="1">
        <f t="array" ref="J14">_xlfn.LET(_xlpm.yr, B14, _xlpm.title, IFERROR(_xlfn.TEXTBEFORE(C14,"["), C14), _xlpm.base, TRIM(SUBSTITUTE(SUBSTITUTE(SUBSTITUTE(SUBSTITUTE(_xlpm.title,"•"," "),CHAR(160)," "),CHAR(10)," "),"  "," ")), LOWER(_xlpm.yr&amp;"|"&amp;_xlpm.base))</f>
        <v>2016|épigastralgies</v>
      </c>
      <c r="K14" t="str">
        <f>LOWER($B14 &amp; "|" &amp; $O14)</f>
        <v>2016|épigastralgies</v>
      </c>
      <c r="L14" t="str" cm="1">
        <f t="array" ref="L14">_xlfn.LET(_xlpm.base, " " &amp; LOWER(TRIM(IFERROR(_xlfn.TEXTBEFORE($C14,"["), $C14))) &amp; " ", _xlpm.s1, SUBSTITUTE(_xlpm.base, " fa ", " fibrillation auriculaire "), _xlpm.s2, SUBSTITUTE(_xlpm.s1, " ep ", " embolie pulmonaire "), _xlpm.s3, SUBSTITUTE(_xlpm.s2, " rgo ", " reflux gastro-oesophagien "), TRIM(_xlpm.s3))</f>
        <v>épigastralgies</v>
      </c>
      <c r="M14" t="str" cm="1">
        <f t="array" ref="M14">_xlfn.LET(_xlpm.base, " " &amp; LOWER(TRIM($L14)) &amp; " ", _xlpm.s1, SUBSTITUTE(_xlpm.base, " saos ", " syndrome d'apnees obstructives du sommeil "), _xlpm.s2, SUBSTITUTE(_xlpm.s1, " oacr ", " occlusion de l'artere centrale de la retine "), _xlpm.s3, SUBSTITUTE(_xlpm.s2, " hsd ", " hematome sous-dural "), TRIM(_xlpm.s3))</f>
        <v>épigastralgies</v>
      </c>
      <c r="N14" t="str" cm="1">
        <f t="array" ref="N14">_xlfn.LET(_xlpm.base, " " &amp; LOWER(TRIM($M14))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épigastralgies</v>
      </c>
      <c r="O14" t="str" cm="1">
        <f t="array" ref="O14">_xlfn.LET(_xlpm.base, " " &amp; LOWER(TRIM($N14))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épigastralgies</v>
      </c>
    </row>
    <row r="15" spans="1:15" ht="68.25">
      <c r="A15" s="44" t="s">
        <v>1161</v>
      </c>
      <c r="B15" s="44">
        <v>2016</v>
      </c>
      <c r="C15" s="46" t="s">
        <v>1195</v>
      </c>
      <c r="D15" s="46" t="s">
        <v>1196</v>
      </c>
      <c r="E15" s="46" t="s">
        <v>1197</v>
      </c>
      <c r="F15" s="46" t="s">
        <v>1198</v>
      </c>
      <c r="G15" s="46" t="s">
        <v>1199</v>
      </c>
      <c r="H15" s="46" t="s">
        <v>1200</v>
      </c>
      <c r="I15" s="46" t="s">
        <v>1201</v>
      </c>
      <c r="J15" t="str" cm="1">
        <f t="array" ref="J15">_xlfn.LET(_xlpm.yr, B15, _xlpm.title, IFERROR(_xlfn.TEXTBEFORE(C15,"["), C15), _xlpm.base, TRIM(SUBSTITUTE(SUBSTITUTE(SUBSTITUTE(SUBSTITUTE(_xlpm.title,"•"," "),CHAR(160)," "),CHAR(10)," "),"  "," ")), LOWER(_xlpm.yr&amp;"|"&amp;_xlpm.base))</f>
        <v>2016|douleurs épigastrique + méléna cf cas 35 amboss</v>
      </c>
      <c r="K15" t="str">
        <f>LOWER($B15 &amp; "|" &amp; $O15)</f>
        <v>2016|douleurs épigastrique + méléna • cf cas 35 amboss</v>
      </c>
      <c r="L15" t="str" cm="1">
        <f t="array" ref="L15">_xlfn.LET(_xlpm.base, " " &amp; LOWER(TRIM(IFERROR(_xlfn.TEXTBEFORE($C15,"["), $C15))) &amp; " ", _xlpm.s1, SUBSTITUTE(_xlpm.base, " fa ", " fibrillation auriculaire "), _xlpm.s2, SUBSTITUTE(_xlpm.s1, " ep ", " embolie pulmonaire "), _xlpm.s3, SUBSTITUTE(_xlpm.s2, " rgo ", " reflux gastro-oesophagien "), TRIM(_xlpm.s3))</f>
        <v>douleurs épigastrique + méléna • cf cas 35 amboss</v>
      </c>
      <c r="M15" t="str" cm="1">
        <f t="array" ref="M15">_xlfn.LET(_xlpm.base, " " &amp; LOWER(TRIM($L15)) &amp; " ", _xlpm.s1, SUBSTITUTE(_xlpm.base, " saos ", " syndrome d'apnees obstructives du sommeil "), _xlpm.s2, SUBSTITUTE(_xlpm.s1, " oacr ", " occlusion de l'artere centrale de la retine "), _xlpm.s3, SUBSTITUTE(_xlpm.s2, " hsd ", " hematome sous-dural "), TRIM(_xlpm.s3))</f>
        <v>douleurs épigastrique + méléna • cf cas 35 amboss</v>
      </c>
      <c r="N15" t="str" cm="1">
        <f t="array" ref="N15">_xlfn.LET(_xlpm.base, " " &amp; LOWER(TRIM($M15))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douleurs épigastrique + méléna • cf cas 35 amboss</v>
      </c>
      <c r="O15" t="str" cm="1">
        <f t="array" ref="O15">_xlfn.LET(_xlpm.base, " " &amp; LOWER(TRIM($N15))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douleurs épigastrique + méléna • cf cas 35 amboss</v>
      </c>
    </row>
    <row r="16" spans="1:15" ht="83.25">
      <c r="A16" s="44" t="s">
        <v>1161</v>
      </c>
      <c r="B16" s="44">
        <v>2016</v>
      </c>
      <c r="C16" s="46" t="s">
        <v>1202</v>
      </c>
      <c r="D16" s="46" t="s">
        <v>1203</v>
      </c>
      <c r="E16" s="46" t="s">
        <v>1204</v>
      </c>
      <c r="F16" s="46" t="s">
        <v>1205</v>
      </c>
      <c r="G16" s="46" t="s">
        <v>1206</v>
      </c>
      <c r="H16" s="46" t="s">
        <v>1207</v>
      </c>
      <c r="I16" s="46" t="s">
        <v>1208</v>
      </c>
      <c r="J16" t="str" cm="1">
        <f t="array" ref="J16">_xlfn.LET(_xlpm.yr, B16, _xlpm.title, IFERROR(_xlfn.TEXTBEFORE(C16,"["), C16), _xlpm.base, TRIM(SUBSTITUTE(SUBSTITUTE(SUBSTITUTE(SUBSTITUTE(_xlpm.title,"•"," "),CHAR(160)," "),CHAR(10)," "),"  "," ")), LOWER(_xlpm.yr&amp;"|"&amp;_xlpm.base))</f>
        <v>2016|colite à c. difficile</v>
      </c>
      <c r="K16" t="str">
        <f>LOWER($B16 &amp; "|" &amp; $O16)</f>
        <v>2016|colite à c. difficile</v>
      </c>
      <c r="L16" t="str" cm="1">
        <f t="array" ref="L16">_xlfn.LET(_xlpm.base, " " &amp; LOWER(TRIM(IFERROR(_xlfn.TEXTBEFORE($C16,"["), $C16))) &amp; " ", _xlpm.s1, SUBSTITUTE(_xlpm.base, " fa ", " fibrillation auriculaire "), _xlpm.s2, SUBSTITUTE(_xlpm.s1, " ep ", " embolie pulmonaire "), _xlpm.s3, SUBSTITUTE(_xlpm.s2, " rgo ", " reflux gastro-oesophagien "), TRIM(_xlpm.s3))</f>
        <v>colite à c. difficile</v>
      </c>
      <c r="M16" t="str" cm="1">
        <f t="array" ref="M16">_xlfn.LET(_xlpm.base, " " &amp; LOWER(TRIM($L16)) &amp; " ", _xlpm.s1, SUBSTITUTE(_xlpm.base, " saos ", " syndrome d'apnees obstructives du sommeil "), _xlpm.s2, SUBSTITUTE(_xlpm.s1, " oacr ", " occlusion de l'artere centrale de la retine "), _xlpm.s3, SUBSTITUTE(_xlpm.s2, " hsd ", " hematome sous-dural "), TRIM(_xlpm.s3))</f>
        <v>colite à c. difficile</v>
      </c>
      <c r="N16" t="str" cm="1">
        <f t="array" ref="N16">_xlfn.LET(_xlpm.base, " " &amp; LOWER(TRIM($M16))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colite à c. difficile</v>
      </c>
      <c r="O16" t="str" cm="1">
        <f t="array" ref="O16">_xlfn.LET(_xlpm.base, " " &amp; LOWER(TRIM($N16))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colite à c. difficile</v>
      </c>
    </row>
    <row r="17" spans="1:15">
      <c r="A17" s="44" t="s">
        <v>1161</v>
      </c>
      <c r="B17" s="44">
        <v>2017</v>
      </c>
      <c r="C17" s="46" t="s">
        <v>1209</v>
      </c>
      <c r="D17" s="45" t="s">
        <v>1210</v>
      </c>
      <c r="E17" s="45"/>
      <c r="F17" s="45"/>
      <c r="G17" s="45"/>
      <c r="H17" s="46"/>
      <c r="I17" s="46"/>
      <c r="J17" t="str" cm="1">
        <f t="array" ref="J17">_xlfn.LET(_xlpm.yr, B17, _xlpm.title, IFERROR(_xlfn.TEXTBEFORE(C17,"["), C17), _xlpm.base, TRIM(SUBSTITUTE(SUBSTITUTE(SUBSTITUTE(SUBSTITUTE(_xlpm.title,"•"," "),CHAR(160)," "),CHAR(10)," "),"  "," ")), LOWER(_xlpm.yr&amp;"|"&amp;_xlpm.base))</f>
        <v>2017|rcuh ? cf cas 8 amboss</v>
      </c>
      <c r="K17" t="str">
        <f>LOWER($B17 &amp; "|" &amp; $O17)</f>
        <v>2017|rcuh ? • cf cas 8 amboss</v>
      </c>
      <c r="L17" t="str" cm="1">
        <f t="array" ref="L17">_xlfn.LET(_xlpm.base, " " &amp; LOWER(TRIM(IFERROR(_xlfn.TEXTBEFORE($C17,"["), $C17))) &amp; " ", _xlpm.s1, SUBSTITUTE(_xlpm.base, " fa ", " fibrillation auriculaire "), _xlpm.s2, SUBSTITUTE(_xlpm.s1, " ep ", " embolie pulmonaire "), _xlpm.s3, SUBSTITUTE(_xlpm.s2, " rgo ", " reflux gastro-oesophagien "), TRIM(_xlpm.s3))</f>
        <v>rcuh ? • cf cas 8 amboss</v>
      </c>
      <c r="M17" t="str" cm="1">
        <f t="array" ref="M17">_xlfn.LET(_xlpm.base, " " &amp; LOWER(TRIM($L17)) &amp; " ", _xlpm.s1, SUBSTITUTE(_xlpm.base, " saos ", " syndrome d'apnees obstructives du sommeil "), _xlpm.s2, SUBSTITUTE(_xlpm.s1, " oacr ", " occlusion de l'artere centrale de la retine "), _xlpm.s3, SUBSTITUTE(_xlpm.s2, " hsd ", " hematome sous-dural "), TRIM(_xlpm.s3))</f>
        <v>rcuh ? • cf cas 8 amboss</v>
      </c>
      <c r="N17" t="str" cm="1">
        <f t="array" ref="N17">_xlfn.LET(_xlpm.base, " " &amp; LOWER(TRIM($M17))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rcuh ? • cf cas 8 amboss</v>
      </c>
      <c r="O17" t="str" cm="1">
        <f t="array" ref="O17">_xlfn.LET(_xlpm.base, " " &amp; LOWER(TRIM($N17))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rcuh ? • cf cas 8 amboss</v>
      </c>
    </row>
    <row r="18" spans="1:15" ht="41.25">
      <c r="A18" s="44" t="s">
        <v>1161</v>
      </c>
      <c r="B18" s="44">
        <v>2017</v>
      </c>
      <c r="C18" s="46" t="s">
        <v>202</v>
      </c>
      <c r="D18" s="46"/>
      <c r="E18" s="46" t="s">
        <v>674</v>
      </c>
      <c r="F18" s="46" t="s">
        <v>675</v>
      </c>
      <c r="G18" s="46" t="s">
        <v>673</v>
      </c>
      <c r="H18" s="46" t="s">
        <v>1211</v>
      </c>
      <c r="I18" s="46" t="s">
        <v>676</v>
      </c>
      <c r="J18" t="str" cm="1">
        <f t="array" ref="J18">_xlfn.LET(_xlpm.yr, B18, _xlpm.title, IFERROR(_xlfn.TEXTBEFORE(C18,"["), C18), _xlpm.base, TRIM(SUBSTITUTE(SUBSTITUTE(SUBSTITUTE(SUBSTITUTE(_xlpm.title,"•"," "),CHAR(160)," "),CHAR(10)," "),"  "," ")), LOWER(_xlpm.yr&amp;"|"&amp;_xlpm.base))</f>
        <v>2017|pancréatite</v>
      </c>
      <c r="K18" t="str">
        <f>LOWER($B18 &amp; "|" &amp; $O18)</f>
        <v>2017|pancréatite</v>
      </c>
      <c r="L18" t="str" cm="1">
        <f t="array" ref="L18">_xlfn.LET(_xlpm.base, " " &amp; LOWER(TRIM(IFERROR(_xlfn.TEXTBEFORE($C18,"["), $C18))) &amp; " ", _xlpm.s1, SUBSTITUTE(_xlpm.base, " fa ", " fibrillation auriculaire "), _xlpm.s2, SUBSTITUTE(_xlpm.s1, " ep ", " embolie pulmonaire "), _xlpm.s3, SUBSTITUTE(_xlpm.s2, " rgo ", " reflux gastro-oesophagien "), TRIM(_xlpm.s3))</f>
        <v>pancréatite</v>
      </c>
      <c r="M18" t="str" cm="1">
        <f t="array" ref="M18">_xlfn.LET(_xlpm.base, " " &amp; LOWER(TRIM($L18)) &amp; " ", _xlpm.s1, SUBSTITUTE(_xlpm.base, " saos ", " syndrome d'apnees obstructives du sommeil "), _xlpm.s2, SUBSTITUTE(_xlpm.s1, " oacr ", " occlusion de l'artere centrale de la retine "), _xlpm.s3, SUBSTITUTE(_xlpm.s2, " hsd ", " hematome sous-dural "), TRIM(_xlpm.s3))</f>
        <v>pancréatite</v>
      </c>
      <c r="N18" t="str" cm="1">
        <f t="array" ref="N18">_xlfn.LET(_xlpm.base, " " &amp; LOWER(TRIM($M18))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pancréatite</v>
      </c>
      <c r="O18" t="str" cm="1">
        <f t="array" ref="O18">_xlfn.LET(_xlpm.base, " " &amp; LOWER(TRIM($N18))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pancréatite</v>
      </c>
    </row>
    <row r="19" spans="1:15">
      <c r="A19" s="44" t="s">
        <v>1161</v>
      </c>
      <c r="B19" s="44">
        <v>2017</v>
      </c>
      <c r="C19" s="46" t="s">
        <v>1212</v>
      </c>
      <c r="D19" s="46" t="s">
        <v>1213</v>
      </c>
      <c r="E19" s="45" t="s">
        <v>1214</v>
      </c>
      <c r="F19" s="45"/>
      <c r="G19" s="46"/>
      <c r="H19" s="46"/>
      <c r="I19" s="46"/>
      <c r="J19" t="str" cm="1">
        <f t="array" ref="J19">_xlfn.LET(_xlpm.yr, B19, _xlpm.title, IFERROR(_xlfn.TEXTBEFORE(C19,"["), C19), _xlpm.base, TRIM(SUBSTITUTE(SUBSTITUTE(SUBSTITUTE(SUBSTITUTE(_xlpm.title,"•"," "),CHAR(160)," "),CHAR(10)," "),"  "," ")), LOWER(_xlpm.yr&amp;"|"&amp;_xlpm.base))</f>
        <v>2017|gastrite/œsophagite</v>
      </c>
      <c r="K19" t="str">
        <f>LOWER($B19 &amp; "|" &amp; $O19)</f>
        <v>2017|gastrite/œsophagite</v>
      </c>
      <c r="L19" t="str" cm="1">
        <f t="array" ref="L19">_xlfn.LET(_xlpm.base, " " &amp; LOWER(TRIM(IFERROR(_xlfn.TEXTBEFORE($C19,"["), $C19))) &amp; " ", _xlpm.s1, SUBSTITUTE(_xlpm.base, " fa ", " fibrillation auriculaire "), _xlpm.s2, SUBSTITUTE(_xlpm.s1, " ep ", " embolie pulmonaire "), _xlpm.s3, SUBSTITUTE(_xlpm.s2, " rgo ", " reflux gastro-oesophagien "), TRIM(_xlpm.s3))</f>
        <v>gastrite/œsophagite</v>
      </c>
      <c r="M19" t="str" cm="1">
        <f t="array" ref="M19">_xlfn.LET(_xlpm.base, " " &amp; LOWER(TRIM($L19)) &amp; " ", _xlpm.s1, SUBSTITUTE(_xlpm.base, " saos ", " syndrome d'apnees obstructives du sommeil "), _xlpm.s2, SUBSTITUTE(_xlpm.s1, " oacr ", " occlusion de l'artere centrale de la retine "), _xlpm.s3, SUBSTITUTE(_xlpm.s2, " hsd ", " hematome sous-dural "), TRIM(_xlpm.s3))</f>
        <v>gastrite/œsophagite</v>
      </c>
      <c r="N19" t="str" cm="1">
        <f t="array" ref="N19">_xlfn.LET(_xlpm.base, " " &amp; LOWER(TRIM($M19))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gastrite/œsophagite</v>
      </c>
      <c r="O19" t="str" cm="1">
        <f t="array" ref="O19">_xlfn.LET(_xlpm.base, " " &amp; LOWER(TRIM($N19))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gastrite/œsophagite</v>
      </c>
    </row>
    <row r="20" spans="1:15" ht="68.25">
      <c r="A20" s="44" t="s">
        <v>1215</v>
      </c>
      <c r="B20" s="44">
        <v>2013</v>
      </c>
      <c r="C20" s="46" t="s">
        <v>177</v>
      </c>
      <c r="D20" s="46" t="s">
        <v>1216</v>
      </c>
      <c r="E20" s="46" t="s">
        <v>1217</v>
      </c>
      <c r="F20" s="46" t="s">
        <v>181</v>
      </c>
      <c r="G20" s="46" t="s">
        <v>178</v>
      </c>
      <c r="H20" s="46" t="s">
        <v>1218</v>
      </c>
      <c r="I20" s="46" t="s">
        <v>182</v>
      </c>
      <c r="J20" t="str" cm="1">
        <f t="array" ref="J20">_xlfn.LET(_xlpm.yr, B20, _xlpm.title, IFERROR(_xlfn.TEXTBEFORE(C20,"["), C20), _xlpm.base, TRIM(SUBSTITUTE(SUBSTITUTE(SUBSTITUTE(SUBSTITUTE(_xlpm.title,"•"," "),CHAR(160)," "),CHAR(10)," "),"  "," ")), LOWER(_xlpm.yr&amp;"|"&amp;_xlpm.base))</f>
        <v>2013|dermohypodermite</v>
      </c>
      <c r="K20" t="str">
        <f>LOWER($B20 &amp; "|" &amp; $O20)</f>
        <v>2013|dermohypodermite</v>
      </c>
      <c r="L20" t="str" cm="1">
        <f t="array" ref="L20">_xlfn.LET(_xlpm.base, " " &amp; LOWER(TRIM(IFERROR(_xlfn.TEXTBEFORE($C20,"["), $C20))) &amp; " ", _xlpm.s1, SUBSTITUTE(_xlpm.base, " fa ", " fibrillation auriculaire "), _xlpm.s2, SUBSTITUTE(_xlpm.s1, " ep ", " embolie pulmonaire "), _xlpm.s3, SUBSTITUTE(_xlpm.s2, " rgo ", " reflux gastro-oesophagien "), TRIM(_xlpm.s3))</f>
        <v>dermohypodermite</v>
      </c>
      <c r="M20" t="str" cm="1">
        <f t="array" ref="M20">_xlfn.LET(_xlpm.base, " " &amp; LOWER(TRIM($L20)) &amp; " ", _xlpm.s1, SUBSTITUTE(_xlpm.base, " saos ", " syndrome d'apnees obstructives du sommeil "), _xlpm.s2, SUBSTITUTE(_xlpm.s1, " oacr ", " occlusion de l'artere centrale de la retine "), _xlpm.s3, SUBSTITUTE(_xlpm.s2, " hsd ", " hematome sous-dural "), TRIM(_xlpm.s3))</f>
        <v>dermohypodermite</v>
      </c>
      <c r="N20" t="str" cm="1">
        <f t="array" ref="N20">_xlfn.LET(_xlpm.base, " " &amp; LOWER(TRIM($M20))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dermohypodermite</v>
      </c>
      <c r="O20" t="str" cm="1">
        <f t="array" ref="O20">_xlfn.LET(_xlpm.base, " " &amp; LOWER(TRIM($N20))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dermohypodermite</v>
      </c>
    </row>
    <row r="21" spans="1:15" ht="151.5">
      <c r="A21" s="44" t="s">
        <v>1215</v>
      </c>
      <c r="B21" s="44">
        <v>2013</v>
      </c>
      <c r="C21" s="46" t="s">
        <v>1219</v>
      </c>
      <c r="D21" s="46" t="s">
        <v>1220</v>
      </c>
      <c r="E21" s="46" t="s">
        <v>1221</v>
      </c>
      <c r="F21" s="46" t="s">
        <v>1222</v>
      </c>
      <c r="G21" s="46" t="s">
        <v>1223</v>
      </c>
      <c r="H21" s="46" t="s">
        <v>1224</v>
      </c>
      <c r="I21" s="46" t="s">
        <v>1225</v>
      </c>
      <c r="J21" t="str" cm="1">
        <f t="array" ref="J21">_xlfn.LET(_xlpm.yr, B21, _xlpm.title, IFERROR(_xlfn.TEXTBEFORE(C21,"["), C21), _xlpm.base, TRIM(SUBSTITUTE(SUBSTITUTE(SUBSTITUTE(SUBSTITUTE(_xlpm.title,"•"," "),CHAR(160)," "),CHAR(10)," "),"  "," ")), LOWER(_xlpm.yr&amp;"|"&amp;_xlpm.base))</f>
        <v>2013|prurit généralisé</v>
      </c>
      <c r="K21" t="str">
        <f>LOWER($B21 &amp; "|" &amp; $O21)</f>
        <v>2013|prurit généralisé</v>
      </c>
      <c r="L21" t="str" cm="1">
        <f t="array" ref="L21">_xlfn.LET(_xlpm.base, " " &amp; LOWER(TRIM(IFERROR(_xlfn.TEXTBEFORE($C21,"["), $C21))) &amp; " ", _xlpm.s1, SUBSTITUTE(_xlpm.base, " fa ", " fibrillation auriculaire "), _xlpm.s2, SUBSTITUTE(_xlpm.s1, " ep ", " embolie pulmonaire "), _xlpm.s3, SUBSTITUTE(_xlpm.s2, " rgo ", " reflux gastro-oesophagien "), TRIM(_xlpm.s3))</f>
        <v>prurit généralisé</v>
      </c>
      <c r="M21" t="str" cm="1">
        <f t="array" ref="M21">_xlfn.LET(_xlpm.base, " " &amp; LOWER(TRIM($L21)) &amp; " ", _xlpm.s1, SUBSTITUTE(_xlpm.base, " saos ", " syndrome d'apnees obstructives du sommeil "), _xlpm.s2, SUBSTITUTE(_xlpm.s1, " oacr ", " occlusion de l'artere centrale de la retine "), _xlpm.s3, SUBSTITUTE(_xlpm.s2, " hsd ", " hematome sous-dural "), TRIM(_xlpm.s3))</f>
        <v>prurit généralisé</v>
      </c>
      <c r="N21" t="str" cm="1">
        <f t="array" ref="N21">_xlfn.LET(_xlpm.base, " " &amp; LOWER(TRIM($M21))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prurit généralisé</v>
      </c>
      <c r="O21" t="str" cm="1">
        <f t="array" ref="O21">_xlfn.LET(_xlpm.base, " " &amp; LOWER(TRIM($N21))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prurit généralisé</v>
      </c>
    </row>
    <row r="22" spans="1:15" ht="96.75">
      <c r="A22" s="44" t="s">
        <v>1215</v>
      </c>
      <c r="B22" s="44">
        <v>2013</v>
      </c>
      <c r="C22" s="46" t="s">
        <v>184</v>
      </c>
      <c r="D22" s="46" t="s">
        <v>1226</v>
      </c>
      <c r="E22" s="46" t="s">
        <v>1227</v>
      </c>
      <c r="F22" s="46" t="s">
        <v>187</v>
      </c>
      <c r="G22" s="46" t="s">
        <v>185</v>
      </c>
      <c r="H22" s="46" t="s">
        <v>1228</v>
      </c>
      <c r="I22" s="46" t="s">
        <v>188</v>
      </c>
      <c r="J22" t="str" cm="1">
        <f t="array" ref="J22">_xlfn.LET(_xlpm.yr, B22, _xlpm.title, IFERROR(_xlfn.TEXTBEFORE(C22,"["), C22), _xlpm.base, TRIM(SUBSTITUTE(SUBSTITUTE(SUBSTITUTE(SUBSTITUTE(_xlpm.title,"•"," "),CHAR(160)," "),CHAR(10)," "),"  "," ")), LOWER(_xlpm.yr&amp;"|"&amp;_xlpm.base))</f>
        <v>2013|eczéma</v>
      </c>
      <c r="K22" t="str">
        <f>LOWER($B22 &amp; "|" &amp; $O22)</f>
        <v>2013|eczéma</v>
      </c>
      <c r="L22" t="str" cm="1">
        <f t="array" ref="L22">_xlfn.LET(_xlpm.base, " " &amp; LOWER(TRIM(IFERROR(_xlfn.TEXTBEFORE($C22,"["), $C22))) &amp; " ", _xlpm.s1, SUBSTITUTE(_xlpm.base, " fa ", " fibrillation auriculaire "), _xlpm.s2, SUBSTITUTE(_xlpm.s1, " ep ", " embolie pulmonaire "), _xlpm.s3, SUBSTITUTE(_xlpm.s2, " rgo ", " reflux gastro-oesophagien "), TRIM(_xlpm.s3))</f>
        <v>eczéma</v>
      </c>
      <c r="M22" t="str" cm="1">
        <f t="array" ref="M22">_xlfn.LET(_xlpm.base, " " &amp; LOWER(TRIM($L22)) &amp; " ", _xlpm.s1, SUBSTITUTE(_xlpm.base, " saos ", " syndrome d'apnees obstructives du sommeil "), _xlpm.s2, SUBSTITUTE(_xlpm.s1, " oacr ", " occlusion de l'artere centrale de la retine "), _xlpm.s3, SUBSTITUTE(_xlpm.s2, " hsd ", " hematome sous-dural "), TRIM(_xlpm.s3))</f>
        <v>eczéma</v>
      </c>
      <c r="N22" t="str" cm="1">
        <f t="array" ref="N22">_xlfn.LET(_xlpm.base, " " &amp; LOWER(TRIM($M22))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eczéma</v>
      </c>
      <c r="O22" t="str" cm="1">
        <f t="array" ref="O22">_xlfn.LET(_xlpm.base, " " &amp; LOWER(TRIM($N22))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eczéma</v>
      </c>
    </row>
    <row r="23" spans="1:15" ht="151.5">
      <c r="A23" s="44" t="s">
        <v>1215</v>
      </c>
      <c r="B23" s="44">
        <v>2014</v>
      </c>
      <c r="C23" s="46" t="s">
        <v>1229</v>
      </c>
      <c r="D23" s="46" t="s">
        <v>1230</v>
      </c>
      <c r="E23" s="46" t="s">
        <v>1231</v>
      </c>
      <c r="F23" s="46" t="s">
        <v>1232</v>
      </c>
      <c r="G23" s="46" t="s">
        <v>1233</v>
      </c>
      <c r="H23" s="46" t="s">
        <v>1234</v>
      </c>
      <c r="I23" s="46" t="s">
        <v>1235</v>
      </c>
      <c r="J23" t="str" cm="1">
        <f t="array" ref="J23">_xlfn.LET(_xlpm.yr, B23, _xlpm.title, IFERROR(_xlfn.TEXTBEFORE(C23,"["), C23), _xlpm.base, TRIM(SUBSTITUTE(SUBSTITUTE(SUBSTITUTE(SUBSTITUTE(_xlpm.title,"•"," "),CHAR(160)," "),CHAR(10)," "),"  "," ")), LOWER(_xlpm.yr&amp;"|"&amp;_xlpm.base))</f>
        <v>2014|syphilis 2°</v>
      </c>
      <c r="K23" t="str">
        <f>LOWER($B23 &amp; "|" &amp; $O23)</f>
        <v>2014|syphilis 2°</v>
      </c>
      <c r="L23" t="str" cm="1">
        <f t="array" ref="L23">_xlfn.LET(_xlpm.base, " " &amp; LOWER(TRIM(IFERROR(_xlfn.TEXTBEFORE($C23,"["), $C23))) &amp; " ", _xlpm.s1, SUBSTITUTE(_xlpm.base, " fa ", " fibrillation auriculaire "), _xlpm.s2, SUBSTITUTE(_xlpm.s1, " ep ", " embolie pulmonaire "), _xlpm.s3, SUBSTITUTE(_xlpm.s2, " rgo ", " reflux gastro-oesophagien "), TRIM(_xlpm.s3))</f>
        <v>syphilis 2°</v>
      </c>
      <c r="M23" t="str" cm="1">
        <f t="array" ref="M23">_xlfn.LET(_xlpm.base, " " &amp; LOWER(TRIM($L23)) &amp; " ", _xlpm.s1, SUBSTITUTE(_xlpm.base, " saos ", " syndrome d'apnees obstructives du sommeil "), _xlpm.s2, SUBSTITUTE(_xlpm.s1, " oacr ", " occlusion de l'artere centrale de la retine "), _xlpm.s3, SUBSTITUTE(_xlpm.s2, " hsd ", " hematome sous-dural "), TRIM(_xlpm.s3))</f>
        <v>syphilis 2°</v>
      </c>
      <c r="N23" t="str" cm="1">
        <f t="array" ref="N23">_xlfn.LET(_xlpm.base, " " &amp; LOWER(TRIM($M23))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syphilis 2°</v>
      </c>
      <c r="O23" t="str" cm="1">
        <f t="array" ref="O23">_xlfn.LET(_xlpm.base, " " &amp; LOWER(TRIM($N23))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syphilis 2°</v>
      </c>
    </row>
    <row r="24" spans="1:15" ht="110.25">
      <c r="A24" s="44" t="s">
        <v>1215</v>
      </c>
      <c r="B24" s="44">
        <v>2014</v>
      </c>
      <c r="C24" s="46" t="s">
        <v>1236</v>
      </c>
      <c r="D24" s="46" t="s">
        <v>1237</v>
      </c>
      <c r="E24" s="46" t="s">
        <v>1238</v>
      </c>
      <c r="F24" s="46" t="s">
        <v>1239</v>
      </c>
      <c r="G24" s="46" t="s">
        <v>1240</v>
      </c>
      <c r="H24" s="46" t="s">
        <v>1241</v>
      </c>
      <c r="I24" s="46" t="s">
        <v>1242</v>
      </c>
      <c r="J24" t="str" cm="1">
        <f t="array" ref="J24">_xlfn.LET(_xlpm.yr, B24, _xlpm.title, IFERROR(_xlfn.TEXTBEFORE(C24,"["), C24), _xlpm.base, TRIM(SUBSTITUTE(SUBSTITUTE(SUBSTITUTE(SUBSTITUTE(_xlpm.title,"•"," "),CHAR(160)," "),CHAR(10)," "),"  "," ")), LOWER(_xlpm.yr&amp;"|"&amp;_xlpm.base))</f>
        <v>2014|scarlatine ?</v>
      </c>
      <c r="K24" t="str">
        <f>LOWER($B24 &amp; "|" &amp; $O24)</f>
        <v>2014|scarlatine ?</v>
      </c>
      <c r="L24" t="str" cm="1">
        <f t="array" ref="L24">_xlfn.LET(_xlpm.base, " " &amp; LOWER(TRIM(IFERROR(_xlfn.TEXTBEFORE($C24,"["), $C24))) &amp; " ", _xlpm.s1, SUBSTITUTE(_xlpm.base, " fa ", " fibrillation auriculaire "), _xlpm.s2, SUBSTITUTE(_xlpm.s1, " ep ", " embolie pulmonaire "), _xlpm.s3, SUBSTITUTE(_xlpm.s2, " rgo ", " reflux gastro-oesophagien "), TRIM(_xlpm.s3))</f>
        <v>scarlatine ?</v>
      </c>
      <c r="M24" t="str" cm="1">
        <f t="array" ref="M24">_xlfn.LET(_xlpm.base, " " &amp; LOWER(TRIM($L24)) &amp; " ", _xlpm.s1, SUBSTITUTE(_xlpm.base, " saos ", " syndrome d'apnees obstructives du sommeil "), _xlpm.s2, SUBSTITUTE(_xlpm.s1, " oacr ", " occlusion de l'artere centrale de la retine "), _xlpm.s3, SUBSTITUTE(_xlpm.s2, " hsd ", " hematome sous-dural "), TRIM(_xlpm.s3))</f>
        <v>scarlatine ?</v>
      </c>
      <c r="N24" t="str" cm="1">
        <f t="array" ref="N24">_xlfn.LET(_xlpm.base, " " &amp; LOWER(TRIM($M24))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scarlatine ?</v>
      </c>
      <c r="O24" t="str" cm="1">
        <f t="array" ref="O24">_xlfn.LET(_xlpm.base, " " &amp; LOWER(TRIM($N24))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scarlatine ?</v>
      </c>
    </row>
    <row r="25" spans="1:15" ht="96.75">
      <c r="A25" s="44" t="s">
        <v>1215</v>
      </c>
      <c r="B25" s="44">
        <v>2015</v>
      </c>
      <c r="C25" s="46" t="s">
        <v>437</v>
      </c>
      <c r="D25" s="46" t="s">
        <v>1243</v>
      </c>
      <c r="E25" s="46" t="s">
        <v>1244</v>
      </c>
      <c r="F25" s="46" t="s">
        <v>440</v>
      </c>
      <c r="G25" s="46" t="s">
        <v>438</v>
      </c>
      <c r="H25" s="46" t="s">
        <v>1245</v>
      </c>
      <c r="I25" s="46" t="s">
        <v>441</v>
      </c>
      <c r="J25" t="str" cm="1">
        <f t="array" ref="J25">_xlfn.LET(_xlpm.yr, B25, _xlpm.title, IFERROR(_xlfn.TEXTBEFORE(C25,"["), C25), _xlpm.base, TRIM(SUBSTITUTE(SUBSTITUTE(SUBSTITUTE(SUBSTITUTE(_xlpm.title,"•"," "),CHAR(160)," "),CHAR(10)," "),"  "," ")), LOWER(_xlpm.yr&amp;"|"&amp;_xlpm.base))</f>
        <v>2015|dermatite atopique</v>
      </c>
      <c r="K25" t="str">
        <f>LOWER($B25 &amp; "|" &amp; $O25)</f>
        <v>2015|dermatite atopique</v>
      </c>
      <c r="L25" t="str" cm="1">
        <f t="array" ref="L25">_xlfn.LET(_xlpm.base, " " &amp; LOWER(TRIM(IFERROR(_xlfn.TEXTBEFORE($C25,"["), $C25))) &amp; " ", _xlpm.s1, SUBSTITUTE(_xlpm.base, " fa ", " fibrillation auriculaire "), _xlpm.s2, SUBSTITUTE(_xlpm.s1, " ep ", " embolie pulmonaire "), _xlpm.s3, SUBSTITUTE(_xlpm.s2, " rgo ", " reflux gastro-oesophagien "), TRIM(_xlpm.s3))</f>
        <v>dermatite atopique</v>
      </c>
      <c r="M25" t="str" cm="1">
        <f t="array" ref="M25">_xlfn.LET(_xlpm.base, " " &amp; LOWER(TRIM($L25)) &amp; " ", _xlpm.s1, SUBSTITUTE(_xlpm.base, " saos ", " syndrome d'apnees obstructives du sommeil "), _xlpm.s2, SUBSTITUTE(_xlpm.s1, " oacr ", " occlusion de l'artere centrale de la retine "), _xlpm.s3, SUBSTITUTE(_xlpm.s2, " hsd ", " hematome sous-dural "), TRIM(_xlpm.s3))</f>
        <v>dermatite atopique</v>
      </c>
      <c r="N25" t="str" cm="1">
        <f t="array" ref="N25">_xlfn.LET(_xlpm.base, " " &amp; LOWER(TRIM($M25))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dermatite atopique</v>
      </c>
      <c r="O25" t="str" cm="1">
        <f t="array" ref="O25">_xlfn.LET(_xlpm.base, " " &amp; LOWER(TRIM($N25))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dermatite atopique</v>
      </c>
    </row>
    <row r="26" spans="1:15" ht="124.5">
      <c r="A26" s="44" t="s">
        <v>1215</v>
      </c>
      <c r="B26" s="44">
        <v>2015</v>
      </c>
      <c r="C26" s="46" t="s">
        <v>1246</v>
      </c>
      <c r="D26" s="46" t="s">
        <v>1247</v>
      </c>
      <c r="E26" s="46" t="s">
        <v>1248</v>
      </c>
      <c r="F26" s="46" t="s">
        <v>1249</v>
      </c>
      <c r="G26" s="46" t="s">
        <v>1250</v>
      </c>
      <c r="H26" s="46" t="s">
        <v>1251</v>
      </c>
      <c r="I26" s="46" t="s">
        <v>1252</v>
      </c>
      <c r="J26" t="str" cm="1">
        <f t="array" ref="J26">_xlfn.LET(_xlpm.yr, B26, _xlpm.title, IFERROR(_xlfn.TEXTBEFORE(C26,"["), C26), _xlpm.base, TRIM(SUBSTITUTE(SUBSTITUTE(SUBSTITUTE(SUBSTITUTE(_xlpm.title,"•"," "),CHAR(160)," "),CHAR(10)," "),"  "," ")), LOWER(_xlpm.yr&amp;"|"&amp;_xlpm.base))</f>
        <v>2015|pityriasis versicolor, homme 25 ans, est allé à la piscine</v>
      </c>
      <c r="K26" t="str">
        <f>LOWER($B26 &amp; "|" &amp; $O26)</f>
        <v>2015|pityriasis versicolor, homme 25 ans, est allé à la piscine</v>
      </c>
      <c r="L26" t="str" cm="1">
        <f t="array" ref="L26">_xlfn.LET(_xlpm.base, " " &amp; LOWER(TRIM(IFERROR(_xlfn.TEXTBEFORE($C26,"["), $C26))) &amp; " ", _xlpm.s1, SUBSTITUTE(_xlpm.base, " fa ", " fibrillation auriculaire "), _xlpm.s2, SUBSTITUTE(_xlpm.s1, " ep ", " embolie pulmonaire "), _xlpm.s3, SUBSTITUTE(_xlpm.s2, " rgo ", " reflux gastro-oesophagien "), TRIM(_xlpm.s3))</f>
        <v>pityriasis versicolor, homme 25 ans, est allé à la piscine</v>
      </c>
      <c r="M26" t="str" cm="1">
        <f t="array" ref="M26">_xlfn.LET(_xlpm.base, " " &amp; LOWER(TRIM($L26)) &amp; " ", _xlpm.s1, SUBSTITUTE(_xlpm.base, " saos ", " syndrome d'apnees obstructives du sommeil "), _xlpm.s2, SUBSTITUTE(_xlpm.s1, " oacr ", " occlusion de l'artere centrale de la retine "), _xlpm.s3, SUBSTITUTE(_xlpm.s2, " hsd ", " hematome sous-dural "), TRIM(_xlpm.s3))</f>
        <v>pityriasis versicolor, homme 25 ans, est allé à la piscine</v>
      </c>
      <c r="N26" t="str" cm="1">
        <f t="array" ref="N26">_xlfn.LET(_xlpm.base, " " &amp; LOWER(TRIM($M26))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pityriasis versicolor, homme 25 ans, est allé à la piscine</v>
      </c>
      <c r="O26" t="str" cm="1">
        <f t="array" ref="O26">_xlfn.LET(_xlpm.base, " " &amp; LOWER(TRIM($N26))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pityriasis versicolor, homme 25 ans, est allé à la piscine</v>
      </c>
    </row>
    <row r="27" spans="1:15" ht="83.25">
      <c r="A27" s="44" t="s">
        <v>1215</v>
      </c>
      <c r="B27" s="44">
        <v>2015</v>
      </c>
      <c r="C27" s="46" t="s">
        <v>432</v>
      </c>
      <c r="D27" s="46" t="s">
        <v>1253</v>
      </c>
      <c r="E27" s="46" t="s">
        <v>1254</v>
      </c>
      <c r="F27" s="46" t="s">
        <v>435</v>
      </c>
      <c r="G27" s="46" t="s">
        <v>433</v>
      </c>
      <c r="H27" s="46" t="s">
        <v>1255</v>
      </c>
      <c r="I27" s="46" t="s">
        <v>436</v>
      </c>
      <c r="J27" t="str" cm="1">
        <f t="array" ref="J27">_xlfn.LET(_xlpm.yr, B27, _xlpm.title, IFERROR(_xlfn.TEXTBEFORE(C27,"["), C27), _xlpm.base, TRIM(SUBSTITUTE(SUBSTITUTE(SUBSTITUTE(SUBSTITUTE(_xlpm.title,"•"," "),CHAR(160)," "),CHAR(10)," "),"  "," ")), LOWER(_xlpm.yr&amp;"|"&amp;_xlpm.base))</f>
        <v>2015|acné</v>
      </c>
      <c r="K27" t="str">
        <f>LOWER($B27 &amp; "|" &amp; $O27)</f>
        <v>2015|acné</v>
      </c>
      <c r="L27" t="str" cm="1">
        <f t="array" ref="L27">_xlfn.LET(_xlpm.base, " " &amp; LOWER(TRIM(IFERROR(_xlfn.TEXTBEFORE($C27,"["), $C27))) &amp; " ", _xlpm.s1, SUBSTITUTE(_xlpm.base, " fa ", " fibrillation auriculaire "), _xlpm.s2, SUBSTITUTE(_xlpm.s1, " ep ", " embolie pulmonaire "), _xlpm.s3, SUBSTITUTE(_xlpm.s2, " rgo ", " reflux gastro-oesophagien "), TRIM(_xlpm.s3))</f>
        <v>acné</v>
      </c>
      <c r="M27" t="str" cm="1">
        <f t="array" ref="M27">_xlfn.LET(_xlpm.base, " " &amp; LOWER(TRIM($L27)) &amp; " ", _xlpm.s1, SUBSTITUTE(_xlpm.base, " saos ", " syndrome d'apnees obstructives du sommeil "), _xlpm.s2, SUBSTITUTE(_xlpm.s1, " oacr ", " occlusion de l'artere centrale de la retine "), _xlpm.s3, SUBSTITUTE(_xlpm.s2, " hsd ", " hematome sous-dural "), TRIM(_xlpm.s3))</f>
        <v>acné</v>
      </c>
      <c r="N27" t="str" cm="1">
        <f t="array" ref="N27">_xlfn.LET(_xlpm.base, " " &amp; LOWER(TRIM($M27))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acné</v>
      </c>
      <c r="O27" t="str" cm="1">
        <f t="array" ref="O27">_xlfn.LET(_xlpm.base, " " &amp; LOWER(TRIM($N27))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acné</v>
      </c>
    </row>
    <row r="28" spans="1:15" ht="179.25">
      <c r="A28" s="44" t="s">
        <v>1215</v>
      </c>
      <c r="B28" s="44">
        <v>2016</v>
      </c>
      <c r="C28" s="46" t="s">
        <v>1256</v>
      </c>
      <c r="D28" s="46" t="s">
        <v>1257</v>
      </c>
      <c r="E28" s="46" t="s">
        <v>1258</v>
      </c>
      <c r="F28" s="46" t="s">
        <v>1259</v>
      </c>
      <c r="G28" s="46" t="s">
        <v>1260</v>
      </c>
      <c r="H28" s="46" t="s">
        <v>1261</v>
      </c>
      <c r="I28" s="46" t="s">
        <v>1262</v>
      </c>
      <c r="J28" t="str" cm="1">
        <f t="array" ref="J28">_xlfn.LET(_xlpm.yr, B28, _xlpm.title, IFERROR(_xlfn.TEXTBEFORE(C28,"["), C28), _xlpm.base, TRIM(SUBSTITUTE(SUBSTITUTE(SUBSTITUTE(SUBSTITUTE(_xlpm.title,"•"," "),CHAR(160)," "),CHAR(10)," "),"  "," ")), LOWER(_xlpm.yr&amp;"|"&amp;_xlpm.base))</f>
        <v>2016|stevens-johnson</v>
      </c>
      <c r="K28" t="str">
        <f>LOWER($B28 &amp; "|" &amp; $O28)</f>
        <v>2016|stevens-johnson</v>
      </c>
      <c r="L28" t="str" cm="1">
        <f t="array" ref="L28">_xlfn.LET(_xlpm.base, " " &amp; LOWER(TRIM(IFERROR(_xlfn.TEXTBEFORE($C28,"["), $C28))) &amp; " ", _xlpm.s1, SUBSTITUTE(_xlpm.base, " fa ", " fibrillation auriculaire "), _xlpm.s2, SUBSTITUTE(_xlpm.s1, " ep ", " embolie pulmonaire "), _xlpm.s3, SUBSTITUTE(_xlpm.s2, " rgo ", " reflux gastro-oesophagien "), TRIM(_xlpm.s3))</f>
        <v>stevens-johnson</v>
      </c>
      <c r="M28" t="str" cm="1">
        <f t="array" ref="M28">_xlfn.LET(_xlpm.base, " " &amp; LOWER(TRIM($L28)) &amp; " ", _xlpm.s1, SUBSTITUTE(_xlpm.base, " saos ", " syndrome d'apnees obstructives du sommeil "), _xlpm.s2, SUBSTITUTE(_xlpm.s1, " oacr ", " occlusion de l'artere centrale de la retine "), _xlpm.s3, SUBSTITUTE(_xlpm.s2, " hsd ", " hematome sous-dural "), TRIM(_xlpm.s3))</f>
        <v>stevens-johnson</v>
      </c>
      <c r="N28" t="str" cm="1">
        <f t="array" ref="N28">_xlfn.LET(_xlpm.base, " " &amp; LOWER(TRIM($M28))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stevens-johnson</v>
      </c>
      <c r="O28" t="str" cm="1">
        <f t="array" ref="O28">_xlfn.LET(_xlpm.base, " " &amp; LOWER(TRIM($N28))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stevens-johnson</v>
      </c>
    </row>
    <row r="29" spans="1:15" ht="83.25">
      <c r="A29" s="44" t="s">
        <v>1215</v>
      </c>
      <c r="B29" s="44">
        <v>2016</v>
      </c>
      <c r="C29" s="46" t="s">
        <v>1263</v>
      </c>
      <c r="D29" s="46" t="s">
        <v>1264</v>
      </c>
      <c r="E29" s="46" t="s">
        <v>1265</v>
      </c>
      <c r="F29" s="45" t="s">
        <v>1266</v>
      </c>
      <c r="G29" s="45"/>
      <c r="H29" s="46" t="s">
        <v>1267</v>
      </c>
      <c r="I29" s="46" t="s">
        <v>1268</v>
      </c>
      <c r="J29" t="str" cm="1">
        <f t="array" ref="J29">_xlfn.LET(_xlpm.yr, B29, _xlpm.title, IFERROR(_xlfn.TEXTBEFORE(C29,"["), C29), _xlpm.base, TRIM(SUBSTITUTE(SUBSTITUTE(SUBSTITUTE(SUBSTITUTE(_xlpm.title,"•"," "),CHAR(160)," "),CHAR(10)," "),"  "," ")), LOWER(_xlpm.yr&amp;"|"&amp;_xlpm.base))</f>
        <v>2016|sarcome de kaposi ?</v>
      </c>
      <c r="K29" t="str">
        <f>LOWER($B29 &amp; "|" &amp; $O29)</f>
        <v>2016|sarcome de kaposi ?</v>
      </c>
      <c r="L29" t="str" cm="1">
        <f t="array" ref="L29">_xlfn.LET(_xlpm.base, " " &amp; LOWER(TRIM(IFERROR(_xlfn.TEXTBEFORE($C29,"["), $C29))) &amp; " ", _xlpm.s1, SUBSTITUTE(_xlpm.base, " fa ", " fibrillation auriculaire "), _xlpm.s2, SUBSTITUTE(_xlpm.s1, " ep ", " embolie pulmonaire "), _xlpm.s3, SUBSTITUTE(_xlpm.s2, " rgo ", " reflux gastro-oesophagien "), TRIM(_xlpm.s3))</f>
        <v>sarcome de kaposi ?</v>
      </c>
      <c r="M29" t="str" cm="1">
        <f t="array" ref="M29">_xlfn.LET(_xlpm.base, " " &amp; LOWER(TRIM($L29)) &amp; " ", _xlpm.s1, SUBSTITUTE(_xlpm.base, " saos ", " syndrome d'apnees obstructives du sommeil "), _xlpm.s2, SUBSTITUTE(_xlpm.s1, " oacr ", " occlusion de l'artere centrale de la retine "), _xlpm.s3, SUBSTITUTE(_xlpm.s2, " hsd ", " hematome sous-dural "), TRIM(_xlpm.s3))</f>
        <v>sarcome de kaposi ?</v>
      </c>
      <c r="N29" t="str" cm="1">
        <f t="array" ref="N29">_xlfn.LET(_xlpm.base, " " &amp; LOWER(TRIM($M29))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sarcome de kaposi ?</v>
      </c>
      <c r="O29" t="str" cm="1">
        <f t="array" ref="O29">_xlfn.LET(_xlpm.base, " " &amp; LOWER(TRIM($N29))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sarcome de kaposi ?</v>
      </c>
    </row>
    <row r="30" spans="1:15" ht="192.75">
      <c r="A30" s="44" t="s">
        <v>1215</v>
      </c>
      <c r="B30" s="44">
        <v>2017</v>
      </c>
      <c r="C30" s="45" t="s">
        <v>1269</v>
      </c>
      <c r="D30" s="45"/>
      <c r="E30" s="46" t="s">
        <v>1270</v>
      </c>
      <c r="F30" s="46" t="s">
        <v>1271</v>
      </c>
      <c r="G30" s="46" t="s">
        <v>184</v>
      </c>
      <c r="H30" s="46"/>
      <c r="I30" s="46" t="s">
        <v>1272</v>
      </c>
      <c r="J30" t="str" cm="1">
        <f t="array" ref="J30">_xlfn.LET(_xlpm.yr, B30, _xlpm.title, IFERROR(_xlfn.TEXTBEFORE(C30,"["), C30), _xlpm.base, TRIM(SUBSTITUTE(SUBSTITUTE(SUBSTITUTE(SUBSTITUTE(_xlpm.title,"•"," "),CHAR(160)," "),CHAR(10)," "),"  "," ")), LOWER(_xlpm.yr&amp;"|"&amp;_xlpm.base))</f>
        <v>2017|psoriasis + eczéma de contact vs médicamenteux</v>
      </c>
      <c r="K30" t="str">
        <f>LOWER($B30 &amp; "|" &amp; $O30)</f>
        <v>2017|psoriasis + eczéma de contact vs médicamenteux</v>
      </c>
      <c r="L30" t="str" cm="1">
        <f t="array" ref="L30">_xlfn.LET(_xlpm.base, " " &amp; LOWER(TRIM(IFERROR(_xlfn.TEXTBEFORE($C30,"["), $C30))) &amp; " ", _xlpm.s1, SUBSTITUTE(_xlpm.base, " fa ", " fibrillation auriculaire "), _xlpm.s2, SUBSTITUTE(_xlpm.s1, " ep ", " embolie pulmonaire "), _xlpm.s3, SUBSTITUTE(_xlpm.s2, " rgo ", " reflux gastro-oesophagien "), TRIM(_xlpm.s3))</f>
        <v>psoriasis + eczéma de contact vs médicamenteux</v>
      </c>
      <c r="M30" t="str" cm="1">
        <f t="array" ref="M30">_xlfn.LET(_xlpm.base, " " &amp; LOWER(TRIM($L30)) &amp; " ", _xlpm.s1, SUBSTITUTE(_xlpm.base, " saos ", " syndrome d'apnees obstructives du sommeil "), _xlpm.s2, SUBSTITUTE(_xlpm.s1, " oacr ", " occlusion de l'artere centrale de la retine "), _xlpm.s3, SUBSTITUTE(_xlpm.s2, " hsd ", " hematome sous-dural "), TRIM(_xlpm.s3))</f>
        <v>psoriasis + eczéma de contact vs médicamenteux</v>
      </c>
      <c r="N30" t="str" cm="1">
        <f t="array" ref="N30">_xlfn.LET(_xlpm.base, " " &amp; LOWER(TRIM($M30))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psoriasis + eczéma de contact vs médicamenteux</v>
      </c>
      <c r="O30" t="str" cm="1">
        <f t="array" ref="O30">_xlfn.LET(_xlpm.base, " " &amp; LOWER(TRIM($N30))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psoriasis + eczéma de contact vs médicamenteux</v>
      </c>
    </row>
    <row r="31" spans="1:15" ht="54.75">
      <c r="A31" s="44" t="s">
        <v>1273</v>
      </c>
      <c r="B31" s="44">
        <v>2013</v>
      </c>
      <c r="C31" s="46" t="s">
        <v>1274</v>
      </c>
      <c r="D31" s="46" t="s">
        <v>1275</v>
      </c>
      <c r="E31" s="46" t="s">
        <v>1276</v>
      </c>
      <c r="F31" s="47" t="s">
        <v>1277</v>
      </c>
      <c r="G31" s="45"/>
      <c r="H31" s="45"/>
      <c r="I31" s="46" t="e">
        <v>#NAME?</v>
      </c>
      <c r="J31" t="str" cm="1">
        <f t="array" ref="J31">_xlfn.LET(_xlpm.yr, B31, _xlpm.title, IFERROR(_xlfn.TEXTBEFORE(C31,"["), C31), _xlpm.base, TRIM(SUBSTITUTE(SUBSTITUTE(SUBSTITUTE(SUBSTITUTE(_xlpm.title,"•"," "),CHAR(160)," "),CHAR(10)," "),"  "," ")), LOWER(_xlpm.yr&amp;"|"&amp;_xlpm.base))</f>
        <v>2013|motivationnel oh</v>
      </c>
      <c r="K31" t="str">
        <f>LOWER($B31 &amp; "|" &amp; $O31)</f>
        <v>2013|motivationnel oh</v>
      </c>
      <c r="L31" t="str" cm="1">
        <f t="array" ref="L31">_xlfn.LET(_xlpm.base, " " &amp; LOWER(TRIM(IFERROR(_xlfn.TEXTBEFORE($C31,"["), $C31))) &amp; " ", _xlpm.s1, SUBSTITUTE(_xlpm.base, " fa ", " fibrillation auriculaire "), _xlpm.s2, SUBSTITUTE(_xlpm.s1, " ep ", " embolie pulmonaire "), _xlpm.s3, SUBSTITUTE(_xlpm.s2, " rgo ", " reflux gastro-oesophagien "), TRIM(_xlpm.s3))</f>
        <v>motivationnel oh</v>
      </c>
      <c r="M31" t="str" cm="1">
        <f t="array" ref="M31">_xlfn.LET(_xlpm.base, " " &amp; LOWER(TRIM($L31)) &amp; " ", _xlpm.s1, SUBSTITUTE(_xlpm.base, " saos ", " syndrome d'apnees obstructives du sommeil "), _xlpm.s2, SUBSTITUTE(_xlpm.s1, " oacr ", " occlusion de l'artere centrale de la retine "), _xlpm.s3, SUBSTITUTE(_xlpm.s2, " hsd ", " hematome sous-dural "), TRIM(_xlpm.s3))</f>
        <v>motivationnel oh</v>
      </c>
      <c r="N31" t="str" cm="1">
        <f t="array" ref="N31">_xlfn.LET(_xlpm.base, " " &amp; LOWER(TRIM($M31))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motivationnel oh</v>
      </c>
      <c r="O31" t="str" cm="1">
        <f t="array" ref="O31">_xlfn.LET(_xlpm.base, " " &amp; LOWER(TRIM($N31))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motivationnel oh</v>
      </c>
    </row>
    <row r="32" spans="1:15" ht="27.75">
      <c r="A32" s="44" t="s">
        <v>1273</v>
      </c>
      <c r="B32" s="44">
        <v>2013</v>
      </c>
      <c r="C32" s="46" t="s">
        <v>1278</v>
      </c>
      <c r="D32" s="45" t="s">
        <v>1279</v>
      </c>
      <c r="E32" s="45"/>
      <c r="F32" s="45"/>
      <c r="G32" s="45"/>
      <c r="H32" s="45"/>
      <c r="I32" s="45"/>
      <c r="J32" t="str" cm="1">
        <f t="array" ref="J32">_xlfn.LET(_xlpm.yr, B32, _xlpm.title, IFERROR(_xlfn.TEXTBEFORE(C32,"["), C32), _xlpm.base, TRIM(SUBSTITUTE(SUBSTITUTE(SUBSTITUTE(SUBSTITUTE(_xlpm.title,"•"," "),CHAR(160)," "),CHAR(10)," "),"  "," ")), LOWER(_xlpm.yr&amp;"|"&amp;_xlpm.base))</f>
        <v>2013|motivationnel médicamenteux retour a domicile post bpco</v>
      </c>
      <c r="K32" t="str">
        <f>LOWER($B32 &amp; "|" &amp; $O32)</f>
        <v>2013|motivationnel médicamenteux • retour a domicile post bronchopneumopathie chronique obstructive</v>
      </c>
      <c r="L32" t="str" cm="1">
        <f t="array" ref="L32">_xlfn.LET(_xlpm.base, " " &amp; LOWER(TRIM(IFERROR(_xlfn.TEXTBEFORE($C32,"["), $C32))) &amp; " ", _xlpm.s1, SUBSTITUTE(_xlpm.base, " fa ", " fibrillation auriculaire "), _xlpm.s2, SUBSTITUTE(_xlpm.s1, " ep ", " embolie pulmonaire "), _xlpm.s3, SUBSTITUTE(_xlpm.s2, " rgo ", " reflux gastro-oesophagien "), TRIM(_xlpm.s3))</f>
        <v>motivationnel médicamenteux • retour a domicile post bpco</v>
      </c>
      <c r="M32" t="str" cm="1">
        <f t="array" ref="M32">_xlfn.LET(_xlpm.base, " " &amp; LOWER(TRIM($L32)) &amp; " ", _xlpm.s1, SUBSTITUTE(_xlpm.base, " saos ", " syndrome d'apnees obstructives du sommeil "), _xlpm.s2, SUBSTITUTE(_xlpm.s1, " oacr ", " occlusion de l'artere centrale de la retine "), _xlpm.s3, SUBSTITUTE(_xlpm.s2, " hsd ", " hematome sous-dural "), TRIM(_xlpm.s3))</f>
        <v>motivationnel médicamenteux • retour a domicile post bpco</v>
      </c>
      <c r="N32" t="str" cm="1">
        <f t="array" ref="N32">_xlfn.LET(_xlpm.base, " " &amp; LOWER(TRIM($M32))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motivationnel médicamenteux • retour a domicile post bronchopneumopathie chronique obstructive</v>
      </c>
      <c r="O32" t="str" cm="1">
        <f t="array" ref="O32">_xlfn.LET(_xlpm.base, " " &amp; LOWER(TRIM($N32))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motivationnel médicamenteux • retour a domicile post bronchopneumopathie chronique obstructive</v>
      </c>
    </row>
    <row r="33" spans="1:15" ht="68.25">
      <c r="A33" s="44" t="s">
        <v>1273</v>
      </c>
      <c r="B33" s="44">
        <v>2014</v>
      </c>
      <c r="C33" s="46" t="s">
        <v>1280</v>
      </c>
      <c r="D33" s="46" t="s">
        <v>1281</v>
      </c>
      <c r="E33" s="45" t="s">
        <v>1282</v>
      </c>
      <c r="F33" s="45"/>
      <c r="G33" s="45"/>
      <c r="H33" s="45"/>
      <c r="I33" s="46" t="s">
        <v>1283</v>
      </c>
      <c r="J33" t="str" cm="1">
        <f t="array" ref="J33">_xlfn.LET(_xlpm.yr, B33, _xlpm.title, IFERROR(_xlfn.TEXTBEFORE(C33,"["), C33), _xlpm.base, TRIM(SUBSTITUTE(SUBSTITUTE(SUBSTITUTE(SUBSTITUTE(_xlpm.title,"•"," "),CHAR(160)," "),CHAR(10)," "),"  "," ")), LOWER(_xlpm.yr&amp;"|"&amp;_xlpm.base))</f>
        <v>2014|trouble compliance</v>
      </c>
      <c r="K33" t="str">
        <f>LOWER($B33 &amp; "|" &amp; $O33)</f>
        <v>2014|trouble compliance</v>
      </c>
      <c r="L33" t="str" cm="1">
        <f t="array" ref="L33">_xlfn.LET(_xlpm.base, " " &amp; LOWER(TRIM(IFERROR(_xlfn.TEXTBEFORE($C33,"["), $C33))) &amp; " ", _xlpm.s1, SUBSTITUTE(_xlpm.base, " fa ", " fibrillation auriculaire "), _xlpm.s2, SUBSTITUTE(_xlpm.s1, " ep ", " embolie pulmonaire "), _xlpm.s3, SUBSTITUTE(_xlpm.s2, " rgo ", " reflux gastro-oesophagien "), TRIM(_xlpm.s3))</f>
        <v>trouble compliance</v>
      </c>
      <c r="M33" t="str" cm="1">
        <f t="array" ref="M33">_xlfn.LET(_xlpm.base, " " &amp; LOWER(TRIM($L33)) &amp; " ", _xlpm.s1, SUBSTITUTE(_xlpm.base, " saos ", " syndrome d'apnees obstructives du sommeil "), _xlpm.s2, SUBSTITUTE(_xlpm.s1, " oacr ", " occlusion de l'artere centrale de la retine "), _xlpm.s3, SUBSTITUTE(_xlpm.s2, " hsd ", " hematome sous-dural "), TRIM(_xlpm.s3))</f>
        <v>trouble compliance</v>
      </c>
      <c r="N33" t="str" cm="1">
        <f t="array" ref="N33">_xlfn.LET(_xlpm.base, " " &amp; LOWER(TRIM($M33))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compliance</v>
      </c>
      <c r="O33" t="str" cm="1">
        <f t="array" ref="O33">_xlfn.LET(_xlpm.base, " " &amp; LOWER(TRIM($N33))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compliance</v>
      </c>
    </row>
    <row r="34" spans="1:15">
      <c r="A34" s="44" t="s">
        <v>1273</v>
      </c>
      <c r="B34" s="44">
        <v>2014</v>
      </c>
      <c r="C34" s="46" t="s">
        <v>1280</v>
      </c>
      <c r="D34" s="45" t="s">
        <v>1284</v>
      </c>
      <c r="E34" s="45"/>
      <c r="F34" s="45"/>
      <c r="G34" s="46"/>
      <c r="H34" s="46"/>
      <c r="I34" s="46"/>
      <c r="J34" t="str" cm="1">
        <f t="array" ref="J34">_xlfn.LET(_xlpm.yr, B34, _xlpm.title, IFERROR(_xlfn.TEXTBEFORE(C34,"["), C34), _xlpm.base, TRIM(SUBSTITUTE(SUBSTITUTE(SUBSTITUTE(SUBSTITUTE(_xlpm.title,"•"," "),CHAR(160)," "),CHAR(10)," "),"  "," ")), LOWER(_xlpm.yr&amp;"|"&amp;_xlpm.base))</f>
        <v>2014|trouble compliance</v>
      </c>
      <c r="K34" t="str">
        <f>LOWER($B34 &amp; "|" &amp; $O34)</f>
        <v>2014|trouble compliance</v>
      </c>
      <c r="L34" t="str" cm="1">
        <f t="array" ref="L34">_xlfn.LET(_xlpm.base, " " &amp; LOWER(TRIM(IFERROR(_xlfn.TEXTBEFORE($C34,"["), $C34))) &amp; " ", _xlpm.s1, SUBSTITUTE(_xlpm.base, " fa ", " fibrillation auriculaire "), _xlpm.s2, SUBSTITUTE(_xlpm.s1, " ep ", " embolie pulmonaire "), _xlpm.s3, SUBSTITUTE(_xlpm.s2, " rgo ", " reflux gastro-oesophagien "), TRIM(_xlpm.s3))</f>
        <v>trouble compliance</v>
      </c>
      <c r="M34" t="str" cm="1">
        <f t="array" ref="M34">_xlfn.LET(_xlpm.base, " " &amp; LOWER(TRIM($L34)) &amp; " ", _xlpm.s1, SUBSTITUTE(_xlpm.base, " saos ", " syndrome d'apnees obstructives du sommeil "), _xlpm.s2, SUBSTITUTE(_xlpm.s1, " oacr ", " occlusion de l'artere centrale de la retine "), _xlpm.s3, SUBSTITUTE(_xlpm.s2, " hsd ", " hematome sous-dural "), TRIM(_xlpm.s3))</f>
        <v>trouble compliance</v>
      </c>
      <c r="N34" t="str" cm="1">
        <f t="array" ref="N34">_xlfn.LET(_xlpm.base, " " &amp; LOWER(TRIM($M34))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compliance</v>
      </c>
      <c r="O34" t="str" cm="1">
        <f t="array" ref="O34">_xlfn.LET(_xlpm.base, " " &amp; LOWER(TRIM($N34))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compliance</v>
      </c>
    </row>
    <row r="35" spans="1:15" ht="27.75">
      <c r="A35" s="44" t="s">
        <v>1273</v>
      </c>
      <c r="B35" s="44">
        <v>2016</v>
      </c>
      <c r="C35" s="46" t="s">
        <v>1285</v>
      </c>
      <c r="D35" s="46" t="s">
        <v>1286</v>
      </c>
      <c r="E35" s="45" t="s">
        <v>1287</v>
      </c>
      <c r="F35" s="45"/>
      <c r="G35" s="45"/>
      <c r="H35" s="45"/>
      <c r="I35" s="45"/>
      <c r="J35" t="str" cm="1">
        <f t="array" ref="J35">_xlfn.LET(_xlpm.yr, B35, _xlpm.title, IFERROR(_xlfn.TEXTBEFORE(C35,"["), C35), _xlpm.base, TRIM(SUBSTITUTE(SUBSTITUTE(SUBSTITUTE(SUBSTITUTE(_xlpm.title,"•"," "),CHAR(160)," "),CHAR(10)," "),"  "," ")), LOWER(_xlpm.yr&amp;"|"&amp;_xlpm.base))</f>
        <v>2016|refus cms</v>
      </c>
      <c r="K35" t="str">
        <f>LOWER($B35 &amp; "|" &amp; $O35)</f>
        <v>2016|refus cms</v>
      </c>
      <c r="L35" t="str" cm="1">
        <f t="array" ref="L35">_xlfn.LET(_xlpm.base, " " &amp; LOWER(TRIM(IFERROR(_xlfn.TEXTBEFORE($C35,"["), $C35))) &amp; " ", _xlpm.s1, SUBSTITUTE(_xlpm.base, " fa ", " fibrillation auriculaire "), _xlpm.s2, SUBSTITUTE(_xlpm.s1, " ep ", " embolie pulmonaire "), _xlpm.s3, SUBSTITUTE(_xlpm.s2, " rgo ", " reflux gastro-oesophagien "), TRIM(_xlpm.s3))</f>
        <v>refus cms</v>
      </c>
      <c r="M35" t="str" cm="1">
        <f t="array" ref="M35">_xlfn.LET(_xlpm.base, " " &amp; LOWER(TRIM($L35)) &amp; " ", _xlpm.s1, SUBSTITUTE(_xlpm.base, " saos ", " syndrome d'apnees obstructives du sommeil "), _xlpm.s2, SUBSTITUTE(_xlpm.s1, " oacr ", " occlusion de l'artere centrale de la retine "), _xlpm.s3, SUBSTITUTE(_xlpm.s2, " hsd ", " hematome sous-dural "), TRIM(_xlpm.s3))</f>
        <v>refus cms</v>
      </c>
      <c r="N35" t="str" cm="1">
        <f t="array" ref="N35">_xlfn.LET(_xlpm.base, " " &amp; LOWER(TRIM($M35))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refus cms</v>
      </c>
      <c r="O35" t="str" cm="1">
        <f t="array" ref="O35">_xlfn.LET(_xlpm.base, " " &amp; LOWER(TRIM($N35))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refus cms</v>
      </c>
    </row>
    <row r="36" spans="1:15" ht="27.75">
      <c r="A36" s="44" t="s">
        <v>1273</v>
      </c>
      <c r="B36" s="44">
        <v>2016</v>
      </c>
      <c r="C36" s="46" t="s">
        <v>1288</v>
      </c>
      <c r="D36" s="46" t="s">
        <v>1289</v>
      </c>
      <c r="E36" s="46" t="s">
        <v>1290</v>
      </c>
      <c r="F36" s="45" t="s">
        <v>1291</v>
      </c>
      <c r="G36" s="45"/>
      <c r="H36" s="45"/>
      <c r="I36" s="45"/>
      <c r="J36" t="str" cm="1">
        <f t="array" ref="J36">_xlfn.LET(_xlpm.yr, B36, _xlpm.title, IFERROR(_xlfn.TEXTBEFORE(C36,"["), C36), _xlpm.base, TRIM(SUBSTITUTE(SUBSTITUTE(SUBSTITUTE(SUBSTITUTE(_xlpm.title,"•"," "),CHAR(160)," "),CHAR(10)," "),"  "," ")), LOWER(_xlpm.yr&amp;"|"&amp;_xlpm.base))</f>
        <v>2016|attitude réa en pré-op</v>
      </c>
      <c r="K36" t="str">
        <f>LOWER($B36 &amp; "|" &amp; $O36)</f>
        <v>2016|attitude réa en pré-op</v>
      </c>
      <c r="L36" t="str" cm="1">
        <f t="array" ref="L36">_xlfn.LET(_xlpm.base, " " &amp; LOWER(TRIM(IFERROR(_xlfn.TEXTBEFORE($C36,"["), $C36))) &amp; " ", _xlpm.s1, SUBSTITUTE(_xlpm.base, " fa ", " fibrillation auriculaire "), _xlpm.s2, SUBSTITUTE(_xlpm.s1, " ep ", " embolie pulmonaire "), _xlpm.s3, SUBSTITUTE(_xlpm.s2, " rgo ", " reflux gastro-oesophagien "), TRIM(_xlpm.s3))</f>
        <v>attitude réa en pré-op</v>
      </c>
      <c r="M36" t="str" cm="1">
        <f t="array" ref="M36">_xlfn.LET(_xlpm.base, " " &amp; LOWER(TRIM($L36)) &amp; " ", _xlpm.s1, SUBSTITUTE(_xlpm.base, " saos ", " syndrome d'apnees obstructives du sommeil "), _xlpm.s2, SUBSTITUTE(_xlpm.s1, " oacr ", " occlusion de l'artere centrale de la retine "), _xlpm.s3, SUBSTITUTE(_xlpm.s2, " hsd ", " hematome sous-dural "), TRIM(_xlpm.s3))</f>
        <v>attitude réa en pré-op</v>
      </c>
      <c r="N36" t="str" cm="1">
        <f t="array" ref="N36">_xlfn.LET(_xlpm.base, " " &amp; LOWER(TRIM($M36))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attitude réa en pré-op</v>
      </c>
      <c r="O36" t="str" cm="1">
        <f t="array" ref="O36">_xlfn.LET(_xlpm.base, " " &amp; LOWER(TRIM($N36))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attitude réa en pré-op</v>
      </c>
    </row>
    <row r="37" spans="1:15" ht="27.75">
      <c r="A37" s="44" t="s">
        <v>1273</v>
      </c>
      <c r="B37" s="44">
        <v>2016</v>
      </c>
      <c r="C37" s="46" t="s">
        <v>1292</v>
      </c>
      <c r="D37" s="45" t="s">
        <v>1293</v>
      </c>
      <c r="E37" s="45"/>
      <c r="F37" s="45"/>
      <c r="G37" s="45"/>
      <c r="H37" s="45"/>
      <c r="I37" s="45"/>
      <c r="J37" t="str" cm="1">
        <f t="array" ref="J37">_xlfn.LET(_xlpm.yr, B37, _xlpm.title, IFERROR(_xlfn.TEXTBEFORE(C37,"["), C37), _xlpm.base, TRIM(SUBSTITUTE(SUBSTITUTE(SUBSTITUTE(SUBSTITUTE(_xlpm.title,"•"," "),CHAR(160)," "),CHAR(10)," "),"  "," ")), LOWER(_xlpm.yr&amp;"|"&amp;_xlpm.base))</f>
        <v>2016|annonce de changement ttt (mauvaise nouvelle?) + capacité de discernement</v>
      </c>
      <c r="K37" t="str">
        <f>LOWER($B37 &amp; "|" &amp; $O37)</f>
        <v>2016|annonce de changement ttt (mauvaise nouvelle?) + capacité de discernement</v>
      </c>
      <c r="L37" t="str" cm="1">
        <f t="array" ref="L37">_xlfn.LET(_xlpm.base, " " &amp; LOWER(TRIM(IFERROR(_xlfn.TEXTBEFORE($C37,"["), $C37))) &amp; " ", _xlpm.s1, SUBSTITUTE(_xlpm.base, " fa ", " fibrillation auriculaire "), _xlpm.s2, SUBSTITUTE(_xlpm.s1, " ep ", " embolie pulmonaire "), _xlpm.s3, SUBSTITUTE(_xlpm.s2, " rgo ", " reflux gastro-oesophagien "), TRIM(_xlpm.s3))</f>
        <v>annonce de changement ttt (mauvaise nouvelle?) + capacité de discernement</v>
      </c>
      <c r="M37" t="str" cm="1">
        <f t="array" ref="M37">_xlfn.LET(_xlpm.base, " " &amp; LOWER(TRIM($L37)) &amp; " ", _xlpm.s1, SUBSTITUTE(_xlpm.base, " saos ", " syndrome d'apnees obstructives du sommeil "), _xlpm.s2, SUBSTITUTE(_xlpm.s1, " oacr ", " occlusion de l'artere centrale de la retine "), _xlpm.s3, SUBSTITUTE(_xlpm.s2, " hsd ", " hematome sous-dural "), TRIM(_xlpm.s3))</f>
        <v>annonce de changement ttt (mauvaise nouvelle?) + capacité de discernement</v>
      </c>
      <c r="N37" t="str" cm="1">
        <f t="array" ref="N37">_xlfn.LET(_xlpm.base, " " &amp; LOWER(TRIM($M37))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annonce de changement ttt (mauvaise nouvelle?) + capacité de discernement</v>
      </c>
      <c r="O37" t="str" cm="1">
        <f t="array" ref="O37">_xlfn.LET(_xlpm.base, " " &amp; LOWER(TRIM($N37))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annonce de changement ttt (mauvaise nouvelle?) + capacité de discernement</v>
      </c>
    </row>
    <row r="38" spans="1:15">
      <c r="A38" s="44" t="s">
        <v>1273</v>
      </c>
      <c r="B38" s="44">
        <v>2017</v>
      </c>
      <c r="C38" s="46" t="s">
        <v>1294</v>
      </c>
      <c r="D38" s="45" t="s">
        <v>1295</v>
      </c>
      <c r="E38" s="45"/>
      <c r="F38" s="45"/>
      <c r="G38" s="46"/>
      <c r="H38" s="46"/>
      <c r="I38" s="46"/>
      <c r="J38" t="str" cm="1">
        <f t="array" ref="J38">_xlfn.LET(_xlpm.yr, B38, _xlpm.title, IFERROR(_xlfn.TEXTBEFORE(C38,"["), C38), _xlpm.base, TRIM(SUBSTITUTE(SUBSTITUTE(SUBSTITUTE(SUBSTITUTE(_xlpm.title,"•"," "),CHAR(160)," "),CHAR(10)," "),"  "," ")), LOWER(_xlpm.yr&amp;"|"&amp;_xlpm.base))</f>
        <v>2017|sortie d’hospitalisation</v>
      </c>
      <c r="K38" t="str">
        <f>LOWER($B38 &amp; "|" &amp; $O38)</f>
        <v>2017|sortie d’hospitalisation</v>
      </c>
      <c r="L38" t="str" cm="1">
        <f t="array" ref="L38">_xlfn.LET(_xlpm.base, " " &amp; LOWER(TRIM(IFERROR(_xlfn.TEXTBEFORE($C38,"["), $C38))) &amp; " ", _xlpm.s1, SUBSTITUTE(_xlpm.base, " fa ", " fibrillation auriculaire "), _xlpm.s2, SUBSTITUTE(_xlpm.s1, " ep ", " embolie pulmonaire "), _xlpm.s3, SUBSTITUTE(_xlpm.s2, " rgo ", " reflux gastro-oesophagien "), TRIM(_xlpm.s3))</f>
        <v>sortie d’hospitalisation</v>
      </c>
      <c r="M38" t="str" cm="1">
        <f t="array" ref="M38">_xlfn.LET(_xlpm.base, " " &amp; LOWER(TRIM($L38)) &amp; " ", _xlpm.s1, SUBSTITUTE(_xlpm.base, " saos ", " syndrome d'apnees obstructives du sommeil "), _xlpm.s2, SUBSTITUTE(_xlpm.s1, " oacr ", " occlusion de l'artere centrale de la retine "), _xlpm.s3, SUBSTITUTE(_xlpm.s2, " hsd ", " hematome sous-dural "), TRIM(_xlpm.s3))</f>
        <v>sortie d’hospitalisation</v>
      </c>
      <c r="N38" t="str" cm="1">
        <f t="array" ref="N38">_xlfn.LET(_xlpm.base, " " &amp; LOWER(TRIM($M38))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sortie d’hospitalisation</v>
      </c>
      <c r="O38" t="str" cm="1">
        <f t="array" ref="O38">_xlfn.LET(_xlpm.base, " " &amp; LOWER(TRIM($N38))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sortie d’hospitalisation</v>
      </c>
    </row>
    <row r="39" spans="1:15">
      <c r="A39" s="44" t="s">
        <v>1273</v>
      </c>
      <c r="B39" s="44">
        <v>2017</v>
      </c>
      <c r="C39" s="46" t="s">
        <v>1294</v>
      </c>
      <c r="D39" s="46" t="s">
        <v>1296</v>
      </c>
      <c r="E39" s="45" t="s">
        <v>728</v>
      </c>
      <c r="F39" s="45"/>
      <c r="G39" s="45"/>
      <c r="H39" s="46"/>
      <c r="I39" s="46"/>
      <c r="J39" t="str" cm="1">
        <f t="array" ref="J39">_xlfn.LET(_xlpm.yr, B39, _xlpm.title, IFERROR(_xlfn.TEXTBEFORE(C39,"["), C39), _xlpm.base, TRIM(SUBSTITUTE(SUBSTITUTE(SUBSTITUTE(SUBSTITUTE(_xlpm.title,"•"," "),CHAR(160)," "),CHAR(10)," "),"  "," ")), LOWER(_xlpm.yr&amp;"|"&amp;_xlpm.base))</f>
        <v>2017|sortie d’hospitalisation</v>
      </c>
      <c r="K39" t="str">
        <f>LOWER($B39 &amp; "|" &amp; $O39)</f>
        <v>2017|sortie d’hospitalisation</v>
      </c>
      <c r="L39" t="str" cm="1">
        <f t="array" ref="L39">_xlfn.LET(_xlpm.base, " " &amp; LOWER(TRIM(IFERROR(_xlfn.TEXTBEFORE($C39,"["), $C39))) &amp; " ", _xlpm.s1, SUBSTITUTE(_xlpm.base, " fa ", " fibrillation auriculaire "), _xlpm.s2, SUBSTITUTE(_xlpm.s1, " ep ", " embolie pulmonaire "), _xlpm.s3, SUBSTITUTE(_xlpm.s2, " rgo ", " reflux gastro-oesophagien "), TRIM(_xlpm.s3))</f>
        <v>sortie d’hospitalisation</v>
      </c>
      <c r="M39" t="str" cm="1">
        <f t="array" ref="M39">_xlfn.LET(_xlpm.base, " " &amp; LOWER(TRIM($L39)) &amp; " ", _xlpm.s1, SUBSTITUTE(_xlpm.base, " saos ", " syndrome d'apnees obstructives du sommeil "), _xlpm.s2, SUBSTITUTE(_xlpm.s1, " oacr ", " occlusion de l'artere centrale de la retine "), _xlpm.s3, SUBSTITUTE(_xlpm.s2, " hsd ", " hematome sous-dural "), TRIM(_xlpm.s3))</f>
        <v>sortie d’hospitalisation</v>
      </c>
      <c r="N39" t="str" cm="1">
        <f t="array" ref="N39">_xlfn.LET(_xlpm.base, " " &amp; LOWER(TRIM($M39))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sortie d’hospitalisation</v>
      </c>
      <c r="O39" t="str" cm="1">
        <f t="array" ref="O39">_xlfn.LET(_xlpm.base, " " &amp; LOWER(TRIM($N39))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sortie d’hospitalisation</v>
      </c>
    </row>
    <row r="40" spans="1:15" ht="110.25">
      <c r="A40" s="44" t="s">
        <v>1297</v>
      </c>
      <c r="B40" s="44">
        <v>2013</v>
      </c>
      <c r="C40" s="46" t="s">
        <v>1298</v>
      </c>
      <c r="D40" s="46" t="s">
        <v>1299</v>
      </c>
      <c r="E40" s="46" t="s">
        <v>1300</v>
      </c>
      <c r="F40" s="46" t="s">
        <v>1301</v>
      </c>
      <c r="G40" s="46" t="s">
        <v>1302</v>
      </c>
      <c r="H40" s="46" t="s">
        <v>1303</v>
      </c>
      <c r="I40" s="46" t="s">
        <v>1304</v>
      </c>
      <c r="J40" t="str" cm="1">
        <f t="array" ref="J40">_xlfn.LET(_xlpm.yr, B40, _xlpm.title, IFERROR(_xlfn.TEXTBEFORE(C40,"["), C40), _xlpm.base, TRIM(SUBSTITUTE(SUBSTITUTE(SUBSTITUTE(SUBSTITUTE(_xlpm.title,"•"," "),CHAR(160)," "),CHAR(10)," "),"  "," ")), LOWER(_xlpm.yr&amp;"|"&amp;_xlpm.base))</f>
        <v>2013|hyperthyroïdisme</v>
      </c>
      <c r="K40" t="str">
        <f>LOWER($B40 &amp; "|" &amp; $O40)</f>
        <v>2013|hyperthyroïdisme</v>
      </c>
      <c r="L40" t="str" cm="1">
        <f t="array" ref="L40">_xlfn.LET(_xlpm.base, " " &amp; LOWER(TRIM(IFERROR(_xlfn.TEXTBEFORE($C40,"["), $C40))) &amp; " ", _xlpm.s1, SUBSTITUTE(_xlpm.base, " fa ", " fibrillation auriculaire "), _xlpm.s2, SUBSTITUTE(_xlpm.s1, " ep ", " embolie pulmonaire "), _xlpm.s3, SUBSTITUTE(_xlpm.s2, " rgo ", " reflux gastro-oesophagien "), TRIM(_xlpm.s3))</f>
        <v>hyperthyroïdisme</v>
      </c>
      <c r="M40" t="str" cm="1">
        <f t="array" ref="M40">_xlfn.LET(_xlpm.base, " " &amp; LOWER(TRIM($L40)) &amp; " ", _xlpm.s1, SUBSTITUTE(_xlpm.base, " saos ", " syndrome d'apnees obstructives du sommeil "), _xlpm.s2, SUBSTITUTE(_xlpm.s1, " oacr ", " occlusion de l'artere centrale de la retine "), _xlpm.s3, SUBSTITUTE(_xlpm.s2, " hsd ", " hematome sous-dural "), TRIM(_xlpm.s3))</f>
        <v>hyperthyroïdisme</v>
      </c>
      <c r="N40" t="str" cm="1">
        <f t="array" ref="N40">_xlfn.LET(_xlpm.base, " " &amp; LOWER(TRIM($M40))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hyperthyroïdisme</v>
      </c>
      <c r="O40" t="str" cm="1">
        <f t="array" ref="O40">_xlfn.LET(_xlpm.base, " " &amp; LOWER(TRIM($N40))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hyperthyroïdisme</v>
      </c>
    </row>
    <row r="41" spans="1:15" ht="151.5">
      <c r="A41" s="44" t="s">
        <v>1297</v>
      </c>
      <c r="B41" s="44">
        <v>2015</v>
      </c>
      <c r="C41" s="46" t="s">
        <v>1305</v>
      </c>
      <c r="D41" s="46" t="s">
        <v>1306</v>
      </c>
      <c r="E41" s="46" t="s">
        <v>1307</v>
      </c>
      <c r="F41" s="46" t="s">
        <v>1308</v>
      </c>
      <c r="G41" s="46" t="s">
        <v>1309</v>
      </c>
      <c r="H41" s="46" t="s">
        <v>1310</v>
      </c>
      <c r="I41" s="46" t="s">
        <v>1311</v>
      </c>
      <c r="J41" t="str" cm="1">
        <f t="array" ref="J41">_xlfn.LET(_xlpm.yr, B41, _xlpm.title, IFERROR(_xlfn.TEXTBEFORE(C41,"["), C41), _xlpm.base, TRIM(SUBSTITUTE(SUBSTITUTE(SUBSTITUTE(SUBSTITUTE(_xlpm.title,"•"," "),CHAR(160)," "),CHAR(10)," "),"  "," ")), LOWER(_xlpm.yr&amp;"|"&amp;_xlpm.base))</f>
        <v>2015|thyroïdite</v>
      </c>
      <c r="K41" t="str">
        <f>LOWER($B41 &amp; "|" &amp; $O41)</f>
        <v>2015|thyroïdite</v>
      </c>
      <c r="L41" t="str" cm="1">
        <f t="array" ref="L41">_xlfn.LET(_xlpm.base, " " &amp; LOWER(TRIM(IFERROR(_xlfn.TEXTBEFORE($C41,"["), $C41))) &amp; " ", _xlpm.s1, SUBSTITUTE(_xlpm.base, " fa ", " fibrillation auriculaire "), _xlpm.s2, SUBSTITUTE(_xlpm.s1, " ep ", " embolie pulmonaire "), _xlpm.s3, SUBSTITUTE(_xlpm.s2, " rgo ", " reflux gastro-oesophagien "), TRIM(_xlpm.s3))</f>
        <v>thyroïdite</v>
      </c>
      <c r="M41" t="str" cm="1">
        <f t="array" ref="M41">_xlfn.LET(_xlpm.base, " " &amp; LOWER(TRIM($L41)) &amp; " ", _xlpm.s1, SUBSTITUTE(_xlpm.base, " saos ", " syndrome d'apnees obstructives du sommeil "), _xlpm.s2, SUBSTITUTE(_xlpm.s1, " oacr ", " occlusion de l'artere centrale de la retine "), _xlpm.s3, SUBSTITUTE(_xlpm.s2, " hsd ", " hematome sous-dural "), TRIM(_xlpm.s3))</f>
        <v>thyroïdite</v>
      </c>
      <c r="N41" t="str" cm="1">
        <f t="array" ref="N41">_xlfn.LET(_xlpm.base, " " &amp; LOWER(TRIM($M41))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thyroïdite</v>
      </c>
      <c r="O41" t="str" cm="1">
        <f t="array" ref="O41">_xlfn.LET(_xlpm.base, " " &amp; LOWER(TRIM($N41))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thyroïdite</v>
      </c>
    </row>
    <row r="42" spans="1:15" ht="110.25">
      <c r="A42" s="44" t="s">
        <v>1297</v>
      </c>
      <c r="B42" s="44">
        <v>2017</v>
      </c>
      <c r="C42" s="46" t="s">
        <v>712</v>
      </c>
      <c r="D42" s="46" t="s">
        <v>1312</v>
      </c>
      <c r="E42" s="46" t="s">
        <v>715</v>
      </c>
      <c r="F42" s="46" t="s">
        <v>716</v>
      </c>
      <c r="G42" s="46" t="s">
        <v>713</v>
      </c>
      <c r="H42" s="46" t="s">
        <v>1313</v>
      </c>
      <c r="I42" s="46" t="s">
        <v>717</v>
      </c>
      <c r="J42" t="str" cm="1">
        <f t="array" ref="J42">_xlfn.LET(_xlpm.yr, B42, _xlpm.title, IFERROR(_xlfn.TEXTBEFORE(C42,"["), C42), _xlpm.base, TRIM(SUBSTITUTE(SUBSTITUTE(SUBSTITUTE(SUBSTITUTE(_xlpm.title,"•"," "),CHAR(160)," "),CHAR(10)," "),"  "," ")), LOWER(_xlpm.yr&amp;"|"&amp;_xlpm.base))</f>
        <v>2017|prolactinome</v>
      </c>
      <c r="K42" t="str">
        <f>LOWER($B42 &amp; "|" &amp; $O42)</f>
        <v>2017|prolactinome</v>
      </c>
      <c r="L42" t="str" cm="1">
        <f t="array" ref="L42">_xlfn.LET(_xlpm.base, " " &amp; LOWER(TRIM(IFERROR(_xlfn.TEXTBEFORE($C42,"["), $C42))) &amp; " ", _xlpm.s1, SUBSTITUTE(_xlpm.base, " fa ", " fibrillation auriculaire "), _xlpm.s2, SUBSTITUTE(_xlpm.s1, " ep ", " embolie pulmonaire "), _xlpm.s3, SUBSTITUTE(_xlpm.s2, " rgo ", " reflux gastro-oesophagien "), TRIM(_xlpm.s3))</f>
        <v>prolactinome</v>
      </c>
      <c r="M42" t="str" cm="1">
        <f t="array" ref="M42">_xlfn.LET(_xlpm.base, " " &amp; LOWER(TRIM($L42)) &amp; " ", _xlpm.s1, SUBSTITUTE(_xlpm.base, " saos ", " syndrome d'apnees obstructives du sommeil "), _xlpm.s2, SUBSTITUTE(_xlpm.s1, " oacr ", " occlusion de l'artere centrale de la retine "), _xlpm.s3, SUBSTITUTE(_xlpm.s2, " hsd ", " hematome sous-dural "), TRIM(_xlpm.s3))</f>
        <v>prolactinome</v>
      </c>
      <c r="N42" t="str" cm="1">
        <f t="array" ref="N42">_xlfn.LET(_xlpm.base, " " &amp; LOWER(TRIM($M42))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prolactinome</v>
      </c>
      <c r="O42" t="str" cm="1">
        <f t="array" ref="O42">_xlfn.LET(_xlpm.base, " " &amp; LOWER(TRIM($N42))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prolactinome</v>
      </c>
    </row>
    <row r="43" spans="1:15" ht="83.25">
      <c r="A43" s="44" t="s">
        <v>1314</v>
      </c>
      <c r="B43" s="44">
        <v>2013</v>
      </c>
      <c r="C43" s="46" t="s">
        <v>1315</v>
      </c>
      <c r="D43" s="46" t="s">
        <v>1316</v>
      </c>
      <c r="E43" s="45" t="s">
        <v>1317</v>
      </c>
      <c r="F43" s="45"/>
      <c r="G43" s="46" t="s">
        <v>1318</v>
      </c>
      <c r="H43" s="46" t="s">
        <v>1319</v>
      </c>
      <c r="I43" s="46" t="s">
        <v>1320</v>
      </c>
      <c r="J43" t="str" cm="1">
        <f t="array" ref="J43">_xlfn.LET(_xlpm.yr, B43, _xlpm.title, IFERROR(_xlfn.TEXTBEFORE(C43,"["), C43), _xlpm.base, TRIM(SUBSTITUTE(SUBSTITUTE(SUBSTITUTE(SUBSTITUTE(_xlpm.title,"•"," "),CHAR(160)," "),CHAR(10)," "),"  "," ")), LOWER(_xlpm.yr&amp;"|"&amp;_xlpm.base))</f>
        <v>2013|grossesse +</v>
      </c>
      <c r="K43" t="str">
        <f>LOWER($B43 &amp; "|" &amp; $O43)</f>
        <v>2013|grossesse +</v>
      </c>
      <c r="L43" t="str" cm="1">
        <f t="array" ref="L43">_xlfn.LET(_xlpm.base, " " &amp; LOWER(TRIM(IFERROR(_xlfn.TEXTBEFORE($C43,"["), $C43))) &amp; " ", _xlpm.s1, SUBSTITUTE(_xlpm.base, " fa ", " fibrillation auriculaire "), _xlpm.s2, SUBSTITUTE(_xlpm.s1, " ep ", " embolie pulmonaire "), _xlpm.s3, SUBSTITUTE(_xlpm.s2, " rgo ", " reflux gastro-oesophagien "), TRIM(_xlpm.s3))</f>
        <v>grossesse +</v>
      </c>
      <c r="M43" t="str" cm="1">
        <f t="array" ref="M43">_xlfn.LET(_xlpm.base, " " &amp; LOWER(TRIM($L43)) &amp; " ", _xlpm.s1, SUBSTITUTE(_xlpm.base, " saos ", " syndrome d'apnees obstructives du sommeil "), _xlpm.s2, SUBSTITUTE(_xlpm.s1, " oacr ", " occlusion de l'artere centrale de la retine "), _xlpm.s3, SUBSTITUTE(_xlpm.s2, " hsd ", " hematome sous-dural "), TRIM(_xlpm.s3))</f>
        <v>grossesse +</v>
      </c>
      <c r="N43" t="str" cm="1">
        <f t="array" ref="N43">_xlfn.LET(_xlpm.base, " " &amp; LOWER(TRIM($M43))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grossesse +</v>
      </c>
      <c r="O43" t="str" cm="1">
        <f t="array" ref="O43">_xlfn.LET(_xlpm.base, " " &amp; LOWER(TRIM($N43))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grossesse +</v>
      </c>
    </row>
    <row r="44" spans="1:15" ht="124.5">
      <c r="A44" s="44" t="s">
        <v>1314</v>
      </c>
      <c r="B44" s="44">
        <v>2013</v>
      </c>
      <c r="C44" s="46" t="s">
        <v>1321</v>
      </c>
      <c r="D44" s="46" t="s">
        <v>1322</v>
      </c>
      <c r="E44" s="46" t="s">
        <v>1323</v>
      </c>
      <c r="F44" s="46" t="s">
        <v>1324</v>
      </c>
      <c r="G44" s="46" t="s">
        <v>1325</v>
      </c>
      <c r="H44" s="46" t="s">
        <v>1326</v>
      </c>
      <c r="I44" s="46" t="s">
        <v>1327</v>
      </c>
      <c r="J44" t="str" cm="1">
        <f t="array" ref="J44">_xlfn.LET(_xlpm.yr, B44, _xlpm.title, IFERROR(_xlfn.TEXTBEFORE(C44,"["), C44), _xlpm.base, TRIM(SUBSTITUTE(SUBSTITUTE(SUBSTITUTE(SUBSTITUTE(_xlpm.title,"•"," "),CHAR(160)," "),CHAR(10)," "),"  "," ")), LOWER(_xlpm.yr&amp;"|"&amp;_xlpm.base))</f>
        <v>2013|prééclampsie (hta + protéinurie)</v>
      </c>
      <c r="K44" t="str">
        <f>LOWER($B44 &amp; "|" &amp; $O44)</f>
        <v>2013|prééclampsie • (hta + protéinurie)</v>
      </c>
      <c r="L44" t="str" cm="1">
        <f t="array" ref="L44">_xlfn.LET(_xlpm.base, " " &amp; LOWER(TRIM(IFERROR(_xlfn.TEXTBEFORE($C44,"["), $C44))) &amp; " ", _xlpm.s1, SUBSTITUTE(_xlpm.base, " fa ", " fibrillation auriculaire "), _xlpm.s2, SUBSTITUTE(_xlpm.s1, " ep ", " embolie pulmonaire "), _xlpm.s3, SUBSTITUTE(_xlpm.s2, " rgo ", " reflux gastro-oesophagien "), TRIM(_xlpm.s3))</f>
        <v>prééclampsie • (hta + protéinurie)</v>
      </c>
      <c r="M44" t="str" cm="1">
        <f t="array" ref="M44">_xlfn.LET(_xlpm.base, " " &amp; LOWER(TRIM($L44)) &amp; " ", _xlpm.s1, SUBSTITUTE(_xlpm.base, " saos ", " syndrome d'apnees obstructives du sommeil "), _xlpm.s2, SUBSTITUTE(_xlpm.s1, " oacr ", " occlusion de l'artere centrale de la retine "), _xlpm.s3, SUBSTITUTE(_xlpm.s2, " hsd ", " hematome sous-dural "), TRIM(_xlpm.s3))</f>
        <v>prééclampsie • (hta + protéinurie)</v>
      </c>
      <c r="N44" t="str" cm="1">
        <f t="array" ref="N44">_xlfn.LET(_xlpm.base, " " &amp; LOWER(TRIM($M44))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prééclampsie • (hta + protéinurie)</v>
      </c>
      <c r="O44" t="str" cm="1">
        <f t="array" ref="O44">_xlfn.LET(_xlpm.base, " " &amp; LOWER(TRIM($N44))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prééclampsie • (hta + protéinurie)</v>
      </c>
    </row>
    <row r="45" spans="1:15" ht="179.25">
      <c r="A45" s="44" t="s">
        <v>1314</v>
      </c>
      <c r="B45" s="44">
        <v>2014</v>
      </c>
      <c r="C45" s="45" t="s">
        <v>1328</v>
      </c>
      <c r="D45" s="45"/>
      <c r="E45" s="46" t="s">
        <v>1329</v>
      </c>
      <c r="F45" s="46" t="s">
        <v>1330</v>
      </c>
      <c r="G45" s="46" t="s">
        <v>1331</v>
      </c>
      <c r="H45" s="46" t="s">
        <v>1332</v>
      </c>
      <c r="I45" s="46" t="s">
        <v>1333</v>
      </c>
      <c r="J45" t="str" cm="1">
        <f t="array" ref="J45">_xlfn.LET(_xlpm.yr, B45, _xlpm.title, IFERROR(_xlfn.TEXTBEFORE(C45,"["), C45), _xlpm.base, TRIM(SUBSTITUTE(SUBSTITUTE(SUBSTITUTE(SUBSTITUTE(_xlpm.title,"•"," "),CHAR(160)," "),CHAR(10)," "),"  "," ")), LOWER(_xlpm.yr&amp;"|"&amp;_xlpm.base))</f>
        <v>2014|infertilité chez femme</v>
      </c>
      <c r="K45" t="str">
        <f>LOWER($B45 &amp; "|" &amp; $O45)</f>
        <v>2014|infertilité chez femme</v>
      </c>
      <c r="L45" t="str" cm="1">
        <f t="array" ref="L45">_xlfn.LET(_xlpm.base, " " &amp; LOWER(TRIM(IFERROR(_xlfn.TEXTBEFORE($C45,"["), $C45))) &amp; " ", _xlpm.s1, SUBSTITUTE(_xlpm.base, " fa ", " fibrillation auriculaire "), _xlpm.s2, SUBSTITUTE(_xlpm.s1, " ep ", " embolie pulmonaire "), _xlpm.s3, SUBSTITUTE(_xlpm.s2, " rgo ", " reflux gastro-oesophagien "), TRIM(_xlpm.s3))</f>
        <v>infertilité chez femme</v>
      </c>
      <c r="M45" t="str" cm="1">
        <f t="array" ref="M45">_xlfn.LET(_xlpm.base, " " &amp; LOWER(TRIM($L45)) &amp; " ", _xlpm.s1, SUBSTITUTE(_xlpm.base, " saos ", " syndrome d'apnees obstructives du sommeil "), _xlpm.s2, SUBSTITUTE(_xlpm.s1, " oacr ", " occlusion de l'artere centrale de la retine "), _xlpm.s3, SUBSTITUTE(_xlpm.s2, " hsd ", " hematome sous-dural "), TRIM(_xlpm.s3))</f>
        <v>infertilité chez femme</v>
      </c>
      <c r="N45" t="str" cm="1">
        <f t="array" ref="N45">_xlfn.LET(_xlpm.base, " " &amp; LOWER(TRIM($M45))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infertilité chez femme</v>
      </c>
      <c r="O45" t="str" cm="1">
        <f t="array" ref="O45">_xlfn.LET(_xlpm.base, " " &amp; LOWER(TRIM($N45))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infertilité chez femme</v>
      </c>
    </row>
    <row r="46" spans="1:15" ht="68.25">
      <c r="A46" s="44" t="s">
        <v>1314</v>
      </c>
      <c r="B46" s="44">
        <v>2014</v>
      </c>
      <c r="C46" s="46" t="s">
        <v>1334</v>
      </c>
      <c r="D46" s="46" t="s">
        <v>1335</v>
      </c>
      <c r="E46" s="46" t="s">
        <v>1336</v>
      </c>
      <c r="F46" s="46" t="s">
        <v>1337</v>
      </c>
      <c r="G46" s="46" t="s">
        <v>1338</v>
      </c>
      <c r="H46" s="46" t="s">
        <v>1339</v>
      </c>
      <c r="I46" s="46" t="s">
        <v>1340</v>
      </c>
      <c r="J46" t="str" cm="1">
        <f t="array" ref="J46">_xlfn.LET(_xlpm.yr, B46, _xlpm.title, IFERROR(_xlfn.TEXTBEFORE(C46,"["), C46), _xlpm.base, TRIM(SUBSTITUTE(SUBSTITUTE(SUBSTITUTE(SUBSTITUTE(_xlpm.title,"•"," "),CHAR(160)," "),CHAR(10)," "),"  "," ")), LOWER(_xlpm.yr&amp;"|"&amp;_xlpm.base))</f>
        <v>2014|geu</v>
      </c>
      <c r="K46" t="str">
        <f>LOWER($B46 &amp; "|" &amp; $O46)</f>
        <v>2014|grossesse extra-uterine</v>
      </c>
      <c r="L46" t="str" cm="1">
        <f t="array" ref="L46">_xlfn.LET(_xlpm.base, " " &amp; LOWER(TRIM(IFERROR(_xlfn.TEXTBEFORE($C46,"["), $C46))) &amp; " ", _xlpm.s1, SUBSTITUTE(_xlpm.base, " fa ", " fibrillation auriculaire "), _xlpm.s2, SUBSTITUTE(_xlpm.s1, " ep ", " embolie pulmonaire "), _xlpm.s3, SUBSTITUTE(_xlpm.s2, " rgo ", " reflux gastro-oesophagien "), TRIM(_xlpm.s3))</f>
        <v>geu</v>
      </c>
      <c r="M46" t="str" cm="1">
        <f t="array" ref="M46">_xlfn.LET(_xlpm.base, " " &amp; LOWER(TRIM($L46)) &amp; " ", _xlpm.s1, SUBSTITUTE(_xlpm.base, " saos ", " syndrome d'apnees obstructives du sommeil "), _xlpm.s2, SUBSTITUTE(_xlpm.s1, " oacr ", " occlusion de l'artere centrale de la retine "), _xlpm.s3, SUBSTITUTE(_xlpm.s2, " hsd ", " hematome sous-dural "), TRIM(_xlpm.s3))</f>
        <v>geu</v>
      </c>
      <c r="N46" t="str" cm="1">
        <f t="array" ref="N46">_xlfn.LET(_xlpm.base, " " &amp; LOWER(TRIM($M46))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geu</v>
      </c>
      <c r="O46" t="str" cm="1">
        <f t="array" ref="O46">_xlfn.LET(_xlpm.base, " " &amp; LOWER(TRIM($N46))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grossesse extra-uterine</v>
      </c>
    </row>
    <row r="47" spans="1:15" ht="138">
      <c r="A47" s="44" t="s">
        <v>1314</v>
      </c>
      <c r="B47" s="44">
        <v>2015</v>
      </c>
      <c r="C47" s="46" t="s">
        <v>456</v>
      </c>
      <c r="D47" s="46" t="s">
        <v>1341</v>
      </c>
      <c r="E47" s="46" t="s">
        <v>1342</v>
      </c>
      <c r="F47" s="46" t="s">
        <v>460</v>
      </c>
      <c r="G47" s="46" t="s">
        <v>457</v>
      </c>
      <c r="H47" s="46" t="s">
        <v>1343</v>
      </c>
      <c r="I47" s="46" t="s">
        <v>461</v>
      </c>
      <c r="J47" t="str" cm="1">
        <f t="array" ref="J47">_xlfn.LET(_xlpm.yr, B47, _xlpm.title, IFERROR(_xlfn.TEXTBEFORE(C47,"["), C47), _xlpm.base, TRIM(SUBSTITUTE(SUBSTITUTE(SUBSTITUTE(SUBSTITUTE(_xlpm.title,"•"," "),CHAR(160)," "),CHAR(10)," "),"  "," ")), LOWER(_xlpm.yr&amp;"|"&amp;_xlpm.base))</f>
        <v>2015|cancer du sein</v>
      </c>
      <c r="K47" t="str">
        <f>LOWER($B47 &amp; "|" &amp; $O47)</f>
        <v>2015|cancer du sein</v>
      </c>
      <c r="L47" t="str" cm="1">
        <f t="array" ref="L47">_xlfn.LET(_xlpm.base, " " &amp; LOWER(TRIM(IFERROR(_xlfn.TEXTBEFORE($C47,"["), $C47))) &amp; " ", _xlpm.s1, SUBSTITUTE(_xlpm.base, " fa ", " fibrillation auriculaire "), _xlpm.s2, SUBSTITUTE(_xlpm.s1, " ep ", " embolie pulmonaire "), _xlpm.s3, SUBSTITUTE(_xlpm.s2, " rgo ", " reflux gastro-oesophagien "), TRIM(_xlpm.s3))</f>
        <v>cancer du sein</v>
      </c>
      <c r="M47" t="str" cm="1">
        <f t="array" ref="M47">_xlfn.LET(_xlpm.base, " " &amp; LOWER(TRIM($L47)) &amp; " ", _xlpm.s1, SUBSTITUTE(_xlpm.base, " saos ", " syndrome d'apnees obstructives du sommeil "), _xlpm.s2, SUBSTITUTE(_xlpm.s1, " oacr ", " occlusion de l'artere centrale de la retine "), _xlpm.s3, SUBSTITUTE(_xlpm.s2, " hsd ", " hematome sous-dural "), TRIM(_xlpm.s3))</f>
        <v>cancer du sein</v>
      </c>
      <c r="N47" t="str" cm="1">
        <f t="array" ref="N47">_xlfn.LET(_xlpm.base, " " &amp; LOWER(TRIM($M47))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cancer du sein</v>
      </c>
      <c r="O47" t="str" cm="1">
        <f t="array" ref="O47">_xlfn.LET(_xlpm.base, " " &amp; LOWER(TRIM($N47))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cancer du sein</v>
      </c>
    </row>
    <row r="48" spans="1:15">
      <c r="A48" s="44" t="s">
        <v>1314</v>
      </c>
      <c r="B48" s="44">
        <v>2015</v>
      </c>
      <c r="C48" s="46" t="s">
        <v>1344</v>
      </c>
      <c r="D48" s="47" t="s">
        <v>1345</v>
      </c>
      <c r="E48" s="45"/>
      <c r="F48" s="45"/>
      <c r="G48" s="45"/>
      <c r="H48" s="45"/>
      <c r="I48" s="45"/>
      <c r="J48" t="str" cm="1">
        <f t="array" ref="J48">_xlfn.LET(_xlpm.yr, B48, _xlpm.title, IFERROR(_xlfn.TEXTBEFORE(C48,"["), C48), _xlpm.base, TRIM(SUBSTITUTE(SUBSTITUTE(SUBSTITUTE(SUBSTITUTE(_xlpm.title,"•"," "),CHAR(160)," "),CHAR(10)," "),"  "," ")), LOWER(_xlpm.yr&amp;"|"&amp;_xlpm.base))</f>
        <v>2015|femme 19 ans veut la pilule</v>
      </c>
      <c r="K48" t="str">
        <f>LOWER($B48 &amp; "|" &amp; $O48)</f>
        <v>2015|femme 19 ans veut la pilule</v>
      </c>
      <c r="L48" t="str" cm="1">
        <f t="array" ref="L48">_xlfn.LET(_xlpm.base, " " &amp; LOWER(TRIM(IFERROR(_xlfn.TEXTBEFORE($C48,"["), $C48))) &amp; " ", _xlpm.s1, SUBSTITUTE(_xlpm.base, " fa ", " fibrillation auriculaire "), _xlpm.s2, SUBSTITUTE(_xlpm.s1, " ep ", " embolie pulmonaire "), _xlpm.s3, SUBSTITUTE(_xlpm.s2, " rgo ", " reflux gastro-oesophagien "), TRIM(_xlpm.s3))</f>
        <v>femme 19 ans veut la pilule</v>
      </c>
      <c r="M48" t="str" cm="1">
        <f t="array" ref="M48">_xlfn.LET(_xlpm.base, " " &amp; LOWER(TRIM($L48)) &amp; " ", _xlpm.s1, SUBSTITUTE(_xlpm.base, " saos ", " syndrome d'apnees obstructives du sommeil "), _xlpm.s2, SUBSTITUTE(_xlpm.s1, " oacr ", " occlusion de l'artere centrale de la retine "), _xlpm.s3, SUBSTITUTE(_xlpm.s2, " hsd ", " hematome sous-dural "), TRIM(_xlpm.s3))</f>
        <v>femme 19 ans veut la pilule</v>
      </c>
      <c r="N48" t="str" cm="1">
        <f t="array" ref="N48">_xlfn.LET(_xlpm.base, " " &amp; LOWER(TRIM($M48))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femme 19 ans veut la pilule</v>
      </c>
      <c r="O48" t="str" cm="1">
        <f t="array" ref="O48">_xlfn.LET(_xlpm.base, " " &amp; LOWER(TRIM($N48))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femme 19 ans veut la pilule</v>
      </c>
    </row>
    <row r="49" spans="1:15" ht="110.25">
      <c r="A49" s="44" t="s">
        <v>1314</v>
      </c>
      <c r="B49" s="44">
        <v>2015</v>
      </c>
      <c r="C49" s="46" t="s">
        <v>1346</v>
      </c>
      <c r="D49" s="46" t="s">
        <v>1347</v>
      </c>
      <c r="E49" s="46" t="s">
        <v>1348</v>
      </c>
      <c r="F49" s="46" t="s">
        <v>1349</v>
      </c>
      <c r="G49" s="46" t="s">
        <v>1350</v>
      </c>
      <c r="H49" s="46" t="s">
        <v>1351</v>
      </c>
      <c r="I49" s="46" t="s">
        <v>1352</v>
      </c>
      <c r="J49" t="str" cm="1">
        <f t="array" ref="J49">_xlfn.LET(_xlpm.yr, B49, _xlpm.title, IFERROR(_xlfn.TEXTBEFORE(C49,"["), C49), _xlpm.base, TRIM(SUBSTITUTE(SUBSTITUTE(SUBSTITUTE(SUBSTITUTE(_xlpm.title,"•"," "),CHAR(160)," "),CHAR(10)," "),"  "," ")), LOWER(_xlpm.yr&amp;"|"&amp;_xlpm.base))</f>
        <v>2015|pid</v>
      </c>
      <c r="K49" t="str">
        <f>LOWER($B49 &amp; "|" &amp; $O49)</f>
        <v>2015|pid</v>
      </c>
      <c r="L49" t="str" cm="1">
        <f t="array" ref="L49">_xlfn.LET(_xlpm.base, " " &amp; LOWER(TRIM(IFERROR(_xlfn.TEXTBEFORE($C49,"["), $C49))) &amp; " ", _xlpm.s1, SUBSTITUTE(_xlpm.base, " fa ", " fibrillation auriculaire "), _xlpm.s2, SUBSTITUTE(_xlpm.s1, " ep ", " embolie pulmonaire "), _xlpm.s3, SUBSTITUTE(_xlpm.s2, " rgo ", " reflux gastro-oesophagien "), TRIM(_xlpm.s3))</f>
        <v>pid</v>
      </c>
      <c r="M49" t="str" cm="1">
        <f t="array" ref="M49">_xlfn.LET(_xlpm.base, " " &amp; LOWER(TRIM($L49)) &amp; " ", _xlpm.s1, SUBSTITUTE(_xlpm.base, " saos ", " syndrome d'apnees obstructives du sommeil "), _xlpm.s2, SUBSTITUTE(_xlpm.s1, " oacr ", " occlusion de l'artere centrale de la retine "), _xlpm.s3, SUBSTITUTE(_xlpm.s2, " hsd ", " hematome sous-dural "), TRIM(_xlpm.s3))</f>
        <v>pid</v>
      </c>
      <c r="N49" t="str" cm="1">
        <f t="array" ref="N49">_xlfn.LET(_xlpm.base, " " &amp; LOWER(TRIM($M49))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pid</v>
      </c>
      <c r="O49" t="str" cm="1">
        <f t="array" ref="O49">_xlfn.LET(_xlpm.base, " " &amp; LOWER(TRIM($N49))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pid</v>
      </c>
    </row>
    <row r="50" spans="1:15" ht="83.25">
      <c r="A50" s="44" t="s">
        <v>1314</v>
      </c>
      <c r="B50" s="44">
        <v>2016</v>
      </c>
      <c r="C50" s="46" t="s">
        <v>1353</v>
      </c>
      <c r="D50" s="46" t="s">
        <v>1354</v>
      </c>
      <c r="E50" s="46" t="s">
        <v>1355</v>
      </c>
      <c r="F50" s="46" t="s">
        <v>1356</v>
      </c>
      <c r="G50" s="46" t="s">
        <v>1357</v>
      </c>
      <c r="H50" s="46" t="s">
        <v>1358</v>
      </c>
      <c r="I50" s="46" t="s">
        <v>1359</v>
      </c>
      <c r="J50" t="str" cm="1">
        <f t="array" ref="J50">_xlfn.LET(_xlpm.yr, B50, _xlpm.title, IFERROR(_xlfn.TEXTBEFORE(C50,"["), C50), _xlpm.base, TRIM(SUBSTITUTE(SUBSTITUTE(SUBSTITUTE(SUBSTITUTE(_xlpm.title,"•"," "),CHAR(160)," "),CHAR(10)," "),"  "," ")), LOWER(_xlpm.yr&amp;"|"&amp;_xlpm.base))</f>
        <v>2016|iu chez femme enceinte 14 sa</v>
      </c>
      <c r="K50" t="str">
        <f>LOWER($B50 &amp; "|" &amp; $O50)</f>
        <v>2016|iu chez femme enceinte 14 sa</v>
      </c>
      <c r="L50" t="str" cm="1">
        <f t="array" ref="L50">_xlfn.LET(_xlpm.base, " " &amp; LOWER(TRIM(IFERROR(_xlfn.TEXTBEFORE($C50,"["), $C50))) &amp; " ", _xlpm.s1, SUBSTITUTE(_xlpm.base, " fa ", " fibrillation auriculaire "), _xlpm.s2, SUBSTITUTE(_xlpm.s1, " ep ", " embolie pulmonaire "), _xlpm.s3, SUBSTITUTE(_xlpm.s2, " rgo ", " reflux gastro-oesophagien "), TRIM(_xlpm.s3))</f>
        <v>iu chez femme enceinte 14 sa</v>
      </c>
      <c r="M50" t="str" cm="1">
        <f t="array" ref="M50">_xlfn.LET(_xlpm.base, " " &amp; LOWER(TRIM($L50)) &amp; " ", _xlpm.s1, SUBSTITUTE(_xlpm.base, " saos ", " syndrome d'apnees obstructives du sommeil "), _xlpm.s2, SUBSTITUTE(_xlpm.s1, " oacr ", " occlusion de l'artere centrale de la retine "), _xlpm.s3, SUBSTITUTE(_xlpm.s2, " hsd ", " hematome sous-dural "), TRIM(_xlpm.s3))</f>
        <v>iu chez femme enceinte 14 sa</v>
      </c>
      <c r="N50" t="str" cm="1">
        <f t="array" ref="N50">_xlfn.LET(_xlpm.base, " " &amp; LOWER(TRIM($M50))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iu chez femme enceinte 14 sa</v>
      </c>
      <c r="O50" t="str" cm="1">
        <f t="array" ref="O50">_xlfn.LET(_xlpm.base, " " &amp; LOWER(TRIM($N50))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iu chez femme enceinte 14 sa</v>
      </c>
    </row>
    <row r="51" spans="1:15" ht="206.25">
      <c r="A51" s="44" t="s">
        <v>1314</v>
      </c>
      <c r="B51" s="44">
        <v>2016</v>
      </c>
      <c r="C51" s="46" t="s">
        <v>1360</v>
      </c>
      <c r="D51" s="46" t="s">
        <v>1361</v>
      </c>
      <c r="E51" s="46" t="s">
        <v>1362</v>
      </c>
      <c r="F51" s="46" t="s">
        <v>1363</v>
      </c>
      <c r="G51" s="46" t="s">
        <v>1364</v>
      </c>
      <c r="H51" s="46" t="s">
        <v>1365</v>
      </c>
      <c r="I51" s="46" t="s">
        <v>1366</v>
      </c>
      <c r="J51" t="str" cm="1">
        <f t="array" ref="J51">_xlfn.LET(_xlpm.yr, B51, _xlpm.title, IFERROR(_xlfn.TEXTBEFORE(C51,"["), C51), _xlpm.base, TRIM(SUBSTITUTE(SUBSTITUTE(SUBSTITUTE(SUBSTITUTE(_xlpm.title,"•"," "),CHAR(160)," "),CHAR(10)," "),"  "," ")), LOWER(_xlpm.yr&amp;"|"&amp;_xlpm.base))</f>
        <v>2016|???? cf cas 4 amboss</v>
      </c>
      <c r="K51" t="str">
        <f>LOWER($B51 &amp; "|" &amp; $O51)</f>
        <v>2016|???? • cf cas 4 amboss</v>
      </c>
      <c r="L51" t="str" cm="1">
        <f t="array" ref="L51">_xlfn.LET(_xlpm.base, " " &amp; LOWER(TRIM(IFERROR(_xlfn.TEXTBEFORE($C51,"["), $C51))) &amp; " ", _xlpm.s1, SUBSTITUTE(_xlpm.base, " fa ", " fibrillation auriculaire "), _xlpm.s2, SUBSTITUTE(_xlpm.s1, " ep ", " embolie pulmonaire "), _xlpm.s3, SUBSTITUTE(_xlpm.s2, " rgo ", " reflux gastro-oesophagien "), TRIM(_xlpm.s3))</f>
        <v>???? • cf cas 4 amboss</v>
      </c>
      <c r="M51" t="str" cm="1">
        <f t="array" ref="M51">_xlfn.LET(_xlpm.base, " " &amp; LOWER(TRIM($L51)) &amp; " ", _xlpm.s1, SUBSTITUTE(_xlpm.base, " saos ", " syndrome d'apnees obstructives du sommeil "), _xlpm.s2, SUBSTITUTE(_xlpm.s1, " oacr ", " occlusion de l'artere centrale de la retine "), _xlpm.s3, SUBSTITUTE(_xlpm.s2, " hsd ", " hematome sous-dural "), TRIM(_xlpm.s3))</f>
        <v>???? • cf cas 4 amboss</v>
      </c>
      <c r="N51" t="str" cm="1">
        <f t="array" ref="N51">_xlfn.LET(_xlpm.base, " " &amp; LOWER(TRIM($M51))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 • cf cas 4 amboss</v>
      </c>
      <c r="O51" t="str" cm="1">
        <f t="array" ref="O51">_xlfn.LET(_xlpm.base, " " &amp; LOWER(TRIM($N51))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 • cf cas 4 amboss</v>
      </c>
    </row>
    <row r="52" spans="1:15">
      <c r="A52" s="44" t="s">
        <v>1314</v>
      </c>
      <c r="B52" s="44">
        <v>2017</v>
      </c>
      <c r="C52" s="46" t="s">
        <v>1367</v>
      </c>
      <c r="D52" s="45" t="s">
        <v>1368</v>
      </c>
      <c r="E52" s="45"/>
      <c r="F52" s="45"/>
      <c r="G52" s="45"/>
      <c r="H52" s="45"/>
      <c r="I52" s="46"/>
      <c r="J52" t="str" cm="1">
        <f t="array" ref="J52">_xlfn.LET(_xlpm.yr, B52, _xlpm.title, IFERROR(_xlfn.TEXTBEFORE(C52,"["), C52), _xlpm.base, TRIM(SUBSTITUTE(SUBSTITUTE(SUBSTITUTE(SUBSTITUTE(_xlpm.title,"•"," "),CHAR(160)," "),CHAR(10)," "),"  "," ")), LOWER(_xlpm.yr&amp;"|"&amp;_xlpm.base))</f>
        <v>2017|prééclampsie cf plus haut</v>
      </c>
      <c r="K52" t="str">
        <f>LOWER($B52 &amp; "|" &amp; $O52)</f>
        <v>2017|prééclampsie cf plus haut</v>
      </c>
      <c r="L52" t="str" cm="1">
        <f t="array" ref="L52">_xlfn.LET(_xlpm.base, " " &amp; LOWER(TRIM(IFERROR(_xlfn.TEXTBEFORE($C52,"["), $C52))) &amp; " ", _xlpm.s1, SUBSTITUTE(_xlpm.base, " fa ", " fibrillation auriculaire "), _xlpm.s2, SUBSTITUTE(_xlpm.s1, " ep ", " embolie pulmonaire "), _xlpm.s3, SUBSTITUTE(_xlpm.s2, " rgo ", " reflux gastro-oesophagien "), TRIM(_xlpm.s3))</f>
        <v>prééclampsie cf plus haut</v>
      </c>
      <c r="M52" t="str" cm="1">
        <f t="array" ref="M52">_xlfn.LET(_xlpm.base, " " &amp; LOWER(TRIM($L52)) &amp; " ", _xlpm.s1, SUBSTITUTE(_xlpm.base, " saos ", " syndrome d'apnees obstructives du sommeil "), _xlpm.s2, SUBSTITUTE(_xlpm.s1, " oacr ", " occlusion de l'artere centrale de la retine "), _xlpm.s3, SUBSTITUTE(_xlpm.s2, " hsd ", " hematome sous-dural "), TRIM(_xlpm.s3))</f>
        <v>prééclampsie cf plus haut</v>
      </c>
      <c r="N52" t="str" cm="1">
        <f t="array" ref="N52">_xlfn.LET(_xlpm.base, " " &amp; LOWER(TRIM($M52))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prééclampsie cf plus haut</v>
      </c>
      <c r="O52" t="str" cm="1">
        <f t="array" ref="O52">_xlfn.LET(_xlpm.base, " " &amp; LOWER(TRIM($N52))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prééclampsie cf plus haut</v>
      </c>
    </row>
    <row r="53" spans="1:15" ht="138">
      <c r="A53" s="44" t="s">
        <v>1369</v>
      </c>
      <c r="B53" s="44">
        <v>2013</v>
      </c>
      <c r="C53" s="46" t="s">
        <v>1370</v>
      </c>
      <c r="D53" s="46" t="s">
        <v>1371</v>
      </c>
      <c r="E53" s="46" t="s">
        <v>1372</v>
      </c>
      <c r="F53" s="46" t="s">
        <v>1373</v>
      </c>
      <c r="G53" s="46" t="s">
        <v>1374</v>
      </c>
      <c r="H53" s="46" t="s">
        <v>1375</v>
      </c>
      <c r="I53" s="46" t="s">
        <v>1376</v>
      </c>
      <c r="J53" t="str" cm="1">
        <f t="array" ref="J53">_xlfn.LET(_xlpm.yr, B53, _xlpm.title, IFERROR(_xlfn.TEXTBEFORE(C53,"["), C53), _xlpm.base, TRIM(SUBSTITUTE(SUBSTITUTE(SUBSTITUTE(SUBSTITUTE(_xlpm.title,"•"," "),CHAR(160)," "),CHAR(10)," "),"  "," ")), LOWER(_xlpm.yr&amp;"|"&amp;_xlpm.base))</f>
        <v>2013|démence cf cas 17 amboss</v>
      </c>
      <c r="K53" t="str">
        <f>LOWER($B53 &amp; "|" &amp; $O53)</f>
        <v>2013|démence • cf cas 17 amboss</v>
      </c>
      <c r="L53" t="str" cm="1">
        <f t="array" ref="L53">_xlfn.LET(_xlpm.base, " " &amp; LOWER(TRIM(IFERROR(_xlfn.TEXTBEFORE($C53,"["), $C53))) &amp; " ", _xlpm.s1, SUBSTITUTE(_xlpm.base, " fa ", " fibrillation auriculaire "), _xlpm.s2, SUBSTITUTE(_xlpm.s1, " ep ", " embolie pulmonaire "), _xlpm.s3, SUBSTITUTE(_xlpm.s2, " rgo ", " reflux gastro-oesophagien "), TRIM(_xlpm.s3))</f>
        <v>démence • cf cas 17 amboss</v>
      </c>
      <c r="M53" t="str" cm="1">
        <f t="array" ref="M53">_xlfn.LET(_xlpm.base, " " &amp; LOWER(TRIM($L53)) &amp; " ", _xlpm.s1, SUBSTITUTE(_xlpm.base, " saos ", " syndrome d'apnees obstructives du sommeil "), _xlpm.s2, SUBSTITUTE(_xlpm.s1, " oacr ", " occlusion de l'artere centrale de la retine "), _xlpm.s3, SUBSTITUTE(_xlpm.s2, " hsd ", " hematome sous-dural "), TRIM(_xlpm.s3))</f>
        <v>démence • cf cas 17 amboss</v>
      </c>
      <c r="N53" t="str" cm="1">
        <f t="array" ref="N53">_xlfn.LET(_xlpm.base, " " &amp; LOWER(TRIM($M53))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démence • cf cas 17 amboss</v>
      </c>
      <c r="O53" t="str" cm="1">
        <f t="array" ref="O53">_xlfn.LET(_xlpm.base, " " &amp; LOWER(TRIM($N53))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démence • cf cas 17 amboss</v>
      </c>
    </row>
    <row r="54" spans="1:15">
      <c r="A54" s="44" t="s">
        <v>1369</v>
      </c>
      <c r="B54" s="44">
        <v>2014</v>
      </c>
      <c r="C54" s="46" t="s">
        <v>1377</v>
      </c>
      <c r="D54" s="45" t="s">
        <v>1378</v>
      </c>
      <c r="E54" s="45"/>
      <c r="F54" s="45"/>
      <c r="G54" s="45"/>
      <c r="H54" s="46"/>
      <c r="I54" s="46"/>
      <c r="J54" t="str" cm="1">
        <f t="array" ref="J54">_xlfn.LET(_xlpm.yr, B54, _xlpm.title, IFERROR(_xlfn.TEXTBEFORE(C54,"["), C54), _xlpm.base, TRIM(SUBSTITUTE(SUBSTITUTE(SUBSTITUTE(SUBSTITUTE(_xlpm.title,"•"," "),CHAR(160)," "),CHAR(10)," "),"  "," ")), LOWER(_xlpm.yr&amp;"|"&amp;_xlpm.base))</f>
        <v>2014|alzheimer débutant</v>
      </c>
      <c r="K54" t="str">
        <f>LOWER($B54 &amp; "|" &amp; $O54)</f>
        <v>2014|alzheimer débutant</v>
      </c>
      <c r="L54" t="str" cm="1">
        <f t="array" ref="L54">_xlfn.LET(_xlpm.base, " " &amp; LOWER(TRIM(IFERROR(_xlfn.TEXTBEFORE($C54,"["), $C54))) &amp; " ", _xlpm.s1, SUBSTITUTE(_xlpm.base, " fa ", " fibrillation auriculaire "), _xlpm.s2, SUBSTITUTE(_xlpm.s1, " ep ", " embolie pulmonaire "), _xlpm.s3, SUBSTITUTE(_xlpm.s2, " rgo ", " reflux gastro-oesophagien "), TRIM(_xlpm.s3))</f>
        <v>alzheimer débutant</v>
      </c>
      <c r="M54" t="str" cm="1">
        <f t="array" ref="M54">_xlfn.LET(_xlpm.base, " " &amp; LOWER(TRIM($L54)) &amp; " ", _xlpm.s1, SUBSTITUTE(_xlpm.base, " saos ", " syndrome d'apnees obstructives du sommeil "), _xlpm.s2, SUBSTITUTE(_xlpm.s1, " oacr ", " occlusion de l'artere centrale de la retine "), _xlpm.s3, SUBSTITUTE(_xlpm.s2, " hsd ", " hematome sous-dural "), TRIM(_xlpm.s3))</f>
        <v>alzheimer débutant</v>
      </c>
      <c r="N54" t="str" cm="1">
        <f t="array" ref="N54">_xlfn.LET(_xlpm.base, " " &amp; LOWER(TRIM($M54))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alzheimer débutant</v>
      </c>
      <c r="O54" t="str" cm="1">
        <f t="array" ref="O54">_xlfn.LET(_xlpm.base, " " &amp; LOWER(TRIM($N54))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alzheimer débutant</v>
      </c>
    </row>
    <row r="55" spans="1:15">
      <c r="A55" s="44" t="s">
        <v>1369</v>
      </c>
      <c r="B55" s="44">
        <v>2015</v>
      </c>
      <c r="C55" s="46" t="s">
        <v>1379</v>
      </c>
      <c r="D55" s="45" t="s">
        <v>1380</v>
      </c>
      <c r="E55" s="45"/>
      <c r="F55" s="45"/>
      <c r="G55" s="45"/>
      <c r="H55" s="45"/>
      <c r="I55" s="45"/>
      <c r="J55" t="str" cm="1">
        <f t="array" ref="J55">_xlfn.LET(_xlpm.yr, B55, _xlpm.title, IFERROR(_xlfn.TEXTBEFORE(C55,"["), C55), _xlpm.base, TRIM(SUBSTITUTE(SUBSTITUTE(SUBSTITUTE(SUBSTITUTE(_xlpm.title,"•"," "),CHAR(160)," "),CHAR(10)," "),"  "," ")), LOWER(_xlpm.yr&amp;"|"&amp;_xlpm.base))</f>
        <v>2015|anamnèse détaillée</v>
      </c>
      <c r="K55" t="str">
        <f>LOWER($B55 &amp; "|" &amp; $O55)</f>
        <v>2015|anamnèse détaillée</v>
      </c>
      <c r="L55" t="str" cm="1">
        <f t="array" ref="L55">_xlfn.LET(_xlpm.base, " " &amp; LOWER(TRIM(IFERROR(_xlfn.TEXTBEFORE($C55,"["), $C55))) &amp; " ", _xlpm.s1, SUBSTITUTE(_xlpm.base, " fa ", " fibrillation auriculaire "), _xlpm.s2, SUBSTITUTE(_xlpm.s1, " ep ", " embolie pulmonaire "), _xlpm.s3, SUBSTITUTE(_xlpm.s2, " rgo ", " reflux gastro-oesophagien "), TRIM(_xlpm.s3))</f>
        <v>anamnèse détaillée</v>
      </c>
      <c r="M55" t="str" cm="1">
        <f t="array" ref="M55">_xlfn.LET(_xlpm.base, " " &amp; LOWER(TRIM($L55)) &amp; " ", _xlpm.s1, SUBSTITUTE(_xlpm.base, " saos ", " syndrome d'apnees obstructives du sommeil "), _xlpm.s2, SUBSTITUTE(_xlpm.s1, " oacr ", " occlusion de l'artere centrale de la retine "), _xlpm.s3, SUBSTITUTE(_xlpm.s2, " hsd ", " hematome sous-dural "), TRIM(_xlpm.s3))</f>
        <v>anamnèse détaillée</v>
      </c>
      <c r="N55" t="str" cm="1">
        <f t="array" ref="N55">_xlfn.LET(_xlpm.base, " " &amp; LOWER(TRIM($M55))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anamnèse détaillée</v>
      </c>
      <c r="O55" t="str" cm="1">
        <f t="array" ref="O55">_xlfn.LET(_xlpm.base, " " &amp; LOWER(TRIM($N55))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anamnèse détaillée</v>
      </c>
    </row>
    <row r="56" spans="1:15" ht="110.25">
      <c r="A56" s="44" t="s">
        <v>1369</v>
      </c>
      <c r="B56" s="44">
        <v>2016</v>
      </c>
      <c r="C56" s="46" t="s">
        <v>1381</v>
      </c>
      <c r="D56" s="46" t="s">
        <v>1382</v>
      </c>
      <c r="E56" s="46" t="s">
        <v>1383</v>
      </c>
      <c r="F56" s="46" t="s">
        <v>1384</v>
      </c>
      <c r="G56" s="46" t="s">
        <v>1385</v>
      </c>
      <c r="H56" s="46" t="s">
        <v>1386</v>
      </c>
      <c r="I56" s="46" t="s">
        <v>1387</v>
      </c>
      <c r="J56" t="str" cm="1">
        <f t="array" ref="J56">_xlfn.LET(_xlpm.yr, B56, _xlpm.title, IFERROR(_xlfn.TEXTBEFORE(C56,"["), C56), _xlpm.base, TRIM(SUBSTITUTE(SUBSTITUTE(SUBSTITUTE(SUBSTITUTE(_xlpm.title,"•"," "),CHAR(160)," "),CHAR(10)," "),"  "," ")), LOWER(_xlpm.yr&amp;"|"&amp;_xlpm.base))</f>
        <v>2016|eca</v>
      </c>
      <c r="K56" t="str">
        <f>LOWER($B56 &amp; "|" &amp; $O56)</f>
        <v>2016|eca</v>
      </c>
      <c r="L56" t="str" cm="1">
        <f t="array" ref="L56">_xlfn.LET(_xlpm.base, " " &amp; LOWER(TRIM(IFERROR(_xlfn.TEXTBEFORE($C56,"["), $C56))) &amp; " ", _xlpm.s1, SUBSTITUTE(_xlpm.base, " fa ", " fibrillation auriculaire "), _xlpm.s2, SUBSTITUTE(_xlpm.s1, " ep ", " embolie pulmonaire "), _xlpm.s3, SUBSTITUTE(_xlpm.s2, " rgo ", " reflux gastro-oesophagien "), TRIM(_xlpm.s3))</f>
        <v>eca</v>
      </c>
      <c r="M56" t="str" cm="1">
        <f t="array" ref="M56">_xlfn.LET(_xlpm.base, " " &amp; LOWER(TRIM($L56)) &amp; " ", _xlpm.s1, SUBSTITUTE(_xlpm.base, " saos ", " syndrome d'apnees obstructives du sommeil "), _xlpm.s2, SUBSTITUTE(_xlpm.s1, " oacr ", " occlusion de l'artere centrale de la retine "), _xlpm.s3, SUBSTITUTE(_xlpm.s2, " hsd ", " hematome sous-dural "), TRIM(_xlpm.s3))</f>
        <v>eca</v>
      </c>
      <c r="N56" t="str" cm="1">
        <f t="array" ref="N56">_xlfn.LET(_xlpm.base, " " &amp; LOWER(TRIM($M56))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eca</v>
      </c>
      <c r="O56" t="str" cm="1">
        <f t="array" ref="O56">_xlfn.LET(_xlpm.base, " " &amp; LOWER(TRIM($N56))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eca</v>
      </c>
    </row>
    <row r="57" spans="1:15">
      <c r="A57" s="44" t="s">
        <v>1369</v>
      </c>
      <c r="B57" s="44">
        <v>2017</v>
      </c>
      <c r="C57" s="45" t="s">
        <v>1388</v>
      </c>
      <c r="D57" s="45"/>
      <c r="E57" s="45"/>
      <c r="F57" s="46"/>
      <c r="G57" s="46"/>
      <c r="H57" s="46"/>
      <c r="I57" s="46"/>
      <c r="J57" t="str" cm="1">
        <f t="array" ref="J57">_xlfn.LET(_xlpm.yr, B57, _xlpm.title, IFERROR(_xlfn.TEXTBEFORE(C57,"["), C57), _xlpm.base, TRIM(SUBSTITUTE(SUBSTITUTE(SUBSTITUTE(SUBSTITUTE(_xlpm.title,"•"," "),CHAR(160)," "),CHAR(10)," "),"  "," ")), LOWER(_xlpm.yr&amp;"|"&amp;_xlpm.base))</f>
        <v>2017|tb mémoire débutante - vieille dame</v>
      </c>
      <c r="K57" t="str">
        <f>LOWER($B57 &amp; "|" &amp; $O57)</f>
        <v>2017|tb mémoire débutante - vieille dame</v>
      </c>
      <c r="L57" t="str" cm="1">
        <f t="array" ref="L57">_xlfn.LET(_xlpm.base, " " &amp; LOWER(TRIM(IFERROR(_xlfn.TEXTBEFORE($C57,"["), $C57))) &amp; " ", _xlpm.s1, SUBSTITUTE(_xlpm.base, " fa ", " fibrillation auriculaire "), _xlpm.s2, SUBSTITUTE(_xlpm.s1, " ep ", " embolie pulmonaire "), _xlpm.s3, SUBSTITUTE(_xlpm.s2, " rgo ", " reflux gastro-oesophagien "), TRIM(_xlpm.s3))</f>
        <v>tb mémoire débutante - vieille dame</v>
      </c>
      <c r="M57" t="str" cm="1">
        <f t="array" ref="M57">_xlfn.LET(_xlpm.base, " " &amp; LOWER(TRIM($L57)) &amp; " ", _xlpm.s1, SUBSTITUTE(_xlpm.base, " saos ", " syndrome d'apnees obstructives du sommeil "), _xlpm.s2, SUBSTITUTE(_xlpm.s1, " oacr ", " occlusion de l'artere centrale de la retine "), _xlpm.s3, SUBSTITUTE(_xlpm.s2, " hsd ", " hematome sous-dural "), TRIM(_xlpm.s3))</f>
        <v>tb mémoire débutante - vieille dame</v>
      </c>
      <c r="N57" t="str" cm="1">
        <f t="array" ref="N57">_xlfn.LET(_xlpm.base, " " &amp; LOWER(TRIM($M57))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tb mémoire débutante - vieille dame</v>
      </c>
      <c r="O57" t="str" cm="1">
        <f t="array" ref="O57">_xlfn.LET(_xlpm.base, " " &amp; LOWER(TRIM($N57))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tb mémoire débutante - vieille dame</v>
      </c>
    </row>
    <row r="58" spans="1:15">
      <c r="A58" s="44" t="s">
        <v>1389</v>
      </c>
      <c r="B58" s="44">
        <v>2013</v>
      </c>
      <c r="C58" s="46" t="s">
        <v>1390</v>
      </c>
      <c r="D58" s="45" t="s">
        <v>1391</v>
      </c>
      <c r="E58" s="45"/>
      <c r="F58" s="45"/>
      <c r="G58" s="45"/>
      <c r="H58" s="45"/>
      <c r="I58" s="45"/>
      <c r="J58" t="str" cm="1">
        <f t="array" ref="J58">_xlfn.LET(_xlpm.yr, B58, _xlpm.title, IFERROR(_xlfn.TEXTBEFORE(C58,"["), C58), _xlpm.base, TRIM(SUBSTITUTE(SUBSTITUTE(SUBSTITUTE(SUBSTITUTE(_xlpm.title,"•"," "),CHAR(160)," "),CHAR(10)," "),"  "," ")), LOWER(_xlpm.yr&amp;"|"&amp;_xlpm.base))</f>
        <v>2013|tuberculose cf cas 31 amboss</v>
      </c>
      <c r="K58" t="str">
        <f>LOWER($B58 &amp; "|" &amp; $O58)</f>
        <v>2013|tuberculose • cf cas 31 amboss</v>
      </c>
      <c r="L58" t="str" cm="1">
        <f t="array" ref="L58">_xlfn.LET(_xlpm.base, " " &amp; LOWER(TRIM(IFERROR(_xlfn.TEXTBEFORE($C58,"["), $C58))) &amp; " ", _xlpm.s1, SUBSTITUTE(_xlpm.base, " fa ", " fibrillation auriculaire "), _xlpm.s2, SUBSTITUTE(_xlpm.s1, " ep ", " embolie pulmonaire "), _xlpm.s3, SUBSTITUTE(_xlpm.s2, " rgo ", " reflux gastro-oesophagien "), TRIM(_xlpm.s3))</f>
        <v>tuberculose • cf cas 31 amboss</v>
      </c>
      <c r="M58" t="str" cm="1">
        <f t="array" ref="M58">_xlfn.LET(_xlpm.base, " " &amp; LOWER(TRIM($L58)) &amp; " ", _xlpm.s1, SUBSTITUTE(_xlpm.base, " saos ", " syndrome d'apnees obstructives du sommeil "), _xlpm.s2, SUBSTITUTE(_xlpm.s1, " oacr ", " occlusion de l'artere centrale de la retine "), _xlpm.s3, SUBSTITUTE(_xlpm.s2, " hsd ", " hematome sous-dural "), TRIM(_xlpm.s3))</f>
        <v>tuberculose • cf cas 31 amboss</v>
      </c>
      <c r="N58" t="str" cm="1">
        <f t="array" ref="N58">_xlfn.LET(_xlpm.base, " " &amp; LOWER(TRIM($M58))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tuberculose • cf cas 31 amboss</v>
      </c>
      <c r="O58" t="str" cm="1">
        <f t="array" ref="O58">_xlfn.LET(_xlpm.base, " " &amp; LOWER(TRIM($N58))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tuberculose • cf cas 31 amboss</v>
      </c>
    </row>
    <row r="59" spans="1:15">
      <c r="A59" s="44" t="s">
        <v>1389</v>
      </c>
      <c r="B59" s="44">
        <v>2013</v>
      </c>
      <c r="C59" s="46" t="s">
        <v>164</v>
      </c>
      <c r="D59" s="46"/>
      <c r="E59" s="46"/>
      <c r="F59" s="46"/>
      <c r="G59" s="46"/>
      <c r="H59" s="45" t="s">
        <v>1392</v>
      </c>
      <c r="I59" s="45"/>
      <c r="J59" t="str" cm="1">
        <f t="array" ref="J59">_xlfn.LET(_xlpm.yr, B59, _xlpm.title, IFERROR(_xlfn.TEXTBEFORE(C59,"["), C59), _xlpm.base, TRIM(SUBSTITUTE(SUBSTITUTE(SUBSTITUTE(SUBSTITUTE(_xlpm.title,"•"," "),CHAR(160)," "),CHAR(10)," "),"  "," ")), LOWER(_xlpm.yr&amp;"|"&amp;_xlpm.base))</f>
        <v>2013|endocardite</v>
      </c>
      <c r="K59" t="str">
        <f>LOWER($B59 &amp; "|" &amp; $O59)</f>
        <v>2013|endocardite</v>
      </c>
      <c r="L59" t="str" cm="1">
        <f t="array" ref="L59">_xlfn.LET(_xlpm.base, " " &amp; LOWER(TRIM(IFERROR(_xlfn.TEXTBEFORE($C59,"["), $C59))) &amp; " ", _xlpm.s1, SUBSTITUTE(_xlpm.base, " fa ", " fibrillation auriculaire "), _xlpm.s2, SUBSTITUTE(_xlpm.s1, " ep ", " embolie pulmonaire "), _xlpm.s3, SUBSTITUTE(_xlpm.s2, " rgo ", " reflux gastro-oesophagien "), TRIM(_xlpm.s3))</f>
        <v>endocardite</v>
      </c>
      <c r="M59" t="str" cm="1">
        <f t="array" ref="M59">_xlfn.LET(_xlpm.base, " " &amp; LOWER(TRIM($L59)) &amp; " ", _xlpm.s1, SUBSTITUTE(_xlpm.base, " saos ", " syndrome d'apnees obstructives du sommeil "), _xlpm.s2, SUBSTITUTE(_xlpm.s1, " oacr ", " occlusion de l'artere centrale de la retine "), _xlpm.s3, SUBSTITUTE(_xlpm.s2, " hsd ", " hematome sous-dural "), TRIM(_xlpm.s3))</f>
        <v>endocardite</v>
      </c>
      <c r="N59" t="str" cm="1">
        <f t="array" ref="N59">_xlfn.LET(_xlpm.base, " " &amp; LOWER(TRIM($M59))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endocardite</v>
      </c>
      <c r="O59" t="str" cm="1">
        <f t="array" ref="O59">_xlfn.LET(_xlpm.base, " " &amp; LOWER(TRIM($N59))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endocardite</v>
      </c>
    </row>
    <row r="60" spans="1:15">
      <c r="A60" s="44" t="s">
        <v>1389</v>
      </c>
      <c r="B60" s="44">
        <v>2014</v>
      </c>
      <c r="C60" s="46" t="s">
        <v>1393</v>
      </c>
      <c r="D60" s="45" t="s">
        <v>1394</v>
      </c>
      <c r="E60" s="45"/>
      <c r="F60" s="45"/>
      <c r="G60" s="45"/>
      <c r="H60" s="46"/>
      <c r="I60" s="46"/>
      <c r="J60" t="str" cm="1">
        <f t="array" ref="J60">_xlfn.LET(_xlpm.yr, B60, _xlpm.title, IFERROR(_xlfn.TEXTBEFORE(C60,"["), C60), _xlpm.base, TRIM(SUBSTITUTE(SUBSTITUTE(SUBSTITUTE(SUBSTITUTE(_xlpm.title,"•"," "),CHAR(160)," "),CHAR(10)," "),"  "," ")), LOWER(_xlpm.yr&amp;"|"&amp;_xlpm.base))</f>
        <v>2014|ge ou intox alimentaire</v>
      </c>
      <c r="K60" t="str">
        <f>LOWER($B60 &amp; "|" &amp; $O60)</f>
        <v>2014|ge ou intox alimentaire</v>
      </c>
      <c r="L60" t="str" cm="1">
        <f t="array" ref="L60">_xlfn.LET(_xlpm.base, " " &amp; LOWER(TRIM(IFERROR(_xlfn.TEXTBEFORE($C60,"["), $C60))) &amp; " ", _xlpm.s1, SUBSTITUTE(_xlpm.base, " fa ", " fibrillation auriculaire "), _xlpm.s2, SUBSTITUTE(_xlpm.s1, " ep ", " embolie pulmonaire "), _xlpm.s3, SUBSTITUTE(_xlpm.s2, " rgo ", " reflux gastro-oesophagien "), TRIM(_xlpm.s3))</f>
        <v>ge ou intox alimentaire</v>
      </c>
      <c r="M60" t="str" cm="1">
        <f t="array" ref="M60">_xlfn.LET(_xlpm.base, " " &amp; LOWER(TRIM($L60)) &amp; " ", _xlpm.s1, SUBSTITUTE(_xlpm.base, " saos ", " syndrome d'apnees obstructives du sommeil "), _xlpm.s2, SUBSTITUTE(_xlpm.s1, " oacr ", " occlusion de l'artere centrale de la retine "), _xlpm.s3, SUBSTITUTE(_xlpm.s2, " hsd ", " hematome sous-dural "), TRIM(_xlpm.s3))</f>
        <v>ge ou intox alimentaire</v>
      </c>
      <c r="N60" t="str" cm="1">
        <f t="array" ref="N60">_xlfn.LET(_xlpm.base, " " &amp; LOWER(TRIM($M60))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ge ou intox alimentaire</v>
      </c>
      <c r="O60" t="str" cm="1">
        <f t="array" ref="O60">_xlfn.LET(_xlpm.base, " " &amp; LOWER(TRIM($N60))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ge ou intox alimentaire</v>
      </c>
    </row>
    <row r="61" spans="1:15" ht="110.25">
      <c r="A61" s="44" t="s">
        <v>1389</v>
      </c>
      <c r="B61" s="44">
        <v>2014</v>
      </c>
      <c r="C61" s="46" t="s">
        <v>398</v>
      </c>
      <c r="D61" s="46" t="s">
        <v>1395</v>
      </c>
      <c r="E61" s="46" t="s">
        <v>1396</v>
      </c>
      <c r="F61" s="46" t="s">
        <v>402</v>
      </c>
      <c r="G61" s="46" t="s">
        <v>399</v>
      </c>
      <c r="H61" s="46" t="s">
        <v>1397</v>
      </c>
      <c r="I61" s="46" t="s">
        <v>403</v>
      </c>
      <c r="J61" t="str" cm="1">
        <f t="array" ref="J61">_xlfn.LET(_xlpm.yr, B61, _xlpm.title, IFERROR(_xlfn.TEXTBEFORE(C61,"["), C61), _xlpm.base, TRIM(SUBSTITUTE(SUBSTITUTE(SUBSTITUTE(SUBSTITUTE(_xlpm.title,"•"," "),CHAR(160)," "),CHAR(10)," "),"  "," ")), LOWER(_xlpm.yr&amp;"|"&amp;_xlpm.base))</f>
        <v>2014|sarcoïdose</v>
      </c>
      <c r="K61" t="str">
        <f>LOWER($B61 &amp; "|" &amp; $O61)</f>
        <v>2014|sarcoïdose</v>
      </c>
      <c r="L61" t="str" cm="1">
        <f t="array" ref="L61">_xlfn.LET(_xlpm.base, " " &amp; LOWER(TRIM(IFERROR(_xlfn.TEXTBEFORE($C61,"["), $C61))) &amp; " ", _xlpm.s1, SUBSTITUTE(_xlpm.base, " fa ", " fibrillation auriculaire "), _xlpm.s2, SUBSTITUTE(_xlpm.s1, " ep ", " embolie pulmonaire "), _xlpm.s3, SUBSTITUTE(_xlpm.s2, " rgo ", " reflux gastro-oesophagien "), TRIM(_xlpm.s3))</f>
        <v>sarcoïdose</v>
      </c>
      <c r="M61" t="str" cm="1">
        <f t="array" ref="M61">_xlfn.LET(_xlpm.base, " " &amp; LOWER(TRIM($L61)) &amp; " ", _xlpm.s1, SUBSTITUTE(_xlpm.base, " saos ", " syndrome d'apnees obstructives du sommeil "), _xlpm.s2, SUBSTITUTE(_xlpm.s1, " oacr ", " occlusion de l'artere centrale de la retine "), _xlpm.s3, SUBSTITUTE(_xlpm.s2, " hsd ", " hematome sous-dural "), TRIM(_xlpm.s3))</f>
        <v>sarcoïdose</v>
      </c>
      <c r="N61" t="str" cm="1">
        <f t="array" ref="N61">_xlfn.LET(_xlpm.base, " " &amp; LOWER(TRIM($M61))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sarcoïdose</v>
      </c>
      <c r="O61" t="str" cm="1">
        <f t="array" ref="O61">_xlfn.LET(_xlpm.base, " " &amp; LOWER(TRIM($N61))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sarcoïdose</v>
      </c>
    </row>
    <row r="62" spans="1:15" ht="41.25">
      <c r="A62" s="44" t="s">
        <v>1389</v>
      </c>
      <c r="B62" s="44">
        <v>2015</v>
      </c>
      <c r="C62" s="45" t="s">
        <v>1398</v>
      </c>
      <c r="D62" s="45"/>
      <c r="E62" s="46" t="s">
        <v>1399</v>
      </c>
      <c r="F62" s="46" t="s">
        <v>1400</v>
      </c>
      <c r="G62" s="46" t="s">
        <v>1401</v>
      </c>
      <c r="H62" s="46" t="s">
        <v>1402</v>
      </c>
      <c r="I62" s="46" t="s">
        <v>1403</v>
      </c>
      <c r="J62" t="str" cm="1">
        <f t="array" ref="J62">_xlfn.LET(_xlpm.yr, B62, _xlpm.title, IFERROR(_xlfn.TEXTBEFORE(C62,"["), C62), _xlpm.base, TRIM(SUBSTITUTE(SUBSTITUTE(SUBSTITUTE(SUBSTITUTE(_xlpm.title,"•"," "),CHAR(160)," "),CHAR(10)," "),"  "," ")), LOWER(_xlpm.yr&amp;"|"&amp;_xlpm.base))</f>
        <v>2015|grippe 25 ans</v>
      </c>
      <c r="K62" t="str">
        <f>LOWER($B62 &amp; "|" &amp; $O62)</f>
        <v>2015|grippe • 25 ans</v>
      </c>
      <c r="L62" t="str" cm="1">
        <f t="array" ref="L62">_xlfn.LET(_xlpm.base, " " &amp; LOWER(TRIM(IFERROR(_xlfn.TEXTBEFORE($C62,"["), $C62))) &amp; " ", _xlpm.s1, SUBSTITUTE(_xlpm.base, " fa ", " fibrillation auriculaire "), _xlpm.s2, SUBSTITUTE(_xlpm.s1, " ep ", " embolie pulmonaire "), _xlpm.s3, SUBSTITUTE(_xlpm.s2, " rgo ", " reflux gastro-oesophagien "), TRIM(_xlpm.s3))</f>
        <v>grippe • 25 ans</v>
      </c>
      <c r="M62" t="str" cm="1">
        <f t="array" ref="M62">_xlfn.LET(_xlpm.base, " " &amp; LOWER(TRIM($L62)) &amp; " ", _xlpm.s1, SUBSTITUTE(_xlpm.base, " saos ", " syndrome d'apnees obstructives du sommeil "), _xlpm.s2, SUBSTITUTE(_xlpm.s1, " oacr ", " occlusion de l'artere centrale de la retine "), _xlpm.s3, SUBSTITUTE(_xlpm.s2, " hsd ", " hematome sous-dural "), TRIM(_xlpm.s3))</f>
        <v>grippe • 25 ans</v>
      </c>
      <c r="N62" t="str" cm="1">
        <f t="array" ref="N62">_xlfn.LET(_xlpm.base, " " &amp; LOWER(TRIM($M62))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grippe • 25 ans</v>
      </c>
      <c r="O62" t="str" cm="1">
        <f t="array" ref="O62">_xlfn.LET(_xlpm.base, " " &amp; LOWER(TRIM($N62))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grippe • 25 ans</v>
      </c>
    </row>
    <row r="63" spans="1:15">
      <c r="A63" s="44" t="s">
        <v>1389</v>
      </c>
      <c r="B63" s="44">
        <v>2015</v>
      </c>
      <c r="C63" s="46" t="s">
        <v>1404</v>
      </c>
      <c r="D63" s="45" t="s">
        <v>1405</v>
      </c>
      <c r="E63" s="45"/>
      <c r="F63" s="45"/>
      <c r="G63" s="45"/>
      <c r="H63" s="45"/>
      <c r="I63" s="46"/>
      <c r="J63" t="str" cm="1">
        <f t="array" ref="J63">_xlfn.LET(_xlpm.yr, B63, _xlpm.title, IFERROR(_xlfn.TEXTBEFORE(C63,"["), C63), _xlpm.base, TRIM(SUBSTITUTE(SUBSTITUTE(SUBSTITUTE(SUBSTITUTE(_xlpm.title,"•"," "),CHAR(160)," "),CHAR(10)," "),"  "," ")), LOWER(_xlpm.yr&amp;"|"&amp;_xlpm.base))</f>
        <v>2015|mst</v>
      </c>
      <c r="K63" t="str">
        <f>LOWER($B63 &amp; "|" &amp; $O63)</f>
        <v>2015|mst •</v>
      </c>
      <c r="L63" t="str" cm="1">
        <f t="array" ref="L63">_xlfn.LET(_xlpm.base, " " &amp; LOWER(TRIM(IFERROR(_xlfn.TEXTBEFORE($C63,"["), $C63))) &amp; " ", _xlpm.s1, SUBSTITUTE(_xlpm.base, " fa ", " fibrillation auriculaire "), _xlpm.s2, SUBSTITUTE(_xlpm.s1, " ep ", " embolie pulmonaire "), _xlpm.s3, SUBSTITUTE(_xlpm.s2, " rgo ", " reflux gastro-oesophagien "), TRIM(_xlpm.s3))</f>
        <v>mst •</v>
      </c>
      <c r="M63" t="str" cm="1">
        <f t="array" ref="M63">_xlfn.LET(_xlpm.base, " " &amp; LOWER(TRIM($L63)) &amp; " ", _xlpm.s1, SUBSTITUTE(_xlpm.base, " saos ", " syndrome d'apnees obstructives du sommeil "), _xlpm.s2, SUBSTITUTE(_xlpm.s1, " oacr ", " occlusion de l'artere centrale de la retine "), _xlpm.s3, SUBSTITUTE(_xlpm.s2, " hsd ", " hematome sous-dural "), TRIM(_xlpm.s3))</f>
        <v>mst •</v>
      </c>
      <c r="N63" t="str" cm="1">
        <f t="array" ref="N63">_xlfn.LET(_xlpm.base, " " &amp; LOWER(TRIM($M63))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mst •</v>
      </c>
      <c r="O63" t="str" cm="1">
        <f t="array" ref="O63">_xlfn.LET(_xlpm.base, " " &amp; LOWER(TRIM($N63))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mst •</v>
      </c>
    </row>
    <row r="64" spans="1:15" ht="96.75">
      <c r="A64" s="44" t="s">
        <v>1389</v>
      </c>
      <c r="B64" s="44">
        <v>2016</v>
      </c>
      <c r="C64" s="46" t="s">
        <v>1406</v>
      </c>
      <c r="D64" s="46" t="s">
        <v>1407</v>
      </c>
      <c r="E64" s="46" t="s">
        <v>1408</v>
      </c>
      <c r="F64" s="46" t="s">
        <v>1205</v>
      </c>
      <c r="G64" s="46" t="s">
        <v>1409</v>
      </c>
      <c r="H64" s="46" t="s">
        <v>1410</v>
      </c>
      <c r="I64" s="46" t="s">
        <v>1411</v>
      </c>
      <c r="J64" t="str" cm="1">
        <f t="array" ref="J64">_xlfn.LET(_xlpm.yr, B64, _xlpm.title, IFERROR(_xlfn.TEXTBEFORE(C64,"["), C64), _xlpm.base, TRIM(SUBSTITUTE(SUBSTITUTE(SUBSTITUTE(SUBSTITUTE(_xlpm.title,"•"," "),CHAR(160)," "),CHAR(10)," "),"  "," ")), LOWER(_xlpm.yr&amp;"|"&amp;_xlpm.base))</f>
        <v>2016|diarrhée, sort de prison</v>
      </c>
      <c r="K64" t="str">
        <f>LOWER($B64 &amp; "|" &amp; $O64)</f>
        <v>2016|diarrhée, sort de prison</v>
      </c>
      <c r="L64" t="str" cm="1">
        <f t="array" ref="L64">_xlfn.LET(_xlpm.base, " " &amp; LOWER(TRIM(IFERROR(_xlfn.TEXTBEFORE($C64,"["), $C64))) &amp; " ", _xlpm.s1, SUBSTITUTE(_xlpm.base, " fa ", " fibrillation auriculaire "), _xlpm.s2, SUBSTITUTE(_xlpm.s1, " ep ", " embolie pulmonaire "), _xlpm.s3, SUBSTITUTE(_xlpm.s2, " rgo ", " reflux gastro-oesophagien "), TRIM(_xlpm.s3))</f>
        <v>diarrhée, sort de prison</v>
      </c>
      <c r="M64" t="str" cm="1">
        <f t="array" ref="M64">_xlfn.LET(_xlpm.base, " " &amp; LOWER(TRIM($L64)) &amp; " ", _xlpm.s1, SUBSTITUTE(_xlpm.base, " saos ", " syndrome d'apnees obstructives du sommeil "), _xlpm.s2, SUBSTITUTE(_xlpm.s1, " oacr ", " occlusion de l'artere centrale de la retine "), _xlpm.s3, SUBSTITUTE(_xlpm.s2, " hsd ", " hematome sous-dural "), TRIM(_xlpm.s3))</f>
        <v>diarrhée, sort de prison</v>
      </c>
      <c r="N64" t="str" cm="1">
        <f t="array" ref="N64">_xlfn.LET(_xlpm.base, " " &amp; LOWER(TRIM($M64))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diarrhée, sort de prison</v>
      </c>
      <c r="O64" t="str" cm="1">
        <f t="array" ref="O64">_xlfn.LET(_xlpm.base, " " &amp; LOWER(TRIM($N64))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diarrhée, sort de prison</v>
      </c>
    </row>
    <row r="65" spans="1:15" ht="110.25">
      <c r="A65" s="44" t="s">
        <v>1389</v>
      </c>
      <c r="B65" s="44">
        <v>2016</v>
      </c>
      <c r="C65" s="46" t="s">
        <v>568</v>
      </c>
      <c r="D65" s="46" t="s">
        <v>1412</v>
      </c>
      <c r="E65" s="46" t="s">
        <v>571</v>
      </c>
      <c r="F65" s="46" t="s">
        <v>572</v>
      </c>
      <c r="G65" s="46" t="s">
        <v>569</v>
      </c>
      <c r="H65" s="46" t="s">
        <v>1413</v>
      </c>
      <c r="I65" s="46" t="s">
        <v>573</v>
      </c>
      <c r="J65" t="str" cm="1">
        <f t="array" ref="J65">_xlfn.LET(_xlpm.yr, B65, _xlpm.title, IFERROR(_xlfn.TEXTBEFORE(C65,"["), C65), _xlpm.base, TRIM(SUBSTITUTE(SUBSTITUTE(SUBSTITUTE(SUBSTITUTE(_xlpm.title,"•"," "),CHAR(160)," "),CHAR(10)," "),"  "," ")), LOWER(_xlpm.yr&amp;"|"&amp;_xlpm.base))</f>
        <v>2016|mononucléose</v>
      </c>
      <c r="K65" t="str">
        <f>LOWER($B65 &amp; "|" &amp; $O65)</f>
        <v>2016|mononucléose</v>
      </c>
      <c r="L65" t="str" cm="1">
        <f t="array" ref="L65">_xlfn.LET(_xlpm.base, " " &amp; LOWER(TRIM(IFERROR(_xlfn.TEXTBEFORE($C65,"["), $C65))) &amp; " ", _xlpm.s1, SUBSTITUTE(_xlpm.base, " fa ", " fibrillation auriculaire "), _xlpm.s2, SUBSTITUTE(_xlpm.s1, " ep ", " embolie pulmonaire "), _xlpm.s3, SUBSTITUTE(_xlpm.s2, " rgo ", " reflux gastro-oesophagien "), TRIM(_xlpm.s3))</f>
        <v>mononucléose</v>
      </c>
      <c r="M65" t="str" cm="1">
        <f t="array" ref="M65">_xlfn.LET(_xlpm.base, " " &amp; LOWER(TRIM($L65)) &amp; " ", _xlpm.s1, SUBSTITUTE(_xlpm.base, " saos ", " syndrome d'apnees obstructives du sommeil "), _xlpm.s2, SUBSTITUTE(_xlpm.s1, " oacr ", " occlusion de l'artere centrale de la retine "), _xlpm.s3, SUBSTITUTE(_xlpm.s2, " hsd ", " hematome sous-dural "), TRIM(_xlpm.s3))</f>
        <v>mononucléose</v>
      </c>
      <c r="N65" t="str" cm="1">
        <f t="array" ref="N65">_xlfn.LET(_xlpm.base, " " &amp; LOWER(TRIM($M65))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mononucléose</v>
      </c>
      <c r="O65" t="str" cm="1">
        <f t="array" ref="O65">_xlfn.LET(_xlpm.base, " " &amp; LOWER(TRIM($N65))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mononucléose</v>
      </c>
    </row>
    <row r="66" spans="1:15">
      <c r="A66" s="44" t="s">
        <v>1389</v>
      </c>
      <c r="B66" s="44">
        <v>2017</v>
      </c>
      <c r="C66" s="46" t="s">
        <v>1414</v>
      </c>
      <c r="D66" s="46" t="s">
        <v>1415</v>
      </c>
      <c r="E66" s="46"/>
      <c r="F66" s="46"/>
      <c r="G66" s="46"/>
      <c r="H66" s="46"/>
      <c r="I66" s="46"/>
      <c r="J66" t="str" cm="1">
        <f t="array" ref="J66">_xlfn.LET(_xlpm.yr, B66, _xlpm.title, IFERROR(_xlfn.TEXTBEFORE(C66,"["), C66), _xlpm.base, TRIM(SUBSTITUTE(SUBSTITUTE(SUBSTITUTE(SUBSTITUTE(_xlpm.title,"•"," "),CHAR(160)," "),CHAR(10)," "),"  "," ")), LOWER(_xlpm.yr&amp;"|"&amp;_xlpm.base))</f>
        <v>2017|tbc</v>
      </c>
      <c r="K66" t="str">
        <f>LOWER($B66 &amp; "|" &amp; $O66)</f>
        <v>2017|tbc</v>
      </c>
      <c r="L66" t="str" cm="1">
        <f t="array" ref="L66">_xlfn.LET(_xlpm.base, " " &amp; LOWER(TRIM(IFERROR(_xlfn.TEXTBEFORE($C66,"["), $C66))) &amp; " ", _xlpm.s1, SUBSTITUTE(_xlpm.base, " fa ", " fibrillation auriculaire "), _xlpm.s2, SUBSTITUTE(_xlpm.s1, " ep ", " embolie pulmonaire "), _xlpm.s3, SUBSTITUTE(_xlpm.s2, " rgo ", " reflux gastro-oesophagien "), TRIM(_xlpm.s3))</f>
        <v>tbc</v>
      </c>
      <c r="M66" t="str" cm="1">
        <f t="array" ref="M66">_xlfn.LET(_xlpm.base, " " &amp; LOWER(TRIM($L66)) &amp; " ", _xlpm.s1, SUBSTITUTE(_xlpm.base, " saos ", " syndrome d'apnees obstructives du sommeil "), _xlpm.s2, SUBSTITUTE(_xlpm.s1, " oacr ", " occlusion de l'artere centrale de la retine "), _xlpm.s3, SUBSTITUTE(_xlpm.s2, " hsd ", " hematome sous-dural "), TRIM(_xlpm.s3))</f>
        <v>tbc</v>
      </c>
      <c r="N66" t="str" cm="1">
        <f t="array" ref="N66">_xlfn.LET(_xlpm.base, " " &amp; LOWER(TRIM($M66))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tbc</v>
      </c>
      <c r="O66" t="str" cm="1">
        <f t="array" ref="O66">_xlfn.LET(_xlpm.base, " " &amp; LOWER(TRIM($N66))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tbc</v>
      </c>
    </row>
    <row r="67" spans="1:15" ht="110.25">
      <c r="A67" s="44" t="s">
        <v>1416</v>
      </c>
      <c r="B67" s="44">
        <v>2013</v>
      </c>
      <c r="C67" s="46" t="s">
        <v>170</v>
      </c>
      <c r="D67" s="46" t="s">
        <v>1417</v>
      </c>
      <c r="E67" s="46" t="s">
        <v>1418</v>
      </c>
      <c r="F67" s="46" t="s">
        <v>174</v>
      </c>
      <c r="G67" s="46" t="s">
        <v>171</v>
      </c>
      <c r="H67" s="46" t="s">
        <v>1419</v>
      </c>
      <c r="I67" s="46" t="s">
        <v>175</v>
      </c>
      <c r="J67" t="str" cm="1">
        <f t="array" ref="J67">_xlfn.LET(_xlpm.yr, B67, _xlpm.title, IFERROR(_xlfn.TEXTBEFORE(C67,"["), C67), _xlpm.base, TRIM(SUBSTITUTE(SUBSTITUTE(SUBSTITUTE(SUBSTITUTE(_xlpm.title,"•"," "),CHAR(160)," "),CHAR(10)," "),"  "," ")), LOWER(_xlpm.yr&amp;"|"&amp;_xlpm.base))</f>
        <v>2013|insuffisance cardiaque</v>
      </c>
      <c r="K67" t="str">
        <f>LOWER($B67 &amp; "|" &amp; $O67)</f>
        <v>2013|insuffisance cardiaque</v>
      </c>
      <c r="L67" t="str" cm="1">
        <f t="array" ref="L67">_xlfn.LET(_xlpm.base, " " &amp; LOWER(TRIM(IFERROR(_xlfn.TEXTBEFORE($C67,"["), $C67))) &amp; " ", _xlpm.s1, SUBSTITUTE(_xlpm.base, " fa ", " fibrillation auriculaire "), _xlpm.s2, SUBSTITUTE(_xlpm.s1, " ep ", " embolie pulmonaire "), _xlpm.s3, SUBSTITUTE(_xlpm.s2, " rgo ", " reflux gastro-oesophagien "), TRIM(_xlpm.s3))</f>
        <v>insuffisance cardiaque</v>
      </c>
      <c r="M67" t="str" cm="1">
        <f t="array" ref="M67">_xlfn.LET(_xlpm.base, " " &amp; LOWER(TRIM($L67)) &amp; " ", _xlpm.s1, SUBSTITUTE(_xlpm.base, " saos ", " syndrome d'apnees obstructives du sommeil "), _xlpm.s2, SUBSTITUTE(_xlpm.s1, " oacr ", " occlusion de l'artere centrale de la retine "), _xlpm.s3, SUBSTITUTE(_xlpm.s2, " hsd ", " hematome sous-dural "), TRIM(_xlpm.s3))</f>
        <v>insuffisance cardiaque</v>
      </c>
      <c r="N67" t="str" cm="1">
        <f t="array" ref="N67">_xlfn.LET(_xlpm.base, " " &amp; LOWER(TRIM($M67))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insuffisance cardiaque</v>
      </c>
      <c r="O67" t="str" cm="1">
        <f t="array" ref="O67">_xlfn.LET(_xlpm.base, " " &amp; LOWER(TRIM($N67))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insuffisance cardiaque</v>
      </c>
    </row>
    <row r="68" spans="1:15" ht="192.75">
      <c r="A68" s="44" t="s">
        <v>1416</v>
      </c>
      <c r="B68" s="44">
        <v>2013</v>
      </c>
      <c r="C68" s="46" t="s">
        <v>282</v>
      </c>
      <c r="D68" s="46" t="s">
        <v>1420</v>
      </c>
      <c r="E68" s="46" t="s">
        <v>279</v>
      </c>
      <c r="F68" s="46" t="s">
        <v>280</v>
      </c>
      <c r="G68" s="46" t="s">
        <v>277</v>
      </c>
      <c r="H68" s="46" t="s">
        <v>1421</v>
      </c>
      <c r="I68" s="46" t="s">
        <v>281</v>
      </c>
      <c r="J68" t="str" cm="1">
        <f t="array" ref="J68">_xlfn.LET(_xlpm.yr, B68, _xlpm.title, IFERROR(_xlfn.TEXTBEFORE(C68,"["), C68), _xlpm.base, TRIM(SUBSTITUTE(SUBSTITUTE(SUBSTITUTE(SUBSTITUTE(_xlpm.title,"•"," "),CHAR(160)," "),CHAR(10)," "),"  "," ")), LOWER(_xlpm.yr&amp;"|"&amp;_xlpm.base))</f>
        <v>2013|ep</v>
      </c>
      <c r="K68" t="str">
        <f>LOWER($B68 &amp; "|" &amp; $O68)</f>
        <v>2013|embolie pulmonaire</v>
      </c>
      <c r="L68" t="str" cm="1">
        <f t="array" ref="L68">_xlfn.LET(_xlpm.base, " " &amp; LOWER(TRIM(IFERROR(_xlfn.TEXTBEFORE($C68,"["), $C68))) &amp; " ", _xlpm.s1, SUBSTITUTE(_xlpm.base, " fa ", " fibrillation auriculaire "), _xlpm.s2, SUBSTITUTE(_xlpm.s1, " ep ", " embolie pulmonaire "), _xlpm.s3, SUBSTITUTE(_xlpm.s2, " rgo ", " reflux gastro-oesophagien "), TRIM(_xlpm.s3))</f>
        <v>embolie pulmonaire</v>
      </c>
      <c r="M68" t="str" cm="1">
        <f t="array" ref="M68">_xlfn.LET(_xlpm.base, " " &amp; LOWER(TRIM($L68)) &amp; " ", _xlpm.s1, SUBSTITUTE(_xlpm.base, " saos ", " syndrome d'apnees obstructives du sommeil "), _xlpm.s2, SUBSTITUTE(_xlpm.s1, " oacr ", " occlusion de l'artere centrale de la retine "), _xlpm.s3, SUBSTITUTE(_xlpm.s2, " hsd ", " hematome sous-dural "), TRIM(_xlpm.s3))</f>
        <v>embolie pulmonaire</v>
      </c>
      <c r="N68" t="str" cm="1">
        <f t="array" ref="N68">_xlfn.LET(_xlpm.base, " " &amp; LOWER(TRIM($M68))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embolie pulmonaire</v>
      </c>
      <c r="O68" t="str" cm="1">
        <f t="array" ref="O68">_xlfn.LET(_xlpm.base, " " &amp; LOWER(TRIM($N68))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embolie pulmonaire</v>
      </c>
    </row>
    <row r="69" spans="1:15" ht="27.75">
      <c r="A69" s="44" t="s">
        <v>1416</v>
      </c>
      <c r="B69" s="44">
        <v>2013</v>
      </c>
      <c r="C69" s="46" t="s">
        <v>1422</v>
      </c>
      <c r="D69" s="45" t="s">
        <v>1423</v>
      </c>
      <c r="E69" s="45"/>
      <c r="F69" s="45"/>
      <c r="G69" s="45"/>
      <c r="H69" s="45"/>
      <c r="I69" s="45"/>
      <c r="J69" t="str" cm="1">
        <f t="array" ref="J69">_xlfn.LET(_xlpm.yr, B69, _xlpm.title, IFERROR(_xlfn.TEXTBEFORE(C69,"["), C69), _xlpm.base, TRIM(SUBSTITUTE(SUBSTITUTE(SUBSTITUTE(SUBSTITUTE(_xlpm.title,"•"," "),CHAR(160)," "),CHAR(10)," "),"  "," ")), LOWER(_xlpm.yr&amp;"|"&amp;_xlpm.base))</f>
        <v>2013|psychosomatique? le même cas qu’en psy? (cf plus haut)</v>
      </c>
      <c r="K69" t="str">
        <f>LOWER($B69 &amp; "|" &amp; $O69)</f>
        <v>2013|psychosomatique? le même cas qu’en psy? (cf plus haut)</v>
      </c>
      <c r="L69" t="str" cm="1">
        <f t="array" ref="L69">_xlfn.LET(_xlpm.base, " " &amp; LOWER(TRIM(IFERROR(_xlfn.TEXTBEFORE($C69,"["), $C69))) &amp; " ", _xlpm.s1, SUBSTITUTE(_xlpm.base, " fa ", " fibrillation auriculaire "), _xlpm.s2, SUBSTITUTE(_xlpm.s1, " ep ", " embolie pulmonaire "), _xlpm.s3, SUBSTITUTE(_xlpm.s2, " rgo ", " reflux gastro-oesophagien "), TRIM(_xlpm.s3))</f>
        <v>psychosomatique? le même cas qu’en psy? (cf plus haut)</v>
      </c>
      <c r="M69" t="str" cm="1">
        <f t="array" ref="M69">_xlfn.LET(_xlpm.base, " " &amp; LOWER(TRIM($L69)) &amp; " ", _xlpm.s1, SUBSTITUTE(_xlpm.base, " saos ", " syndrome d'apnees obstructives du sommeil "), _xlpm.s2, SUBSTITUTE(_xlpm.s1, " oacr ", " occlusion de l'artere centrale de la retine "), _xlpm.s3, SUBSTITUTE(_xlpm.s2, " hsd ", " hematome sous-dural "), TRIM(_xlpm.s3))</f>
        <v>psychosomatique? le même cas qu’en psy? (cf plus haut)</v>
      </c>
      <c r="N69" t="str" cm="1">
        <f t="array" ref="N69">_xlfn.LET(_xlpm.base, " " &amp; LOWER(TRIM($M69))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psychosomatique? le même cas qu’en psy? (cf plus haut)</v>
      </c>
      <c r="O69" t="str" cm="1">
        <f t="array" ref="O69">_xlfn.LET(_xlpm.base, " " &amp; LOWER(TRIM($N69))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psychosomatique? le même cas qu’en psy? (cf plus haut)</v>
      </c>
    </row>
    <row r="70" spans="1:15">
      <c r="A70" s="44" t="s">
        <v>1416</v>
      </c>
      <c r="B70" s="44">
        <v>2013</v>
      </c>
      <c r="C70" s="46" t="s">
        <v>1424</v>
      </c>
      <c r="D70" s="45" t="s">
        <v>1425</v>
      </c>
      <c r="E70" s="45"/>
      <c r="F70" s="46"/>
      <c r="G70" s="46"/>
      <c r="H70" s="46"/>
      <c r="I70" s="46"/>
      <c r="J70" t="str" cm="1">
        <f t="array" ref="J70">_xlfn.LET(_xlpm.yr, B70, _xlpm.title, IFERROR(_xlfn.TEXTBEFORE(C70,"["), C70), _xlpm.base, TRIM(SUBSTITUTE(SUBSTITUTE(SUBSTITUTE(SUBSTITUTE(_xlpm.title,"•"," "),CHAR(160)," "),CHAR(10)," "),"  "," ")), LOWER(_xlpm.yr&amp;"|"&amp;_xlpm.base))</f>
        <v>2013|toux chez patient avec vad</v>
      </c>
      <c r="K70" t="str">
        <f>LOWER($B70 &amp; "|" &amp; $O70)</f>
        <v>2013|toux chez patient avec vad</v>
      </c>
      <c r="L70" t="str" cm="1">
        <f t="array" ref="L70">_xlfn.LET(_xlpm.base, " " &amp; LOWER(TRIM(IFERROR(_xlfn.TEXTBEFORE($C70,"["), $C70))) &amp; " ", _xlpm.s1, SUBSTITUTE(_xlpm.base, " fa ", " fibrillation auriculaire "), _xlpm.s2, SUBSTITUTE(_xlpm.s1, " ep ", " embolie pulmonaire "), _xlpm.s3, SUBSTITUTE(_xlpm.s2, " rgo ", " reflux gastro-oesophagien "), TRIM(_xlpm.s3))</f>
        <v>toux chez patient avec vad</v>
      </c>
      <c r="M70" t="str" cm="1">
        <f t="array" ref="M70">_xlfn.LET(_xlpm.base, " " &amp; LOWER(TRIM($L70)) &amp; " ", _xlpm.s1, SUBSTITUTE(_xlpm.base, " saos ", " syndrome d'apnees obstructives du sommeil "), _xlpm.s2, SUBSTITUTE(_xlpm.s1, " oacr ", " occlusion de l'artere centrale de la retine "), _xlpm.s3, SUBSTITUTE(_xlpm.s2, " hsd ", " hematome sous-dural "), TRIM(_xlpm.s3))</f>
        <v>toux chez patient avec vad</v>
      </c>
      <c r="N70" t="str" cm="1">
        <f t="array" ref="N70">_xlfn.LET(_xlpm.base, " " &amp; LOWER(TRIM($M70))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toux chez patient avec vad</v>
      </c>
      <c r="O70" t="str" cm="1">
        <f t="array" ref="O70">_xlfn.LET(_xlpm.base, " " &amp; LOWER(TRIM($N70))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toux chez patient avec vad</v>
      </c>
    </row>
    <row r="71" spans="1:15" ht="179.25">
      <c r="A71" s="44" t="s">
        <v>1416</v>
      </c>
      <c r="B71" s="44">
        <v>2013</v>
      </c>
      <c r="C71" s="45" t="s">
        <v>1426</v>
      </c>
      <c r="D71" s="45"/>
      <c r="E71" s="46" t="s">
        <v>1427</v>
      </c>
      <c r="F71" s="46" t="s">
        <v>1428</v>
      </c>
      <c r="G71" s="46" t="s">
        <v>1429</v>
      </c>
      <c r="H71" s="46" t="s">
        <v>1430</v>
      </c>
      <c r="I71" s="46" t="s">
        <v>1431</v>
      </c>
      <c r="J71" t="str" cm="1">
        <f t="array" ref="J71">_xlfn.LET(_xlpm.yr, B71, _xlpm.title, IFERROR(_xlfn.TEXTBEFORE(C71,"["), C71), _xlpm.base, TRIM(SUBSTITUTE(SUBSTITUTE(SUBSTITUTE(SUBSTITUTE(_xlpm.title,"•"," "),CHAR(160)," "),CHAR(10)," "),"  "," ")), LOWER(_xlpm.yr&amp;"|"&amp;_xlpm.base))</f>
        <v>2013|artériopathie oblitérante des mi (aomi)</v>
      </c>
      <c r="K71" t="str">
        <f>LOWER($B71 &amp; "|" &amp; $O71)</f>
        <v>2013|artériopathie oblitérante des mi (aomi)</v>
      </c>
      <c r="L71" t="str" cm="1">
        <f t="array" ref="L71">_xlfn.LET(_xlpm.base, " " &amp; LOWER(TRIM(IFERROR(_xlfn.TEXTBEFORE($C71,"["), $C71))) &amp; " ", _xlpm.s1, SUBSTITUTE(_xlpm.base, " fa ", " fibrillation auriculaire "), _xlpm.s2, SUBSTITUTE(_xlpm.s1, " ep ", " embolie pulmonaire "), _xlpm.s3, SUBSTITUTE(_xlpm.s2, " rgo ", " reflux gastro-oesophagien "), TRIM(_xlpm.s3))</f>
        <v>artériopathie oblitérante des mi (aomi)</v>
      </c>
      <c r="M71" t="str" cm="1">
        <f t="array" ref="M71">_xlfn.LET(_xlpm.base, " " &amp; LOWER(TRIM($L71)) &amp; " ", _xlpm.s1, SUBSTITUTE(_xlpm.base, " saos ", " syndrome d'apnees obstructives du sommeil "), _xlpm.s2, SUBSTITUTE(_xlpm.s1, " oacr ", " occlusion de l'artere centrale de la retine "), _xlpm.s3, SUBSTITUTE(_xlpm.s2, " hsd ", " hematome sous-dural "), TRIM(_xlpm.s3))</f>
        <v>artériopathie oblitérante des mi (aomi)</v>
      </c>
      <c r="N71" t="str" cm="1">
        <f t="array" ref="N71">_xlfn.LET(_xlpm.base, " " &amp; LOWER(TRIM($M71))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artériopathie oblitérante des mi (aomi)</v>
      </c>
      <c r="O71" t="str" cm="1">
        <f t="array" ref="O71">_xlfn.LET(_xlpm.base, " " &amp; LOWER(TRIM($N71))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artériopathie oblitérante des mi (aomi)</v>
      </c>
    </row>
    <row r="72" spans="1:15">
      <c r="A72" s="44" t="s">
        <v>1416</v>
      </c>
      <c r="B72" s="44">
        <v>2013</v>
      </c>
      <c r="C72" s="46" t="s">
        <v>1432</v>
      </c>
      <c r="D72" s="45" t="s">
        <v>1433</v>
      </c>
      <c r="E72" s="45"/>
      <c r="F72" s="45"/>
      <c r="G72" s="45"/>
      <c r="H72" s="45"/>
      <c r="I72" s="45"/>
      <c r="J72" t="str" cm="1">
        <f t="array" ref="J72">_xlfn.LET(_xlpm.yr, B72, _xlpm.title, IFERROR(_xlfn.TEXTBEFORE(C72,"["), C72), _xlpm.base, TRIM(SUBSTITUTE(SUBSTITUTE(SUBSTITUTE(SUBSTITUTE(_xlpm.title,"•"," "),CHAR(160)," "),CHAR(10)," "),"  "," ")), LOWER(_xlpm.yr&amp;"|"&amp;_xlpm.base))</f>
        <v>2013|déficience b12</v>
      </c>
      <c r="K72" t="str">
        <f>LOWER($B72 &amp; "|" &amp; $O72)</f>
        <v>2013|déficience b12</v>
      </c>
      <c r="L72" t="str" cm="1">
        <f t="array" ref="L72">_xlfn.LET(_xlpm.base, " " &amp; LOWER(TRIM(IFERROR(_xlfn.TEXTBEFORE($C72,"["), $C72))) &amp; " ", _xlpm.s1, SUBSTITUTE(_xlpm.base, " fa ", " fibrillation auriculaire "), _xlpm.s2, SUBSTITUTE(_xlpm.s1, " ep ", " embolie pulmonaire "), _xlpm.s3, SUBSTITUTE(_xlpm.s2, " rgo ", " reflux gastro-oesophagien "), TRIM(_xlpm.s3))</f>
        <v>déficience b12</v>
      </c>
      <c r="M72" t="str" cm="1">
        <f t="array" ref="M72">_xlfn.LET(_xlpm.base, " " &amp; LOWER(TRIM($L72)) &amp; " ", _xlpm.s1, SUBSTITUTE(_xlpm.base, " saos ", " syndrome d'apnees obstructives du sommeil "), _xlpm.s2, SUBSTITUTE(_xlpm.s1, " oacr ", " occlusion de l'artere centrale de la retine "), _xlpm.s3, SUBSTITUTE(_xlpm.s2, " hsd ", " hematome sous-dural "), TRIM(_xlpm.s3))</f>
        <v>déficience b12</v>
      </c>
      <c r="N72" t="str" cm="1">
        <f t="array" ref="N72">_xlfn.LET(_xlpm.base, " " &amp; LOWER(TRIM($M72))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déficience b12</v>
      </c>
      <c r="O72" t="str" cm="1">
        <f t="array" ref="O72">_xlfn.LET(_xlpm.base, " " &amp; LOWER(TRIM($N72))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déficience b12</v>
      </c>
    </row>
    <row r="73" spans="1:15" ht="151.5">
      <c r="A73" s="44" t="s">
        <v>1416</v>
      </c>
      <c r="B73" s="44">
        <v>2013</v>
      </c>
      <c r="C73" s="46" t="s">
        <v>1434</v>
      </c>
      <c r="D73" s="46" t="s">
        <v>1435</v>
      </c>
      <c r="E73" s="46" t="s">
        <v>1436</v>
      </c>
      <c r="F73" s="46" t="s">
        <v>1437</v>
      </c>
      <c r="G73" s="46" t="s">
        <v>1438</v>
      </c>
      <c r="H73" s="46" t="s">
        <v>1439</v>
      </c>
      <c r="I73" s="46" t="s">
        <v>1440</v>
      </c>
      <c r="J73" t="str" cm="1">
        <f t="array" ref="J73">_xlfn.LET(_xlpm.yr, B73, _xlpm.title, IFERROR(_xlfn.TEXTBEFORE(C73,"["), C73), _xlpm.base, TRIM(SUBSTITUTE(SUBSTITUTE(SUBSTITUTE(SUBSTITUTE(_xlpm.title,"•"," "),CHAR(160)," "),CHAR(10)," "),"  "," ")), LOWER(_xlpm.yr&amp;"|"&amp;_xlpm.base))</f>
        <v>2013|lupus???</v>
      </c>
      <c r="K73" t="str">
        <f>LOWER($B73 &amp; "|" &amp; $O73)</f>
        <v>2013|lupus???</v>
      </c>
      <c r="L73" t="str" cm="1">
        <f t="array" ref="L73">_xlfn.LET(_xlpm.base, " " &amp; LOWER(TRIM(IFERROR(_xlfn.TEXTBEFORE($C73,"["), $C73))) &amp; " ", _xlpm.s1, SUBSTITUTE(_xlpm.base, " fa ", " fibrillation auriculaire "), _xlpm.s2, SUBSTITUTE(_xlpm.s1, " ep ", " embolie pulmonaire "), _xlpm.s3, SUBSTITUTE(_xlpm.s2, " rgo ", " reflux gastro-oesophagien "), TRIM(_xlpm.s3))</f>
        <v>lupus???</v>
      </c>
      <c r="M73" t="str" cm="1">
        <f t="array" ref="M73">_xlfn.LET(_xlpm.base, " " &amp; LOWER(TRIM($L73)) &amp; " ", _xlpm.s1, SUBSTITUTE(_xlpm.base, " saos ", " syndrome d'apnees obstructives du sommeil "), _xlpm.s2, SUBSTITUTE(_xlpm.s1, " oacr ", " occlusion de l'artere centrale de la retine "), _xlpm.s3, SUBSTITUTE(_xlpm.s2, " hsd ", " hematome sous-dural "), TRIM(_xlpm.s3))</f>
        <v>lupus???</v>
      </c>
      <c r="N73" t="str" cm="1">
        <f t="array" ref="N73">_xlfn.LET(_xlpm.base, " " &amp; LOWER(TRIM($M73))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lupus???</v>
      </c>
      <c r="O73" t="str" cm="1">
        <f t="array" ref="O73">_xlfn.LET(_xlpm.base, " " &amp; LOWER(TRIM($N73))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lupus???</v>
      </c>
    </row>
    <row r="74" spans="1:15" ht="96.75">
      <c r="A74" s="44" t="s">
        <v>1416</v>
      </c>
      <c r="B74" s="44">
        <v>2014</v>
      </c>
      <c r="C74" s="46" t="s">
        <v>375</v>
      </c>
      <c r="D74" s="46" t="s">
        <v>1441</v>
      </c>
      <c r="E74" s="46" t="s">
        <v>378</v>
      </c>
      <c r="F74" s="46" t="s">
        <v>379</v>
      </c>
      <c r="G74" s="46" t="s">
        <v>376</v>
      </c>
      <c r="H74" s="46" t="s">
        <v>1442</v>
      </c>
      <c r="I74" s="46" t="s">
        <v>380</v>
      </c>
      <c r="J74" t="str" cm="1">
        <f t="array" ref="J74">_xlfn.LET(_xlpm.yr, B74, _xlpm.title, IFERROR(_xlfn.TEXTBEFORE(C74,"["), C74), _xlpm.base, TRIM(SUBSTITUTE(SUBSTITUTE(SUBSTITUTE(SUBSTITUTE(_xlpm.title,"•"," "),CHAR(160)," "),CHAR(10)," "),"  "," ")), LOWER(_xlpm.yr&amp;"|"&amp;_xlpm.base))</f>
        <v>2014|asthme</v>
      </c>
      <c r="K74" t="str">
        <f>LOWER($B74 &amp; "|" &amp; $O74)</f>
        <v>2014|asthme</v>
      </c>
      <c r="L74" t="str" cm="1">
        <f t="array" ref="L74">_xlfn.LET(_xlpm.base, " " &amp; LOWER(TRIM(IFERROR(_xlfn.TEXTBEFORE($C74,"["), $C74))) &amp; " ", _xlpm.s1, SUBSTITUTE(_xlpm.base, " fa ", " fibrillation auriculaire "), _xlpm.s2, SUBSTITUTE(_xlpm.s1, " ep ", " embolie pulmonaire "), _xlpm.s3, SUBSTITUTE(_xlpm.s2, " rgo ", " reflux gastro-oesophagien "), TRIM(_xlpm.s3))</f>
        <v>asthme</v>
      </c>
      <c r="M74" t="str" cm="1">
        <f t="array" ref="M74">_xlfn.LET(_xlpm.base, " " &amp; LOWER(TRIM($L74)) &amp; " ", _xlpm.s1, SUBSTITUTE(_xlpm.base, " saos ", " syndrome d'apnees obstructives du sommeil "), _xlpm.s2, SUBSTITUTE(_xlpm.s1, " oacr ", " occlusion de l'artere centrale de la retine "), _xlpm.s3, SUBSTITUTE(_xlpm.s2, " hsd ", " hematome sous-dural "), TRIM(_xlpm.s3))</f>
        <v>asthme</v>
      </c>
      <c r="N74" t="str" cm="1">
        <f t="array" ref="N74">_xlfn.LET(_xlpm.base, " " &amp; LOWER(TRIM($M74))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asthme</v>
      </c>
      <c r="O74" t="str" cm="1">
        <f t="array" ref="O74">_xlfn.LET(_xlpm.base, " " &amp; LOWER(TRIM($N74))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asthme</v>
      </c>
    </row>
    <row r="75" spans="1:15">
      <c r="A75" s="44" t="s">
        <v>1416</v>
      </c>
      <c r="B75" s="44">
        <v>2014</v>
      </c>
      <c r="C75" s="46" t="s">
        <v>1443</v>
      </c>
      <c r="D75" s="46" t="s">
        <v>1444</v>
      </c>
      <c r="E75" s="46" t="s">
        <v>1445</v>
      </c>
      <c r="F75" s="46"/>
      <c r="G75" s="46"/>
      <c r="H75" s="46"/>
      <c r="I75" s="46"/>
      <c r="J75" t="str" cm="1">
        <f t="array" ref="J75">_xlfn.LET(_xlpm.yr, B75, _xlpm.title, IFERROR(_xlfn.TEXTBEFORE(C75,"["), C75), _xlpm.base, TRIM(SUBSTITUTE(SUBSTITUTE(SUBSTITUTE(SUBSTITUTE(_xlpm.title,"•"," "),CHAR(160)," "),CHAR(10)," "),"  "," ")), LOWER(_xlpm.yr&amp;"|"&amp;_xlpm.base))</f>
        <v>2014|bronchite/pneumonie</v>
      </c>
      <c r="K75" t="str">
        <f>LOWER($B75 &amp; "|" &amp; $O75)</f>
        <v>2014|bronchite/pneumonie</v>
      </c>
      <c r="L75" t="str" cm="1">
        <f t="array" ref="L75">_xlfn.LET(_xlpm.base, " " &amp; LOWER(TRIM(IFERROR(_xlfn.TEXTBEFORE($C75,"["), $C75))) &amp; " ", _xlpm.s1, SUBSTITUTE(_xlpm.base, " fa ", " fibrillation auriculaire "), _xlpm.s2, SUBSTITUTE(_xlpm.s1, " ep ", " embolie pulmonaire "), _xlpm.s3, SUBSTITUTE(_xlpm.s2, " rgo ", " reflux gastro-oesophagien "), TRIM(_xlpm.s3))</f>
        <v>bronchite/pneumonie</v>
      </c>
      <c r="M75" t="str" cm="1">
        <f t="array" ref="M75">_xlfn.LET(_xlpm.base, " " &amp; LOWER(TRIM($L75)) &amp; " ", _xlpm.s1, SUBSTITUTE(_xlpm.base, " saos ", " syndrome d'apnees obstructives du sommeil "), _xlpm.s2, SUBSTITUTE(_xlpm.s1, " oacr ", " occlusion de l'artere centrale de la retine "), _xlpm.s3, SUBSTITUTE(_xlpm.s2, " hsd ", " hematome sous-dural "), TRIM(_xlpm.s3))</f>
        <v>bronchite/pneumonie</v>
      </c>
      <c r="N75" t="str" cm="1">
        <f t="array" ref="N75">_xlfn.LET(_xlpm.base, " " &amp; LOWER(TRIM($M75))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bronchite/pneumonie</v>
      </c>
      <c r="O75" t="str" cm="1">
        <f t="array" ref="O75">_xlfn.LET(_xlpm.base, " " &amp; LOWER(TRIM($N75))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bronchite/pneumonie</v>
      </c>
    </row>
    <row r="76" spans="1:15" ht="96.75">
      <c r="A76" s="44" t="s">
        <v>1416</v>
      </c>
      <c r="B76" s="44">
        <v>2014</v>
      </c>
      <c r="C76" s="46" t="s">
        <v>310</v>
      </c>
      <c r="D76" s="46" t="s">
        <v>1446</v>
      </c>
      <c r="E76" s="48" t="s">
        <v>307</v>
      </c>
      <c r="F76" s="46" t="s">
        <v>308</v>
      </c>
      <c r="G76" s="46" t="s">
        <v>305</v>
      </c>
      <c r="H76" s="46" t="s">
        <v>1447</v>
      </c>
      <c r="I76" s="46" t="s">
        <v>309</v>
      </c>
      <c r="J76" t="str" cm="1">
        <f t="array" ref="J76">_xlfn.LET(_xlpm.yr, B76, _xlpm.title, IFERROR(_xlfn.TEXTBEFORE(C76,"["), C76), _xlpm.base, TRIM(SUBSTITUTE(SUBSTITUTE(SUBSTITUTE(SUBSTITUTE(_xlpm.title,"•"," "),CHAR(160)," "),CHAR(10)," "),"  "," ")), LOWER(_xlpm.yr&amp;"|"&amp;_xlpm.base))</f>
        <v>2014|fa</v>
      </c>
      <c r="K76" t="str">
        <f>LOWER($B76 &amp; "|" &amp; $O76)</f>
        <v>2014|fibrillation auriculaire</v>
      </c>
      <c r="L76" t="str" cm="1">
        <f t="array" ref="L76">_xlfn.LET(_xlpm.base, " " &amp; LOWER(TRIM(IFERROR(_xlfn.TEXTBEFORE($C76,"["), $C76))) &amp; " ", _xlpm.s1, SUBSTITUTE(_xlpm.base, " fa ", " fibrillation auriculaire "), _xlpm.s2, SUBSTITUTE(_xlpm.s1, " ep ", " embolie pulmonaire "), _xlpm.s3, SUBSTITUTE(_xlpm.s2, " rgo ", " reflux gastro-oesophagien "), TRIM(_xlpm.s3))</f>
        <v>fibrillation auriculaire</v>
      </c>
      <c r="M76" t="str" cm="1">
        <f t="array" ref="M76">_xlfn.LET(_xlpm.base, " " &amp; LOWER(TRIM($L76)) &amp; " ", _xlpm.s1, SUBSTITUTE(_xlpm.base, " saos ", " syndrome d'apnees obstructives du sommeil "), _xlpm.s2, SUBSTITUTE(_xlpm.s1, " oacr ", " occlusion de l'artere centrale de la retine "), _xlpm.s3, SUBSTITUTE(_xlpm.s2, " hsd ", " hematome sous-dural "), TRIM(_xlpm.s3))</f>
        <v>fibrillation auriculaire</v>
      </c>
      <c r="N76" t="str" cm="1">
        <f t="array" ref="N76">_xlfn.LET(_xlpm.base, " " &amp; LOWER(TRIM($M76))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fibrillation auriculaire</v>
      </c>
      <c r="O76" t="str" cm="1">
        <f t="array" ref="O76">_xlfn.LET(_xlpm.base, " " &amp; LOWER(TRIM($N76))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fibrillation auriculaire</v>
      </c>
    </row>
    <row r="77" spans="1:15" ht="83.25">
      <c r="A77" s="44" t="s">
        <v>1416</v>
      </c>
      <c r="B77" s="44">
        <v>2014</v>
      </c>
      <c r="C77" s="46" t="s">
        <v>1448</v>
      </c>
      <c r="D77" s="46" t="s">
        <v>1449</v>
      </c>
      <c r="E77" s="46" t="s">
        <v>1450</v>
      </c>
      <c r="F77" s="46" t="s">
        <v>1451</v>
      </c>
      <c r="G77" s="46" t="s">
        <v>1452</v>
      </c>
      <c r="H77" s="46" t="s">
        <v>1453</v>
      </c>
      <c r="I77" s="46" t="s">
        <v>1454</v>
      </c>
      <c r="J77" t="str" cm="1">
        <f t="array" ref="J77">_xlfn.LET(_xlpm.yr, B77, _xlpm.title, IFERROR(_xlfn.TEXTBEFORE(C77,"["), C77), _xlpm.base, TRIM(SUBSTITUTE(SUBSTITUTE(SUBSTITUTE(SUBSTITUTE(_xlpm.title,"•"," "),CHAR(160)," "),CHAR(10)," "),"  "," ")), LOWER(_xlpm.yr&amp;"|"&amp;_xlpm.base))</f>
        <v>2014|sténose aortique symptômes :sad (syncope,angor, dyspnea)</v>
      </c>
      <c r="K77" t="str">
        <f>LOWER($B77 &amp; "|" &amp; $O77)</f>
        <v>2014|sténose aortique • symptômes :sad (syncope,angor, dyspnea)</v>
      </c>
      <c r="L77" t="str" cm="1">
        <f t="array" ref="L77">_xlfn.LET(_xlpm.base, " " &amp; LOWER(TRIM(IFERROR(_xlfn.TEXTBEFORE($C77,"["), $C77))) &amp; " ", _xlpm.s1, SUBSTITUTE(_xlpm.base, " fa ", " fibrillation auriculaire "), _xlpm.s2, SUBSTITUTE(_xlpm.s1, " ep ", " embolie pulmonaire "), _xlpm.s3, SUBSTITUTE(_xlpm.s2, " rgo ", " reflux gastro-oesophagien "), TRIM(_xlpm.s3))</f>
        <v>sténose aortique • symptômes :sad (syncope,angor, dyspnea)</v>
      </c>
      <c r="M77" t="str" cm="1">
        <f t="array" ref="M77">_xlfn.LET(_xlpm.base, " " &amp; LOWER(TRIM($L77)) &amp; " ", _xlpm.s1, SUBSTITUTE(_xlpm.base, " saos ", " syndrome d'apnees obstructives du sommeil "), _xlpm.s2, SUBSTITUTE(_xlpm.s1, " oacr ", " occlusion de l'artere centrale de la retine "), _xlpm.s3, SUBSTITUTE(_xlpm.s2, " hsd ", " hematome sous-dural "), TRIM(_xlpm.s3))</f>
        <v>sténose aortique • symptômes :sad (syncope,angor, dyspnea)</v>
      </c>
      <c r="N77" t="str" cm="1">
        <f t="array" ref="N77">_xlfn.LET(_xlpm.base, " " &amp; LOWER(TRIM($M77))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sténose aortique • symptômes :sad (syncope,angor, dyspnea)</v>
      </c>
      <c r="O77" t="str" cm="1">
        <f t="array" ref="O77">_xlfn.LET(_xlpm.base, " " &amp; LOWER(TRIM($N77))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sténose aortique • symptômes :sad (syncope,angor, dyspnea)</v>
      </c>
    </row>
    <row r="78" spans="1:15">
      <c r="A78" s="44" t="s">
        <v>1416</v>
      </c>
      <c r="B78" s="44">
        <v>2014</v>
      </c>
      <c r="C78" s="46" t="s">
        <v>170</v>
      </c>
      <c r="D78" s="46" t="s">
        <v>1455</v>
      </c>
      <c r="E78" s="46"/>
      <c r="F78" s="46"/>
      <c r="G78" s="46"/>
      <c r="H78" s="46"/>
      <c r="I78" s="46"/>
      <c r="J78" t="str" cm="1">
        <f t="array" ref="J78">_xlfn.LET(_xlpm.yr, B78, _xlpm.title, IFERROR(_xlfn.TEXTBEFORE(C78,"["), C78), _xlpm.base, TRIM(SUBSTITUTE(SUBSTITUTE(SUBSTITUTE(SUBSTITUTE(_xlpm.title,"•"," "),CHAR(160)," "),CHAR(10)," "),"  "," ")), LOWER(_xlpm.yr&amp;"|"&amp;_xlpm.base))</f>
        <v>2014|insuffisance cardiaque</v>
      </c>
      <c r="K78" t="str">
        <f>LOWER($B78 &amp; "|" &amp; $O78)</f>
        <v>2014|insuffisance cardiaque</v>
      </c>
      <c r="L78" t="str" cm="1">
        <f t="array" ref="L78">_xlfn.LET(_xlpm.base, " " &amp; LOWER(TRIM(IFERROR(_xlfn.TEXTBEFORE($C78,"["), $C78))) &amp; " ", _xlpm.s1, SUBSTITUTE(_xlpm.base, " fa ", " fibrillation auriculaire "), _xlpm.s2, SUBSTITUTE(_xlpm.s1, " ep ", " embolie pulmonaire "), _xlpm.s3, SUBSTITUTE(_xlpm.s2, " rgo ", " reflux gastro-oesophagien "), TRIM(_xlpm.s3))</f>
        <v>insuffisance cardiaque</v>
      </c>
      <c r="M78" t="str" cm="1">
        <f t="array" ref="M78">_xlfn.LET(_xlpm.base, " " &amp; LOWER(TRIM($L78)) &amp; " ", _xlpm.s1, SUBSTITUTE(_xlpm.base, " saos ", " syndrome d'apnees obstructives du sommeil "), _xlpm.s2, SUBSTITUTE(_xlpm.s1, " oacr ", " occlusion de l'artere centrale de la retine "), _xlpm.s3, SUBSTITUTE(_xlpm.s2, " hsd ", " hematome sous-dural "), TRIM(_xlpm.s3))</f>
        <v>insuffisance cardiaque</v>
      </c>
      <c r="N78" t="str" cm="1">
        <f t="array" ref="N78">_xlfn.LET(_xlpm.base, " " &amp; LOWER(TRIM($M78))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insuffisance cardiaque</v>
      </c>
      <c r="O78" t="str" cm="1">
        <f t="array" ref="O78">_xlfn.LET(_xlpm.base, " " &amp; LOWER(TRIM($N78))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insuffisance cardiaque</v>
      </c>
    </row>
    <row r="79" spans="1:15" ht="41.25">
      <c r="A79" s="44" t="s">
        <v>1416</v>
      </c>
      <c r="B79" s="44">
        <v>2015</v>
      </c>
      <c r="C79" s="46" t="s">
        <v>1456</v>
      </c>
      <c r="D79" s="46" t="s">
        <v>1457</v>
      </c>
      <c r="E79" s="46" t="s">
        <v>1458</v>
      </c>
      <c r="F79" s="45" t="s">
        <v>1459</v>
      </c>
      <c r="G79" s="45"/>
      <c r="H79" s="46" t="s">
        <v>1460</v>
      </c>
      <c r="I79" s="46" t="s">
        <v>1461</v>
      </c>
      <c r="J79" t="str" cm="1">
        <f t="array" ref="J79">_xlfn.LET(_xlpm.yr, B79, _xlpm.title, IFERROR(_xlfn.TEXTBEFORE(C79,"["), C79), _xlpm.base, TRIM(SUBSTITUTE(SUBSTITUTE(SUBSTITUTE(SUBSTITUTE(_xlpm.title,"•"," "),CHAR(160)," "),CHAR(10)," "),"  "," ")), LOWER(_xlpm.yr&amp;"|"&amp;_xlpm.base))</f>
        <v>2015|poste double hta</v>
      </c>
      <c r="K79" t="str">
        <f>LOWER($B79 &amp; "|" &amp; $O79)</f>
        <v>2015|poste double hta</v>
      </c>
      <c r="L79" t="str" cm="1">
        <f t="array" ref="L79">_xlfn.LET(_xlpm.base, " " &amp; LOWER(TRIM(IFERROR(_xlfn.TEXTBEFORE($C79,"["), $C79))) &amp; " ", _xlpm.s1, SUBSTITUTE(_xlpm.base, " fa ", " fibrillation auriculaire "), _xlpm.s2, SUBSTITUTE(_xlpm.s1, " ep ", " embolie pulmonaire "), _xlpm.s3, SUBSTITUTE(_xlpm.s2, " rgo ", " reflux gastro-oesophagien "), TRIM(_xlpm.s3))</f>
        <v>poste double hta</v>
      </c>
      <c r="M79" t="str" cm="1">
        <f t="array" ref="M79">_xlfn.LET(_xlpm.base, " " &amp; LOWER(TRIM($L79)) &amp; " ", _xlpm.s1, SUBSTITUTE(_xlpm.base, " saos ", " syndrome d'apnees obstructives du sommeil "), _xlpm.s2, SUBSTITUTE(_xlpm.s1, " oacr ", " occlusion de l'artere centrale de la retine "), _xlpm.s3, SUBSTITUTE(_xlpm.s2, " hsd ", " hematome sous-dural "), TRIM(_xlpm.s3))</f>
        <v>poste double hta</v>
      </c>
      <c r="N79" t="str" cm="1">
        <f t="array" ref="N79">_xlfn.LET(_xlpm.base, " " &amp; LOWER(TRIM($M79))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poste double hta</v>
      </c>
      <c r="O79" t="str" cm="1">
        <f t="array" ref="O79">_xlfn.LET(_xlpm.base, " " &amp; LOWER(TRIM($N79))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poste double hta</v>
      </c>
    </row>
    <row r="80" spans="1:15">
      <c r="A80" s="44" t="s">
        <v>1416</v>
      </c>
      <c r="B80" s="44">
        <v>2015</v>
      </c>
      <c r="C80" s="46" t="s">
        <v>1462</v>
      </c>
      <c r="D80" s="45" t="s">
        <v>1463</v>
      </c>
      <c r="E80" s="45"/>
      <c r="F80" s="46"/>
      <c r="G80" s="46"/>
      <c r="H80" s="46"/>
      <c r="I80" s="46"/>
      <c r="J80" t="str" cm="1">
        <f t="array" ref="J80">_xlfn.LET(_xlpm.yr, B80, _xlpm.title, IFERROR(_xlfn.TEXTBEFORE(C80,"["), C80), _xlpm.base, TRIM(SUBSTITUTE(SUBSTITUTE(SUBSTITUTE(SUBSTITUTE(_xlpm.title,"•"," "),CHAR(160)," "),CHAR(10)," "),"  "," ")), LOWER(_xlpm.yr&amp;"|"&amp;_xlpm.base))</f>
        <v>2015|polypes nasaux + asthme</v>
      </c>
      <c r="K80" t="str">
        <f>LOWER($B80 &amp; "|" &amp; $O80)</f>
        <v>2015|polypes nasaux + asthme</v>
      </c>
      <c r="L80" t="str" cm="1">
        <f t="array" ref="L80">_xlfn.LET(_xlpm.base, " " &amp; LOWER(TRIM(IFERROR(_xlfn.TEXTBEFORE($C80,"["), $C80))) &amp; " ", _xlpm.s1, SUBSTITUTE(_xlpm.base, " fa ", " fibrillation auriculaire "), _xlpm.s2, SUBSTITUTE(_xlpm.s1, " ep ", " embolie pulmonaire "), _xlpm.s3, SUBSTITUTE(_xlpm.s2, " rgo ", " reflux gastro-oesophagien "), TRIM(_xlpm.s3))</f>
        <v>polypes nasaux + asthme</v>
      </c>
      <c r="M80" t="str" cm="1">
        <f t="array" ref="M80">_xlfn.LET(_xlpm.base, " " &amp; LOWER(TRIM($L80)) &amp; " ", _xlpm.s1, SUBSTITUTE(_xlpm.base, " saos ", " syndrome d'apnees obstructives du sommeil "), _xlpm.s2, SUBSTITUTE(_xlpm.s1, " oacr ", " occlusion de l'artere centrale de la retine "), _xlpm.s3, SUBSTITUTE(_xlpm.s2, " hsd ", " hematome sous-dural "), TRIM(_xlpm.s3))</f>
        <v>polypes nasaux + asthme</v>
      </c>
      <c r="N80" t="str" cm="1">
        <f t="array" ref="N80">_xlfn.LET(_xlpm.base, " " &amp; LOWER(TRIM($M80))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polypes nasaux + asthme</v>
      </c>
      <c r="O80" t="str" cm="1">
        <f t="array" ref="O80">_xlfn.LET(_xlpm.base, " " &amp; LOWER(TRIM($N80))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polypes nasaux + asthme</v>
      </c>
    </row>
    <row r="81" spans="1:15" ht="110.25">
      <c r="A81" s="44" t="s">
        <v>1416</v>
      </c>
      <c r="B81" s="44">
        <v>2015</v>
      </c>
      <c r="C81" s="46" t="s">
        <v>1464</v>
      </c>
      <c r="D81" s="46" t="s">
        <v>1465</v>
      </c>
      <c r="E81" s="46" t="s">
        <v>1466</v>
      </c>
      <c r="F81" s="46" t="s">
        <v>1467</v>
      </c>
      <c r="G81" s="46" t="s">
        <v>1468</v>
      </c>
      <c r="H81" s="46" t="s">
        <v>1469</v>
      </c>
      <c r="I81" s="46" t="s">
        <v>1470</v>
      </c>
      <c r="J81" t="str" cm="1">
        <f t="array" ref="J81">_xlfn.LET(_xlpm.yr, B81, _xlpm.title, IFERROR(_xlfn.TEXTBEFORE(C81,"["), C81), _xlpm.base, TRIM(SUBSTITUTE(SUBSTITUTE(SUBSTITUTE(SUBSTITUTE(_xlpm.title,"•"," "),CHAR(160)," "),CHAR(10)," "),"  "," ")), LOWER(_xlpm.yr&amp;"|"&amp;_xlpm.base))</f>
        <v>2015|poste double bpco?</v>
      </c>
      <c r="K81" t="str">
        <f>LOWER($B81 &amp; "|" &amp; $O81)</f>
        <v>2015|poste double bpco?</v>
      </c>
      <c r="L81" t="str" cm="1">
        <f t="array" ref="L81">_xlfn.LET(_xlpm.base, " " &amp; LOWER(TRIM(IFERROR(_xlfn.TEXTBEFORE($C81,"["), $C81))) &amp; " ", _xlpm.s1, SUBSTITUTE(_xlpm.base, " fa ", " fibrillation auriculaire "), _xlpm.s2, SUBSTITUTE(_xlpm.s1, " ep ", " embolie pulmonaire "), _xlpm.s3, SUBSTITUTE(_xlpm.s2, " rgo ", " reflux gastro-oesophagien "), TRIM(_xlpm.s3))</f>
        <v>poste double bpco?</v>
      </c>
      <c r="M81" t="str" cm="1">
        <f t="array" ref="M81">_xlfn.LET(_xlpm.base, " " &amp; LOWER(TRIM($L81)) &amp; " ", _xlpm.s1, SUBSTITUTE(_xlpm.base, " saos ", " syndrome d'apnees obstructives du sommeil "), _xlpm.s2, SUBSTITUTE(_xlpm.s1, " oacr ", " occlusion de l'artere centrale de la retine "), _xlpm.s3, SUBSTITUTE(_xlpm.s2, " hsd ", " hematome sous-dural "), TRIM(_xlpm.s3))</f>
        <v>poste double bpco?</v>
      </c>
      <c r="N81" t="str" cm="1">
        <f t="array" ref="N81">_xlfn.LET(_xlpm.base, " " &amp; LOWER(TRIM($M81))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poste double bpco?</v>
      </c>
      <c r="O81" t="str" cm="1">
        <f t="array" ref="O81">_xlfn.LET(_xlpm.base, " " &amp; LOWER(TRIM($N81))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poste double bpco?</v>
      </c>
    </row>
    <row r="82" spans="1:15" ht="138">
      <c r="A82" s="44" t="s">
        <v>1416</v>
      </c>
      <c r="B82" s="44">
        <v>2016</v>
      </c>
      <c r="C82" s="46" t="s">
        <v>1471</v>
      </c>
      <c r="D82" s="46" t="s">
        <v>1472</v>
      </c>
      <c r="E82" s="46" t="s">
        <v>1473</v>
      </c>
      <c r="F82" s="46" t="s">
        <v>1474</v>
      </c>
      <c r="G82" s="46" t="s">
        <v>1475</v>
      </c>
      <c r="H82" s="46" t="s">
        <v>1476</v>
      </c>
      <c r="I82" s="46" t="s">
        <v>1477</v>
      </c>
      <c r="J82" t="str" cm="1">
        <f t="array" ref="J82">_xlfn.LET(_xlpm.yr, B82, _xlpm.title, IFERROR(_xlfn.TEXTBEFORE(C82,"["), C82), _xlpm.base, TRIM(SUBSTITUTE(SUBSTITUTE(SUBSTITUTE(SUBSTITUTE(_xlpm.title,"•"," "),CHAR(160)," "),CHAR(10)," "),"  "," ")), LOWER(_xlpm.yr&amp;"|"&amp;_xlpm.base))</f>
        <v>2016|leucémie?</v>
      </c>
      <c r="K82" t="str">
        <f>LOWER($B82 &amp; "|" &amp; $O82)</f>
        <v>2016|leucémie?</v>
      </c>
      <c r="L82" t="str" cm="1">
        <f t="array" ref="L82">_xlfn.LET(_xlpm.base, " " &amp; LOWER(TRIM(IFERROR(_xlfn.TEXTBEFORE($C82,"["), $C82))) &amp; " ", _xlpm.s1, SUBSTITUTE(_xlpm.base, " fa ", " fibrillation auriculaire "), _xlpm.s2, SUBSTITUTE(_xlpm.s1, " ep ", " embolie pulmonaire "), _xlpm.s3, SUBSTITUTE(_xlpm.s2, " rgo ", " reflux gastro-oesophagien "), TRIM(_xlpm.s3))</f>
        <v>leucémie?</v>
      </c>
      <c r="M82" t="str" cm="1">
        <f t="array" ref="M82">_xlfn.LET(_xlpm.base, " " &amp; LOWER(TRIM($L82)) &amp; " ", _xlpm.s1, SUBSTITUTE(_xlpm.base, " saos ", " syndrome d'apnees obstructives du sommeil "), _xlpm.s2, SUBSTITUTE(_xlpm.s1, " oacr ", " occlusion de l'artere centrale de la retine "), _xlpm.s3, SUBSTITUTE(_xlpm.s2, " hsd ", " hematome sous-dural "), TRIM(_xlpm.s3))</f>
        <v>leucémie?</v>
      </c>
      <c r="N82" t="str" cm="1">
        <f t="array" ref="N82">_xlfn.LET(_xlpm.base, " " &amp; LOWER(TRIM($M82))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leucémie?</v>
      </c>
      <c r="O82" t="str" cm="1">
        <f t="array" ref="O82">_xlfn.LET(_xlpm.base, " " &amp; LOWER(TRIM($N82))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leucémie?</v>
      </c>
    </row>
    <row r="83" spans="1:15" ht="138">
      <c r="A83" s="44" t="s">
        <v>1416</v>
      </c>
      <c r="B83" s="44">
        <v>2016</v>
      </c>
      <c r="C83" s="46" t="s">
        <v>1478</v>
      </c>
      <c r="D83" s="46" t="s">
        <v>1479</v>
      </c>
      <c r="E83" s="46" t="s">
        <v>1480</v>
      </c>
      <c r="F83" s="46" t="s">
        <v>1481</v>
      </c>
      <c r="G83" s="46" t="s">
        <v>1482</v>
      </c>
      <c r="H83" s="46" t="s">
        <v>1483</v>
      </c>
      <c r="I83" s="46" t="s">
        <v>1484</v>
      </c>
      <c r="J83" t="str" cm="1">
        <f t="array" ref="J83">_xlfn.LET(_xlpm.yr, B83, _xlpm.title, IFERROR(_xlfn.TEXTBEFORE(C83,"["), C83), _xlpm.base, TRIM(SUBSTITUTE(SUBSTITUTE(SUBSTITUTE(SUBSTITUTE(_xlpm.title,"•"," "),CHAR(160)," "),CHAR(10)," "),"  "," ")), LOWER(_xlpm.yr&amp;"|"&amp;_xlpm.base))</f>
        <v>2016|insuff veineuse</v>
      </c>
      <c r="K83" t="str">
        <f>LOWER($B83 &amp; "|" &amp; $O83)</f>
        <v>2016|insuff veineuse</v>
      </c>
      <c r="L83" t="str" cm="1">
        <f t="array" ref="L83">_xlfn.LET(_xlpm.base, " " &amp; LOWER(TRIM(IFERROR(_xlfn.TEXTBEFORE($C83,"["), $C83))) &amp; " ", _xlpm.s1, SUBSTITUTE(_xlpm.base, " fa ", " fibrillation auriculaire "), _xlpm.s2, SUBSTITUTE(_xlpm.s1, " ep ", " embolie pulmonaire "), _xlpm.s3, SUBSTITUTE(_xlpm.s2, " rgo ", " reflux gastro-oesophagien "), TRIM(_xlpm.s3))</f>
        <v>insuff veineuse</v>
      </c>
      <c r="M83" t="str" cm="1">
        <f t="array" ref="M83">_xlfn.LET(_xlpm.base, " " &amp; LOWER(TRIM($L83)) &amp; " ", _xlpm.s1, SUBSTITUTE(_xlpm.base, " saos ", " syndrome d'apnees obstructives du sommeil "), _xlpm.s2, SUBSTITUTE(_xlpm.s1, " oacr ", " occlusion de l'artere centrale de la retine "), _xlpm.s3, SUBSTITUTE(_xlpm.s2, " hsd ", " hematome sous-dural "), TRIM(_xlpm.s3))</f>
        <v>insuff veineuse</v>
      </c>
      <c r="N83" t="str" cm="1">
        <f t="array" ref="N83">_xlfn.LET(_xlpm.base, " " &amp; LOWER(TRIM($M83))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insuff veineuse</v>
      </c>
      <c r="O83" t="str" cm="1">
        <f t="array" ref="O83">_xlfn.LET(_xlpm.base, " " &amp; LOWER(TRIM($N83))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insuff veineuse</v>
      </c>
    </row>
    <row r="84" spans="1:15" ht="27.75">
      <c r="A84" s="44" t="s">
        <v>1416</v>
      </c>
      <c r="B84" s="44">
        <v>2016</v>
      </c>
      <c r="C84" s="46" t="s">
        <v>1485</v>
      </c>
      <c r="D84" s="46" t="s">
        <v>1486</v>
      </c>
      <c r="E84" s="46" t="s">
        <v>1487</v>
      </c>
      <c r="F84" s="46"/>
      <c r="G84" s="46" t="s">
        <v>1488</v>
      </c>
      <c r="H84" s="46" t="s">
        <v>1489</v>
      </c>
      <c r="I84" s="46" t="s">
        <v>1490</v>
      </c>
      <c r="J84" t="str" cm="1">
        <f t="array" ref="J84">_xlfn.LET(_xlpm.yr, B84, _xlpm.title, IFERROR(_xlfn.TEXTBEFORE(C84,"["), C84), _xlpm.base, TRIM(SUBSTITUTE(SUBSTITUTE(SUBSTITUTE(SUBSTITUTE(_xlpm.title,"•"," "),CHAR(160)," "),CHAR(10)," "),"  "," ")), LOWER(_xlpm.yr&amp;"|"&amp;_xlpm.base))</f>
        <v>2016|décompensation cardiaque post-op</v>
      </c>
      <c r="K84" t="str">
        <f>LOWER($B84 &amp; "|" &amp; $O84)</f>
        <v>2016|décompensation cardiaque post-op</v>
      </c>
      <c r="L84" t="str" cm="1">
        <f t="array" ref="L84">_xlfn.LET(_xlpm.base, " " &amp; LOWER(TRIM(IFERROR(_xlfn.TEXTBEFORE($C84,"["), $C84))) &amp; " ", _xlpm.s1, SUBSTITUTE(_xlpm.base, " fa ", " fibrillation auriculaire "), _xlpm.s2, SUBSTITUTE(_xlpm.s1, " ep ", " embolie pulmonaire "), _xlpm.s3, SUBSTITUTE(_xlpm.s2, " rgo ", " reflux gastro-oesophagien "), TRIM(_xlpm.s3))</f>
        <v>décompensation cardiaque post-op</v>
      </c>
      <c r="M84" t="str" cm="1">
        <f t="array" ref="M84">_xlfn.LET(_xlpm.base, " " &amp; LOWER(TRIM($L84)) &amp; " ", _xlpm.s1, SUBSTITUTE(_xlpm.base, " saos ", " syndrome d'apnees obstructives du sommeil "), _xlpm.s2, SUBSTITUTE(_xlpm.s1, " oacr ", " occlusion de l'artere centrale de la retine "), _xlpm.s3, SUBSTITUTE(_xlpm.s2, " hsd ", " hematome sous-dural "), TRIM(_xlpm.s3))</f>
        <v>décompensation cardiaque post-op</v>
      </c>
      <c r="N84" t="str" cm="1">
        <f t="array" ref="N84">_xlfn.LET(_xlpm.base, " " &amp; LOWER(TRIM($M84))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décompensation cardiaque post-op</v>
      </c>
      <c r="O84" t="str" cm="1">
        <f t="array" ref="O84">_xlfn.LET(_xlpm.base, " " &amp; LOWER(TRIM($N84))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décompensation cardiaque post-op</v>
      </c>
    </row>
    <row r="85" spans="1:15" ht="54.75">
      <c r="A85" s="44" t="s">
        <v>1416</v>
      </c>
      <c r="B85" s="44">
        <v>2016</v>
      </c>
      <c r="C85" s="46" t="s">
        <v>1491</v>
      </c>
      <c r="D85" s="46" t="s">
        <v>1492</v>
      </c>
      <c r="E85" s="46" t="s">
        <v>1493</v>
      </c>
      <c r="F85" s="46" t="s">
        <v>1494</v>
      </c>
      <c r="G85" s="46" t="s">
        <v>1495</v>
      </c>
      <c r="H85" s="46" t="s">
        <v>1496</v>
      </c>
      <c r="I85" s="46" t="s">
        <v>1497</v>
      </c>
      <c r="J85" t="str" cm="1">
        <f t="array" ref="J85">_xlfn.LET(_xlpm.yr, B85, _xlpm.title, IFERROR(_xlfn.TEXTBEFORE(C85,"["), C85), _xlpm.base, TRIM(SUBSTITUTE(SUBSTITUTE(SUBSTITUTE(SUBSTITUTE(_xlpm.title,"•"," "),CHAR(160)," "),CHAR(10)," "),"  "," ")), LOWER(_xlpm.yr&amp;"|"&amp;_xlpm.base))</f>
        <v>2016|infarctus inférieur</v>
      </c>
      <c r="K85" t="str">
        <f>LOWER($B85 &amp; "|" &amp; $O85)</f>
        <v>2016|infarctus inférieur</v>
      </c>
      <c r="L85" t="str" cm="1">
        <f t="array" ref="L85">_xlfn.LET(_xlpm.base, " " &amp; LOWER(TRIM(IFERROR(_xlfn.TEXTBEFORE($C85,"["), $C85))) &amp; " ", _xlpm.s1, SUBSTITUTE(_xlpm.base, " fa ", " fibrillation auriculaire "), _xlpm.s2, SUBSTITUTE(_xlpm.s1, " ep ", " embolie pulmonaire "), _xlpm.s3, SUBSTITUTE(_xlpm.s2, " rgo ", " reflux gastro-oesophagien "), TRIM(_xlpm.s3))</f>
        <v>infarctus inférieur</v>
      </c>
      <c r="M85" t="str" cm="1">
        <f t="array" ref="M85">_xlfn.LET(_xlpm.base, " " &amp; LOWER(TRIM($L85)) &amp; " ", _xlpm.s1, SUBSTITUTE(_xlpm.base, " saos ", " syndrome d'apnees obstructives du sommeil "), _xlpm.s2, SUBSTITUTE(_xlpm.s1, " oacr ", " occlusion de l'artere centrale de la retine "), _xlpm.s3, SUBSTITUTE(_xlpm.s2, " hsd ", " hematome sous-dural "), TRIM(_xlpm.s3))</f>
        <v>infarctus inférieur</v>
      </c>
      <c r="N85" t="str" cm="1">
        <f t="array" ref="N85">_xlfn.LET(_xlpm.base, " " &amp; LOWER(TRIM($M85))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infarctus inférieur</v>
      </c>
      <c r="O85" t="str" cm="1">
        <f t="array" ref="O85">_xlfn.LET(_xlpm.base, " " &amp; LOWER(TRIM($N85))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infarctus inférieur</v>
      </c>
    </row>
    <row r="86" spans="1:15">
      <c r="A86" s="44" t="s">
        <v>1416</v>
      </c>
      <c r="B86" s="44">
        <v>2016</v>
      </c>
      <c r="C86" s="46" t="s">
        <v>375</v>
      </c>
      <c r="D86" s="46" t="s">
        <v>1498</v>
      </c>
      <c r="E86" s="46" t="s">
        <v>1487</v>
      </c>
      <c r="F86" s="46"/>
      <c r="G86" s="46"/>
      <c r="H86" s="46"/>
      <c r="I86" s="46"/>
      <c r="J86" t="str" cm="1">
        <f t="array" ref="J86">_xlfn.LET(_xlpm.yr, B86, _xlpm.title, IFERROR(_xlfn.TEXTBEFORE(C86,"["), C86), _xlpm.base, TRIM(SUBSTITUTE(SUBSTITUTE(SUBSTITUTE(SUBSTITUTE(_xlpm.title,"•"," "),CHAR(160)," "),CHAR(10)," "),"  "," ")), LOWER(_xlpm.yr&amp;"|"&amp;_xlpm.base))</f>
        <v>2016|asthme</v>
      </c>
      <c r="K86" t="str">
        <f>LOWER($B86 &amp; "|" &amp; $O86)</f>
        <v>2016|asthme</v>
      </c>
      <c r="L86" t="str" cm="1">
        <f t="array" ref="L86">_xlfn.LET(_xlpm.base, " " &amp; LOWER(TRIM(IFERROR(_xlfn.TEXTBEFORE($C86,"["), $C86))) &amp; " ", _xlpm.s1, SUBSTITUTE(_xlpm.base, " fa ", " fibrillation auriculaire "), _xlpm.s2, SUBSTITUTE(_xlpm.s1, " ep ", " embolie pulmonaire "), _xlpm.s3, SUBSTITUTE(_xlpm.s2, " rgo ", " reflux gastro-oesophagien "), TRIM(_xlpm.s3))</f>
        <v>asthme</v>
      </c>
      <c r="M86" t="str" cm="1">
        <f t="array" ref="M86">_xlfn.LET(_xlpm.base, " " &amp; LOWER(TRIM($L86)) &amp; " ", _xlpm.s1, SUBSTITUTE(_xlpm.base, " saos ", " syndrome d'apnees obstructives du sommeil "), _xlpm.s2, SUBSTITUTE(_xlpm.s1, " oacr ", " occlusion de l'artere centrale de la retine "), _xlpm.s3, SUBSTITUTE(_xlpm.s2, " hsd ", " hematome sous-dural "), TRIM(_xlpm.s3))</f>
        <v>asthme</v>
      </c>
      <c r="N86" t="str" cm="1">
        <f t="array" ref="N86">_xlfn.LET(_xlpm.base, " " &amp; LOWER(TRIM($M86))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asthme</v>
      </c>
      <c r="O86" t="str" cm="1">
        <f t="array" ref="O86">_xlfn.LET(_xlpm.base, " " &amp; LOWER(TRIM($N86))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asthme</v>
      </c>
    </row>
    <row r="87" spans="1:15">
      <c r="A87" s="44" t="s">
        <v>1416</v>
      </c>
      <c r="B87" s="44">
        <v>2017</v>
      </c>
      <c r="C87" s="46" t="s">
        <v>1499</v>
      </c>
      <c r="D87" s="45" t="s">
        <v>1500</v>
      </c>
      <c r="E87" s="45"/>
      <c r="F87" s="46"/>
      <c r="G87" s="46"/>
      <c r="H87" s="46"/>
      <c r="I87" s="46"/>
      <c r="J87" t="str" cm="1">
        <f t="array" ref="J87">_xlfn.LET(_xlpm.yr, B87, _xlpm.title, IFERROR(_xlfn.TEXTBEFORE(C87,"["), C87), _xlpm.base, TRIM(SUBSTITUTE(SUBSTITUTE(SUBSTITUTE(SUBSTITUTE(_xlpm.title,"•"," "),CHAR(160)," "),CHAR(10)," "),"  "," ")), LOWER(_xlpm.yr&amp;"|"&amp;_xlpm.base))</f>
        <v>2017|infarctus inf</v>
      </c>
      <c r="K87" t="str">
        <f>LOWER($B87 &amp; "|" &amp; $O87)</f>
        <v>2017|infarctus inf</v>
      </c>
      <c r="L87" t="str" cm="1">
        <f t="array" ref="L87">_xlfn.LET(_xlpm.base, " " &amp; LOWER(TRIM(IFERROR(_xlfn.TEXTBEFORE($C87,"["), $C87))) &amp; " ", _xlpm.s1, SUBSTITUTE(_xlpm.base, " fa ", " fibrillation auriculaire "), _xlpm.s2, SUBSTITUTE(_xlpm.s1, " ep ", " embolie pulmonaire "), _xlpm.s3, SUBSTITUTE(_xlpm.s2, " rgo ", " reflux gastro-oesophagien "), TRIM(_xlpm.s3))</f>
        <v>infarctus inf</v>
      </c>
      <c r="M87" t="str" cm="1">
        <f t="array" ref="M87">_xlfn.LET(_xlpm.base, " " &amp; LOWER(TRIM($L87)) &amp; " ", _xlpm.s1, SUBSTITUTE(_xlpm.base, " saos ", " syndrome d'apnees obstructives du sommeil "), _xlpm.s2, SUBSTITUTE(_xlpm.s1, " oacr ", " occlusion de l'artere centrale de la retine "), _xlpm.s3, SUBSTITUTE(_xlpm.s2, " hsd ", " hematome sous-dural "), TRIM(_xlpm.s3))</f>
        <v>infarctus inf</v>
      </c>
      <c r="N87" t="str" cm="1">
        <f t="array" ref="N87">_xlfn.LET(_xlpm.base, " " &amp; LOWER(TRIM($M87))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infarctus inf</v>
      </c>
      <c r="O87" t="str" cm="1">
        <f t="array" ref="O87">_xlfn.LET(_xlpm.base, " " &amp; LOWER(TRIM($N87))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infarctus inf</v>
      </c>
    </row>
    <row r="88" spans="1:15" ht="96.75">
      <c r="A88" s="44" t="s">
        <v>1416</v>
      </c>
      <c r="B88" s="44">
        <v>2017</v>
      </c>
      <c r="C88" s="46" t="s">
        <v>38</v>
      </c>
      <c r="D88" s="46" t="s">
        <v>1501</v>
      </c>
      <c r="E88" s="48" t="s">
        <v>657</v>
      </c>
      <c r="F88" s="46" t="s">
        <v>658</v>
      </c>
      <c r="G88" s="46" t="s">
        <v>656</v>
      </c>
      <c r="H88" s="46" t="s">
        <v>1502</v>
      </c>
      <c r="I88" s="48" t="s">
        <v>659</v>
      </c>
      <c r="J88" t="str" cm="1">
        <f t="array" ref="J88">_xlfn.LET(_xlpm.yr, B88, _xlpm.title, IFERROR(_xlfn.TEXTBEFORE(C88,"["), C88), _xlpm.base, TRIM(SUBSTITUTE(SUBSTITUTE(SUBSTITUTE(SUBSTITUTE(_xlpm.title,"•"," "),CHAR(160)," "),CHAR(10)," "),"  "," ")), LOWER(_xlpm.yr&amp;"|"&amp;_xlpm.base))</f>
        <v>2017|péricardite</v>
      </c>
      <c r="K88" t="str">
        <f>LOWER($B88 &amp; "|" &amp; $O88)</f>
        <v>2017|péricardite</v>
      </c>
      <c r="L88" t="str" cm="1">
        <f t="array" ref="L88">_xlfn.LET(_xlpm.base, " " &amp; LOWER(TRIM(IFERROR(_xlfn.TEXTBEFORE($C88,"["), $C88))) &amp; " ", _xlpm.s1, SUBSTITUTE(_xlpm.base, " fa ", " fibrillation auriculaire "), _xlpm.s2, SUBSTITUTE(_xlpm.s1, " ep ", " embolie pulmonaire "), _xlpm.s3, SUBSTITUTE(_xlpm.s2, " rgo ", " reflux gastro-oesophagien "), TRIM(_xlpm.s3))</f>
        <v>péricardite</v>
      </c>
      <c r="M88" t="str" cm="1">
        <f t="array" ref="M88">_xlfn.LET(_xlpm.base, " " &amp; LOWER(TRIM($L88)) &amp; " ", _xlpm.s1, SUBSTITUTE(_xlpm.base, " saos ", " syndrome d'apnees obstructives du sommeil "), _xlpm.s2, SUBSTITUTE(_xlpm.s1, " oacr ", " occlusion de l'artere centrale de la retine "), _xlpm.s3, SUBSTITUTE(_xlpm.s2, " hsd ", " hematome sous-dural "), TRIM(_xlpm.s3))</f>
        <v>péricardite</v>
      </c>
      <c r="N88" t="str" cm="1">
        <f t="array" ref="N88">_xlfn.LET(_xlpm.base, " " &amp; LOWER(TRIM($M88))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péricardite</v>
      </c>
      <c r="O88" t="str" cm="1">
        <f t="array" ref="O88">_xlfn.LET(_xlpm.base, " " &amp; LOWER(TRIM($N88))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péricardite</v>
      </c>
    </row>
    <row r="89" spans="1:15" ht="41.25">
      <c r="A89" s="44" t="s">
        <v>1503</v>
      </c>
      <c r="B89" s="44">
        <v>2013</v>
      </c>
      <c r="C89" s="46" t="s">
        <v>1504</v>
      </c>
      <c r="D89" s="45" t="s">
        <v>1505</v>
      </c>
      <c r="E89" s="45"/>
      <c r="F89" s="46" t="s">
        <v>1506</v>
      </c>
      <c r="G89" s="46" t="s">
        <v>1507</v>
      </c>
      <c r="H89" s="46" t="s">
        <v>1508</v>
      </c>
      <c r="I89" s="46" t="s">
        <v>1509</v>
      </c>
      <c r="J89" t="str" cm="1">
        <f t="array" ref="J89">_xlfn.LET(_xlpm.yr, B89, _xlpm.title, IFERROR(_xlfn.TEXTBEFORE(C89,"["), C89), _xlpm.base, TRIM(SUBSTITUTE(SUBSTITUTE(SUBSTITUTE(SUBSTITUTE(_xlpm.title,"•"," "),CHAR(160)," "),CHAR(10)," "),"  "," ")), LOWER(_xlpm.yr&amp;"|"&amp;_xlpm.base))</f>
        <v>2013|convulsions</v>
      </c>
      <c r="K89" t="str">
        <f>LOWER($B89 &amp; "|" &amp; $O89)</f>
        <v>2013|convulsions</v>
      </c>
      <c r="L89" t="str" cm="1">
        <f t="array" ref="L89">_xlfn.LET(_xlpm.base, " " &amp; LOWER(TRIM(IFERROR(_xlfn.TEXTBEFORE($C89,"["), $C89))) &amp; " ", _xlpm.s1, SUBSTITUTE(_xlpm.base, " fa ", " fibrillation auriculaire "), _xlpm.s2, SUBSTITUTE(_xlpm.s1, " ep ", " embolie pulmonaire "), _xlpm.s3, SUBSTITUTE(_xlpm.s2, " rgo ", " reflux gastro-oesophagien "), TRIM(_xlpm.s3))</f>
        <v>convulsions</v>
      </c>
      <c r="M89" t="str" cm="1">
        <f t="array" ref="M89">_xlfn.LET(_xlpm.base, " " &amp; LOWER(TRIM($L89)) &amp; " ", _xlpm.s1, SUBSTITUTE(_xlpm.base, " saos ", " syndrome d'apnees obstructives du sommeil "), _xlpm.s2, SUBSTITUTE(_xlpm.s1, " oacr ", " occlusion de l'artere centrale de la retine "), _xlpm.s3, SUBSTITUTE(_xlpm.s2, " hsd ", " hematome sous-dural "), TRIM(_xlpm.s3))</f>
        <v>convulsions</v>
      </c>
      <c r="N89" t="str" cm="1">
        <f t="array" ref="N89">_xlfn.LET(_xlpm.base, " " &amp; LOWER(TRIM($M89))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convulsions</v>
      </c>
      <c r="O89" t="str" cm="1">
        <f t="array" ref="O89">_xlfn.LET(_xlpm.base, " " &amp; LOWER(TRIM($N89))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convulsions</v>
      </c>
    </row>
    <row r="90" spans="1:15">
      <c r="A90" s="44" t="s">
        <v>1503</v>
      </c>
      <c r="B90" s="44">
        <v>2013</v>
      </c>
      <c r="C90" s="46" t="s">
        <v>1510</v>
      </c>
      <c r="D90" s="45" t="s">
        <v>1511</v>
      </c>
      <c r="E90" s="45"/>
      <c r="F90" s="45"/>
      <c r="G90" s="45"/>
      <c r="H90" s="45"/>
      <c r="I90" s="45"/>
      <c r="J90" t="str" cm="1">
        <f t="array" ref="J90">_xlfn.LET(_xlpm.yr, B90, _xlpm.title, IFERROR(_xlfn.TEXTBEFORE(C90,"["), C90), _xlpm.base, TRIM(SUBSTITUTE(SUBSTITUTE(SUBSTITUTE(SUBSTITUTE(_xlpm.title,"•"," "),CHAR(160)," "),CHAR(10)," "),"  "," ")), LOWER(_xlpm.yr&amp;"|"&amp;_xlpm.base))</f>
        <v>2013|hsd</v>
      </c>
      <c r="K90" t="str">
        <f>LOWER($B90 &amp; "|" &amp; $O90)</f>
        <v>2013|hematome sous-dural</v>
      </c>
      <c r="L90" t="str" cm="1">
        <f t="array" ref="L90">_xlfn.LET(_xlpm.base, " " &amp; LOWER(TRIM(IFERROR(_xlfn.TEXTBEFORE($C90,"["), $C90))) &amp; " ", _xlpm.s1, SUBSTITUTE(_xlpm.base, " fa ", " fibrillation auriculaire "), _xlpm.s2, SUBSTITUTE(_xlpm.s1, " ep ", " embolie pulmonaire "), _xlpm.s3, SUBSTITUTE(_xlpm.s2, " rgo ", " reflux gastro-oesophagien "), TRIM(_xlpm.s3))</f>
        <v>hsd</v>
      </c>
      <c r="M90" t="str" cm="1">
        <f t="array" ref="M90">_xlfn.LET(_xlpm.base, " " &amp; LOWER(TRIM($L90)) &amp; " ", _xlpm.s1, SUBSTITUTE(_xlpm.base, " saos ", " syndrome d'apnees obstructives du sommeil "), _xlpm.s2, SUBSTITUTE(_xlpm.s1, " oacr ", " occlusion de l'artere centrale de la retine "), _xlpm.s3, SUBSTITUTE(_xlpm.s2, " hsd ", " hematome sous-dural "), TRIM(_xlpm.s3))</f>
        <v>hematome sous-dural</v>
      </c>
      <c r="N90" t="str" cm="1">
        <f t="array" ref="N90">_xlfn.LET(_xlpm.base, " " &amp; LOWER(TRIM($M90))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hematome sous-dural</v>
      </c>
      <c r="O90" t="str" cm="1">
        <f t="array" ref="O90">_xlfn.LET(_xlpm.base, " " &amp; LOWER(TRIM($N90))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hematome sous-dural</v>
      </c>
    </row>
    <row r="91" spans="1:15">
      <c r="A91" s="44" t="s">
        <v>1503</v>
      </c>
      <c r="B91" s="44">
        <v>2013</v>
      </c>
      <c r="C91" s="46" t="s">
        <v>1512</v>
      </c>
      <c r="D91" s="45" t="s">
        <v>1513</v>
      </c>
      <c r="E91" s="45"/>
      <c r="F91" s="45"/>
      <c r="G91" s="46"/>
      <c r="H91" s="46"/>
      <c r="I91" s="46"/>
      <c r="J91" t="str" cm="1">
        <f t="array" ref="J91">_xlfn.LET(_xlpm.yr, B91, _xlpm.title, IFERROR(_xlfn.TEXTBEFORE(C91,"["), C91), _xlpm.base, TRIM(SUBSTITUTE(SUBSTITUTE(SUBSTITUTE(SUBSTITUTE(_xlpm.title,"•"," "),CHAR(160)," "),CHAR(10)," "),"  "," ")), LOWER(_xlpm.yr&amp;"|"&amp;_xlpm.base))</f>
        <v>2013|céphalée + pc</v>
      </c>
      <c r="K91" t="str">
        <f>LOWER($B91 &amp; "|" &amp; $O91)</f>
        <v>2013|céphalée + pc</v>
      </c>
      <c r="L91" t="str" cm="1">
        <f t="array" ref="L91">_xlfn.LET(_xlpm.base, " " &amp; LOWER(TRIM(IFERROR(_xlfn.TEXTBEFORE($C91,"["), $C91))) &amp; " ", _xlpm.s1, SUBSTITUTE(_xlpm.base, " fa ", " fibrillation auriculaire "), _xlpm.s2, SUBSTITUTE(_xlpm.s1, " ep ", " embolie pulmonaire "), _xlpm.s3, SUBSTITUTE(_xlpm.s2, " rgo ", " reflux gastro-oesophagien "), TRIM(_xlpm.s3))</f>
        <v>céphalée + pc</v>
      </c>
      <c r="M91" t="str" cm="1">
        <f t="array" ref="M91">_xlfn.LET(_xlpm.base, " " &amp; LOWER(TRIM($L91)) &amp; " ", _xlpm.s1, SUBSTITUTE(_xlpm.base, " saos ", " syndrome d'apnees obstructives du sommeil "), _xlpm.s2, SUBSTITUTE(_xlpm.s1, " oacr ", " occlusion de l'artere centrale de la retine "), _xlpm.s3, SUBSTITUTE(_xlpm.s2, " hsd ", " hematome sous-dural "), TRIM(_xlpm.s3))</f>
        <v>céphalée + pc</v>
      </c>
      <c r="N91" t="str" cm="1">
        <f t="array" ref="N91">_xlfn.LET(_xlpm.base, " " &amp; LOWER(TRIM($M91))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céphalée + pc</v>
      </c>
      <c r="O91" t="str" cm="1">
        <f t="array" ref="O91">_xlfn.LET(_xlpm.base, " " &amp; LOWER(TRIM($N91))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céphalée + pc</v>
      </c>
    </row>
    <row r="92" spans="1:15" ht="124.5">
      <c r="A92" s="44" t="s">
        <v>1503</v>
      </c>
      <c r="B92" s="44">
        <v>2014</v>
      </c>
      <c r="C92" s="46" t="s">
        <v>1514</v>
      </c>
      <c r="D92" s="46" t="s">
        <v>1515</v>
      </c>
      <c r="E92" s="46" t="s">
        <v>1516</v>
      </c>
      <c r="F92" s="45" t="s">
        <v>1517</v>
      </c>
      <c r="G92" s="45"/>
      <c r="H92" s="46" t="s">
        <v>1518</v>
      </c>
      <c r="I92" s="46" t="s">
        <v>1519</v>
      </c>
      <c r="J92" t="str" cm="1">
        <f t="array" ref="J92">_xlfn.LET(_xlpm.yr, B92, _xlpm.title, IFERROR(_xlfn.TEXTBEFORE(C92,"["), C92), _xlpm.base, TRIM(SUBSTITUTE(SUBSTITUTE(SUBSTITUTE(SUBSTITUTE(_xlpm.title,"•"," "),CHAR(160)," "),CHAR(10)," "),"  "," ")), LOWER(_xlpm.yr&amp;"|"&amp;_xlpm.base))</f>
        <v>2014|névrite optique plainte: tr. vue</v>
      </c>
      <c r="K92" t="str">
        <f>LOWER($B92 &amp; "|" &amp; $O92)</f>
        <v>2014|névrite optique • plainte: tr. vue</v>
      </c>
      <c r="L92" t="str" cm="1">
        <f t="array" ref="L92">_xlfn.LET(_xlpm.base, " " &amp; LOWER(TRIM(IFERROR(_xlfn.TEXTBEFORE($C92,"["), $C92))) &amp; " ", _xlpm.s1, SUBSTITUTE(_xlpm.base, " fa ", " fibrillation auriculaire "), _xlpm.s2, SUBSTITUTE(_xlpm.s1, " ep ", " embolie pulmonaire "), _xlpm.s3, SUBSTITUTE(_xlpm.s2, " rgo ", " reflux gastro-oesophagien "), TRIM(_xlpm.s3))</f>
        <v>névrite optique • plainte: tr. vue</v>
      </c>
      <c r="M92" t="str" cm="1">
        <f t="array" ref="M92">_xlfn.LET(_xlpm.base, " " &amp; LOWER(TRIM($L92)) &amp; " ", _xlpm.s1, SUBSTITUTE(_xlpm.base, " saos ", " syndrome d'apnees obstructives du sommeil "), _xlpm.s2, SUBSTITUTE(_xlpm.s1, " oacr ", " occlusion de l'artere centrale de la retine "), _xlpm.s3, SUBSTITUTE(_xlpm.s2, " hsd ", " hematome sous-dural "), TRIM(_xlpm.s3))</f>
        <v>névrite optique • plainte: tr. vue</v>
      </c>
      <c r="N92" t="str" cm="1">
        <f t="array" ref="N92">_xlfn.LET(_xlpm.base, " " &amp; LOWER(TRIM($M92))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névrite optique • plainte: tr. vue</v>
      </c>
      <c r="O92" t="str" cm="1">
        <f t="array" ref="O92">_xlfn.LET(_xlpm.base, " " &amp; LOWER(TRIM($N92))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névrite optique • plainte: tr. vue</v>
      </c>
    </row>
    <row r="93" spans="1:15" ht="68.25">
      <c r="A93" s="44" t="s">
        <v>1503</v>
      </c>
      <c r="B93" s="44">
        <v>2014</v>
      </c>
      <c r="C93" s="46" t="s">
        <v>351</v>
      </c>
      <c r="D93" s="46" t="s">
        <v>1520</v>
      </c>
      <c r="E93" s="46" t="s">
        <v>348</v>
      </c>
      <c r="F93" s="46" t="s">
        <v>349</v>
      </c>
      <c r="G93" s="46" t="s">
        <v>346</v>
      </c>
      <c r="H93" s="46" t="s">
        <v>1521</v>
      </c>
      <c r="I93" s="46" t="s">
        <v>350</v>
      </c>
      <c r="J93" t="str" cm="1">
        <f t="array" ref="J93">_xlfn.LET(_xlpm.yr, B93, _xlpm.title, IFERROR(_xlfn.TEXTBEFORE(C93,"["), C93), _xlpm.base, TRIM(SUBSTITUTE(SUBSTITUTE(SUBSTITUTE(SUBSTITUTE(_xlpm.title,"•"," "),CHAR(160)," "),CHAR(10)," "),"  "," ")), LOWER(_xlpm.yr&amp;"|"&amp;_xlpm.base))</f>
        <v>2014|avc</v>
      </c>
      <c r="K93" t="str">
        <f>LOWER($B93 &amp; "|" &amp; $O93)</f>
        <v>2014|accident vasculaire cerebral</v>
      </c>
      <c r="L93" t="str" cm="1">
        <f t="array" ref="L93">_xlfn.LET(_xlpm.base, " " &amp; LOWER(TRIM(IFERROR(_xlfn.TEXTBEFORE($C93,"["), $C93))) &amp; " ", _xlpm.s1, SUBSTITUTE(_xlpm.base, " fa ", " fibrillation auriculaire "), _xlpm.s2, SUBSTITUTE(_xlpm.s1, " ep ", " embolie pulmonaire "), _xlpm.s3, SUBSTITUTE(_xlpm.s2, " rgo ", " reflux gastro-oesophagien "), TRIM(_xlpm.s3))</f>
        <v>avc</v>
      </c>
      <c r="M93" t="str" cm="1">
        <f t="array" ref="M93">_xlfn.LET(_xlpm.base, " " &amp; LOWER(TRIM($L93)) &amp; " ", _xlpm.s1, SUBSTITUTE(_xlpm.base, " saos ", " syndrome d'apnees obstructives du sommeil "), _xlpm.s2, SUBSTITUTE(_xlpm.s1, " oacr ", " occlusion de l'artere centrale de la retine "), _xlpm.s3, SUBSTITUTE(_xlpm.s2, " hsd ", " hematome sous-dural "), TRIM(_xlpm.s3))</f>
        <v>avc</v>
      </c>
      <c r="N93" t="str" cm="1">
        <f t="array" ref="N93">_xlfn.LET(_xlpm.base, " " &amp; LOWER(TRIM($M93))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accident vasculaire cerebral</v>
      </c>
      <c r="O93" t="str" cm="1">
        <f t="array" ref="O93">_xlfn.LET(_xlpm.base, " " &amp; LOWER(TRIM($N93))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accident vasculaire cerebral</v>
      </c>
    </row>
    <row r="94" spans="1:15" ht="41.25">
      <c r="A94" s="44" t="s">
        <v>1503</v>
      </c>
      <c r="B94" s="44">
        <v>2015</v>
      </c>
      <c r="C94" s="46" t="s">
        <v>786</v>
      </c>
      <c r="D94" s="46" t="s">
        <v>1522</v>
      </c>
      <c r="E94" s="46" t="s">
        <v>1523</v>
      </c>
      <c r="F94" s="45" t="s">
        <v>1524</v>
      </c>
      <c r="G94" s="45"/>
      <c r="H94" s="46" t="s">
        <v>1525</v>
      </c>
      <c r="I94" s="46" t="s">
        <v>1526</v>
      </c>
      <c r="J94" t="str" cm="1">
        <f t="array" ref="J94">_xlfn.LET(_xlpm.yr, B94, _xlpm.title, IFERROR(_xlfn.TEXTBEFORE(C94,"["), C94), _xlpm.base, TRIM(SUBSTITUTE(SUBSTITUTE(SUBSTITUTE(SUBSTITUTE(_xlpm.title,"•"," "),CHAR(160)," "),CHAR(10)," "),"  "," ")), LOWER(_xlpm.yr&amp;"|"&amp;_xlpm.base))</f>
        <v>2015|hernie discale</v>
      </c>
      <c r="K94" t="str">
        <f>LOWER($B94 &amp; "|" &amp; $O94)</f>
        <v>2015|hernie discale</v>
      </c>
      <c r="L94" t="str" cm="1">
        <f t="array" ref="L94">_xlfn.LET(_xlpm.base, " " &amp; LOWER(TRIM(IFERROR(_xlfn.TEXTBEFORE($C94,"["), $C94))) &amp; " ", _xlpm.s1, SUBSTITUTE(_xlpm.base, " fa ", " fibrillation auriculaire "), _xlpm.s2, SUBSTITUTE(_xlpm.s1, " ep ", " embolie pulmonaire "), _xlpm.s3, SUBSTITUTE(_xlpm.s2, " rgo ", " reflux gastro-oesophagien "), TRIM(_xlpm.s3))</f>
        <v>hernie discale</v>
      </c>
      <c r="M94" t="str" cm="1">
        <f t="array" ref="M94">_xlfn.LET(_xlpm.base, " " &amp; LOWER(TRIM($L94)) &amp; " ", _xlpm.s1, SUBSTITUTE(_xlpm.base, " saos ", " syndrome d'apnees obstructives du sommeil "), _xlpm.s2, SUBSTITUTE(_xlpm.s1, " oacr ", " occlusion de l'artere centrale de la retine "), _xlpm.s3, SUBSTITUTE(_xlpm.s2, " hsd ", " hematome sous-dural "), TRIM(_xlpm.s3))</f>
        <v>hernie discale</v>
      </c>
      <c r="N94" t="str" cm="1">
        <f t="array" ref="N94">_xlfn.LET(_xlpm.base, " " &amp; LOWER(TRIM($M94))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discale</v>
      </c>
      <c r="O94" t="str" cm="1">
        <f t="array" ref="O94">_xlfn.LET(_xlpm.base, " " &amp; LOWER(TRIM($N94))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discale</v>
      </c>
    </row>
    <row r="95" spans="1:15" ht="124.5">
      <c r="A95" s="44" t="s">
        <v>1503</v>
      </c>
      <c r="B95" s="44">
        <v>2015</v>
      </c>
      <c r="C95" s="46" t="s">
        <v>1527</v>
      </c>
      <c r="D95" s="46" t="s">
        <v>1528</v>
      </c>
      <c r="E95" s="46" t="s">
        <v>1529</v>
      </c>
      <c r="F95" s="46" t="s">
        <v>1530</v>
      </c>
      <c r="G95" s="46" t="s">
        <v>1531</v>
      </c>
      <c r="H95" s="46" t="s">
        <v>1532</v>
      </c>
      <c r="I95" s="46" t="s">
        <v>1533</v>
      </c>
      <c r="J95" t="str" cm="1">
        <f t="array" ref="J95">_xlfn.LET(_xlpm.yr, B95, _xlpm.title, IFERROR(_xlfn.TEXTBEFORE(C95,"["), C95), _xlpm.base, TRIM(SUBSTITUTE(SUBSTITUTE(SUBSTITUTE(SUBSTITUTE(_xlpm.title,"•"," "),CHAR(160)," "),CHAR(10)," "),"  "," ")), LOWER(_xlpm.yr&amp;"|"&amp;_xlpm.base))</f>
        <v>2015|paralysie faciale périph https://www.revmed.ch/rms/2009/rms- 188/paralysie-faciale-diagnostic-et-prise-en- charge-par-le-medecin-de-premier-recours</v>
      </c>
      <c r="K95" t="str">
        <f>LOWER($B95 &amp; "|" &amp; $O95)</f>
        <v>2015|paralysie faciale périph • https://www.revmed.ch/rms/2009/rms- 188/paralysie-faciale-diagnostic-et-prise-en- charge-par-le-medecin-de-premier-recours</v>
      </c>
      <c r="L95" t="str" cm="1">
        <f t="array" ref="L95">_xlfn.LET(_xlpm.base, " " &amp; LOWER(TRIM(IFERROR(_xlfn.TEXTBEFORE($C95,"["), $C95))) &amp; " ", _xlpm.s1, SUBSTITUTE(_xlpm.base, " fa ", " fibrillation auriculaire "), _xlpm.s2, SUBSTITUTE(_xlpm.s1, " ep ", " embolie pulmonaire "), _xlpm.s3, SUBSTITUTE(_xlpm.s2, " rgo ", " reflux gastro-oesophagien "), TRIM(_xlpm.s3))</f>
        <v>paralysie faciale périph • https://www.revmed.ch/rms/2009/rms- 188/paralysie-faciale-diagnostic-et-prise-en- charge-par-le-medecin-de-premier-recours</v>
      </c>
      <c r="M95" t="str" cm="1">
        <f t="array" ref="M95">_xlfn.LET(_xlpm.base, " " &amp; LOWER(TRIM($L95)) &amp; " ", _xlpm.s1, SUBSTITUTE(_xlpm.base, " saos ", " syndrome d'apnees obstructives du sommeil "), _xlpm.s2, SUBSTITUTE(_xlpm.s1, " oacr ", " occlusion de l'artere centrale de la retine "), _xlpm.s3, SUBSTITUTE(_xlpm.s2, " hsd ", " hematome sous-dural "), TRIM(_xlpm.s3))</f>
        <v>paralysie faciale périph • https://www.revmed.ch/rms/2009/rms- 188/paralysie-faciale-diagnostic-et-prise-en- charge-par-le-medecin-de-premier-recours</v>
      </c>
      <c r="N95" t="str" cm="1">
        <f t="array" ref="N95">_xlfn.LET(_xlpm.base, " " &amp; LOWER(TRIM($M95))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paralysie faciale périph • https://www.revmed.ch/rms/2009/rms- 188/paralysie-faciale-diagnostic-et-prise-en- charge-par-le-medecin-de-premier-recours</v>
      </c>
      <c r="O95" t="str" cm="1">
        <f t="array" ref="O95">_xlfn.LET(_xlpm.base, " " &amp; LOWER(TRIM($N95))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paralysie faciale périph • https://www.revmed.ch/rms/2009/rms- 188/paralysie-faciale-diagnostic-et-prise-en- charge-par-le-medecin-de-premier-recours</v>
      </c>
    </row>
    <row r="96" spans="1:15" ht="83.25">
      <c r="A96" s="44" t="s">
        <v>1503</v>
      </c>
      <c r="B96" s="44">
        <v>2015</v>
      </c>
      <c r="C96" s="46" t="s">
        <v>480</v>
      </c>
      <c r="D96" s="46"/>
      <c r="E96" s="46" t="s">
        <v>477</v>
      </c>
      <c r="F96" s="46" t="s">
        <v>478</v>
      </c>
      <c r="G96" s="46" t="s">
        <v>475</v>
      </c>
      <c r="H96" s="46" t="s">
        <v>1534</v>
      </c>
      <c r="I96" s="46" t="s">
        <v>479</v>
      </c>
      <c r="J96" t="str" cm="1">
        <f t="array" ref="J96">_xlfn.LET(_xlpm.yr, B96, _xlpm.title, IFERROR(_xlfn.TEXTBEFORE(C96,"["), C96), _xlpm.base, TRIM(SUBSTITUTE(SUBSTITUTE(SUBSTITUTE(SUBSTITUTE(_xlpm.title,"•"," "),CHAR(160)," "),CHAR(10)," "),"  "," ")), LOWER(_xlpm.yr&amp;"|"&amp;_xlpm.base))</f>
        <v>2015|hsa</v>
      </c>
      <c r="K96" t="str">
        <f>LOWER($B96 &amp; "|" &amp; $O96)</f>
        <v>2015|hemorragie sous-arachnoidienne</v>
      </c>
      <c r="L96" t="str" cm="1">
        <f t="array" ref="L96">_xlfn.LET(_xlpm.base, " " &amp; LOWER(TRIM(IFERROR(_xlfn.TEXTBEFORE($C96,"["), $C96))) &amp; " ", _xlpm.s1, SUBSTITUTE(_xlpm.base, " fa ", " fibrillation auriculaire "), _xlpm.s2, SUBSTITUTE(_xlpm.s1, " ep ", " embolie pulmonaire "), _xlpm.s3, SUBSTITUTE(_xlpm.s2, " rgo ", " reflux gastro-oesophagien "), TRIM(_xlpm.s3))</f>
        <v>hsa</v>
      </c>
      <c r="M96" t="str" cm="1">
        <f t="array" ref="M96">_xlfn.LET(_xlpm.base, " " &amp; LOWER(TRIM($L96)) &amp; " ", _xlpm.s1, SUBSTITUTE(_xlpm.base, " saos ", " syndrome d'apnees obstructives du sommeil "), _xlpm.s2, SUBSTITUTE(_xlpm.s1, " oacr ", " occlusion de l'artere centrale de la retine "), _xlpm.s3, SUBSTITUTE(_xlpm.s2, " hsd ", " hematome sous-dural "), TRIM(_xlpm.s3))</f>
        <v>hsa</v>
      </c>
      <c r="N96" t="str" cm="1">
        <f t="array" ref="N96">_xlfn.LET(_xlpm.base, " " &amp; LOWER(TRIM($M96))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hemorragie sous-arachnoidienne</v>
      </c>
      <c r="O96" t="str" cm="1">
        <f t="array" ref="O96">_xlfn.LET(_xlpm.base, " " &amp; LOWER(TRIM($N96))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hemorragie sous-arachnoidienne</v>
      </c>
    </row>
    <row r="97" spans="1:15">
      <c r="A97" s="44" t="s">
        <v>1503</v>
      </c>
      <c r="B97" s="44">
        <v>2015</v>
      </c>
      <c r="C97" s="45" t="s">
        <v>1535</v>
      </c>
      <c r="D97" s="45"/>
      <c r="E97" s="46"/>
      <c r="F97" s="45" t="s">
        <v>1536</v>
      </c>
      <c r="G97" s="45"/>
      <c r="H97" s="46"/>
      <c r="I97" s="46"/>
      <c r="J97" t="str" cm="1">
        <f t="array" ref="J97">_xlfn.LET(_xlpm.yr, B97, _xlpm.title, IFERROR(_xlfn.TEXTBEFORE(C97,"["), C97), _xlpm.base, TRIM(SUBSTITUTE(SUBSTITUTE(SUBSTITUTE(SUBSTITUTE(_xlpm.title,"•"," "),CHAR(160)," "),CHAR(10)," "),"  "," ")), LOWER(_xlpm.yr&amp;"|"&amp;_xlpm.base))</f>
        <v>2015|hernie cervicale</v>
      </c>
      <c r="K97" t="str">
        <f>LOWER($B97 &amp; "|" &amp; $O97)</f>
        <v>2015|hernie cervicale</v>
      </c>
      <c r="L97" t="str" cm="1">
        <f t="array" ref="L97">_xlfn.LET(_xlpm.base, " " &amp; LOWER(TRIM(IFERROR(_xlfn.TEXTBEFORE($C97,"["), $C97))) &amp; " ", _xlpm.s1, SUBSTITUTE(_xlpm.base, " fa ", " fibrillation auriculaire "), _xlpm.s2, SUBSTITUTE(_xlpm.s1, " ep ", " embolie pulmonaire "), _xlpm.s3, SUBSTITUTE(_xlpm.s2, " rgo ", " reflux gastro-oesophagien "), TRIM(_xlpm.s3))</f>
        <v>hernie cervicale</v>
      </c>
      <c r="M97" t="str" cm="1">
        <f t="array" ref="M97">_xlfn.LET(_xlpm.base, " " &amp; LOWER(TRIM($L97)) &amp; " ", _xlpm.s1, SUBSTITUTE(_xlpm.base, " saos ", " syndrome d'apnees obstructives du sommeil "), _xlpm.s2, SUBSTITUTE(_xlpm.s1, " oacr ", " occlusion de l'artere centrale de la retine "), _xlpm.s3, SUBSTITUTE(_xlpm.s2, " hsd ", " hematome sous-dural "), TRIM(_xlpm.s3))</f>
        <v>hernie cervicale</v>
      </c>
      <c r="N97" t="str" cm="1">
        <f t="array" ref="N97">_xlfn.LET(_xlpm.base, " " &amp; LOWER(TRIM($M97))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cervicale</v>
      </c>
      <c r="O97" t="str" cm="1">
        <f t="array" ref="O97">_xlfn.LET(_xlpm.base, " " &amp; LOWER(TRIM($N97))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cervicale</v>
      </c>
    </row>
    <row r="98" spans="1:15" ht="54.75">
      <c r="A98" s="44" t="s">
        <v>1503</v>
      </c>
      <c r="B98" s="44">
        <v>2016</v>
      </c>
      <c r="C98" s="46" t="s">
        <v>606</v>
      </c>
      <c r="D98" s="46" t="s">
        <v>1537</v>
      </c>
      <c r="E98" s="46" t="s">
        <v>1538</v>
      </c>
      <c r="F98" s="46" t="s">
        <v>1539</v>
      </c>
      <c r="G98" s="46" t="s">
        <v>1540</v>
      </c>
      <c r="H98" s="46" t="s">
        <v>1541</v>
      </c>
      <c r="I98" s="46" t="s">
        <v>1542</v>
      </c>
      <c r="J98" t="str" cm="1">
        <f t="array" ref="J98">_xlfn.LET(_xlpm.yr, B98, _xlpm.title, IFERROR(_xlfn.TEXTBEFORE(C98,"["), C98), _xlpm.base, TRIM(SUBSTITUTE(SUBSTITUTE(SUBSTITUTE(SUBSTITUTE(_xlpm.title,"•"," "),CHAR(160)," "),CHAR(10)," "),"  "," ")), LOWER(_xlpm.yr&amp;"|"&amp;_xlpm.base))</f>
        <v>2016|hydrocéphalie à pression normale</v>
      </c>
      <c r="K98" t="str">
        <f>LOWER($B98 &amp; "|" &amp; $O98)</f>
        <v>2016|hydrocéphalie à pression normale</v>
      </c>
      <c r="L98" t="str" cm="1">
        <f t="array" ref="L98">_xlfn.LET(_xlpm.base, " " &amp; LOWER(TRIM(IFERROR(_xlfn.TEXTBEFORE($C98,"["), $C98))) &amp; " ", _xlpm.s1, SUBSTITUTE(_xlpm.base, " fa ", " fibrillation auriculaire "), _xlpm.s2, SUBSTITUTE(_xlpm.s1, " ep ", " embolie pulmonaire "), _xlpm.s3, SUBSTITUTE(_xlpm.s2, " rgo ", " reflux gastro-oesophagien "), TRIM(_xlpm.s3))</f>
        <v>hydrocéphalie à pression normale</v>
      </c>
      <c r="M98" t="str" cm="1">
        <f t="array" ref="M98">_xlfn.LET(_xlpm.base, " " &amp; LOWER(TRIM($L98)) &amp; " ", _xlpm.s1, SUBSTITUTE(_xlpm.base, " saos ", " syndrome d'apnees obstructives du sommeil "), _xlpm.s2, SUBSTITUTE(_xlpm.s1, " oacr ", " occlusion de l'artere centrale de la retine "), _xlpm.s3, SUBSTITUTE(_xlpm.s2, " hsd ", " hematome sous-dural "), TRIM(_xlpm.s3))</f>
        <v>hydrocéphalie à pression normale</v>
      </c>
      <c r="N98" t="str" cm="1">
        <f t="array" ref="N98">_xlfn.LET(_xlpm.base, " " &amp; LOWER(TRIM($M98))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hydrocéphalie à pression normale</v>
      </c>
      <c r="O98" t="str" cm="1">
        <f t="array" ref="O98">_xlfn.LET(_xlpm.base, " " &amp; LOWER(TRIM($N98))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hydrocéphalie à pression normale</v>
      </c>
    </row>
    <row r="99" spans="1:15">
      <c r="A99" s="44" t="s">
        <v>1503</v>
      </c>
      <c r="B99" s="44">
        <v>2016</v>
      </c>
      <c r="C99" s="46" t="s">
        <v>786</v>
      </c>
      <c r="D99" s="45" t="s">
        <v>1543</v>
      </c>
      <c r="E99" s="45"/>
      <c r="F99" s="45"/>
      <c r="G99" s="45"/>
      <c r="H99" s="45"/>
      <c r="I99" s="45"/>
      <c r="J99" t="str" cm="1">
        <f t="array" ref="J99">_xlfn.LET(_xlpm.yr, B99, _xlpm.title, IFERROR(_xlfn.TEXTBEFORE(C99,"["), C99), _xlpm.base, TRIM(SUBSTITUTE(SUBSTITUTE(SUBSTITUTE(SUBSTITUTE(_xlpm.title,"•"," "),CHAR(160)," "),CHAR(10)," "),"  "," ")), LOWER(_xlpm.yr&amp;"|"&amp;_xlpm.base))</f>
        <v>2016|hernie discale</v>
      </c>
      <c r="K99" t="str">
        <f>LOWER($B99 &amp; "|" &amp; $O99)</f>
        <v>2016|hernie discale</v>
      </c>
      <c r="L99" t="str" cm="1">
        <f t="array" ref="L99">_xlfn.LET(_xlpm.base, " " &amp; LOWER(TRIM(IFERROR(_xlfn.TEXTBEFORE($C99,"["), $C99))) &amp; " ", _xlpm.s1, SUBSTITUTE(_xlpm.base, " fa ", " fibrillation auriculaire "), _xlpm.s2, SUBSTITUTE(_xlpm.s1, " ep ", " embolie pulmonaire "), _xlpm.s3, SUBSTITUTE(_xlpm.s2, " rgo ", " reflux gastro-oesophagien "), TRIM(_xlpm.s3))</f>
        <v>hernie discale</v>
      </c>
      <c r="M99" t="str" cm="1">
        <f t="array" ref="M99">_xlfn.LET(_xlpm.base, " " &amp; LOWER(TRIM($L99)) &amp; " ", _xlpm.s1, SUBSTITUTE(_xlpm.base, " saos ", " syndrome d'apnees obstructives du sommeil "), _xlpm.s2, SUBSTITUTE(_xlpm.s1, " oacr ", " occlusion de l'artere centrale de la retine "), _xlpm.s3, SUBSTITUTE(_xlpm.s2, " hsd ", " hematome sous-dural "), TRIM(_xlpm.s3))</f>
        <v>hernie discale</v>
      </c>
      <c r="N99" t="str" cm="1">
        <f t="array" ref="N99">_xlfn.LET(_xlpm.base, " " &amp; LOWER(TRIM($M99))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hernie discale</v>
      </c>
      <c r="O99" t="str" cm="1">
        <f t="array" ref="O99">_xlfn.LET(_xlpm.base, " " &amp; LOWER(TRIM($N99))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hernie discale</v>
      </c>
    </row>
    <row r="100" spans="1:15" ht="165">
      <c r="A100" s="44" t="s">
        <v>1503</v>
      </c>
      <c r="B100" s="44">
        <v>2016</v>
      </c>
      <c r="C100" s="46" t="s">
        <v>934</v>
      </c>
      <c r="D100" s="46" t="s">
        <v>1544</v>
      </c>
      <c r="E100" s="46" t="s">
        <v>1545</v>
      </c>
      <c r="F100" s="46" t="s">
        <v>1546</v>
      </c>
      <c r="G100" s="46" t="s">
        <v>1547</v>
      </c>
      <c r="H100" s="46" t="s">
        <v>1548</v>
      </c>
      <c r="I100" s="46" t="s">
        <v>1549</v>
      </c>
      <c r="J100" t="str" cm="1">
        <f t="array" ref="J100">_xlfn.LET(_xlpm.yr, B100, _xlpm.title, IFERROR(_xlfn.TEXTBEFORE(C100,"["), C100), _xlpm.base, TRIM(SUBSTITUTE(SUBSTITUTE(SUBSTITUTE(SUBSTITUTE(_xlpm.title,"•"," "),CHAR(160)," "),CHAR(10)," "),"  "," ")), LOWER(_xlpm.yr&amp;"|"&amp;_xlpm.base))</f>
        <v>2016|névralgie du trijumeau</v>
      </c>
      <c r="K100" t="str">
        <f>LOWER($B100 &amp; "|" &amp; $O100)</f>
        <v>2016|névralgie du trijumeau</v>
      </c>
      <c r="L100" t="str" cm="1">
        <f t="array" ref="L100">_xlfn.LET(_xlpm.base, " " &amp; LOWER(TRIM(IFERROR(_xlfn.TEXTBEFORE($C100,"["), $C100))) &amp; " ", _xlpm.s1, SUBSTITUTE(_xlpm.base, " fa ", " fibrillation auriculaire "), _xlpm.s2, SUBSTITUTE(_xlpm.s1, " ep ", " embolie pulmonaire "), _xlpm.s3, SUBSTITUTE(_xlpm.s2, " rgo ", " reflux gastro-oesophagien "), TRIM(_xlpm.s3))</f>
        <v>névralgie du trijumeau</v>
      </c>
      <c r="M100" t="str" cm="1">
        <f t="array" ref="M100">_xlfn.LET(_xlpm.base, " " &amp; LOWER(TRIM($L100)) &amp; " ", _xlpm.s1, SUBSTITUTE(_xlpm.base, " saos ", " syndrome d'apnees obstructives du sommeil "), _xlpm.s2, SUBSTITUTE(_xlpm.s1, " oacr ", " occlusion de l'artere centrale de la retine "), _xlpm.s3, SUBSTITUTE(_xlpm.s2, " hsd ", " hematome sous-dural "), TRIM(_xlpm.s3))</f>
        <v>névralgie du trijumeau</v>
      </c>
      <c r="N100" t="str" cm="1">
        <f t="array" ref="N100">_xlfn.LET(_xlpm.base, " " &amp; LOWER(TRIM($M100))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névralgie du trijumeau</v>
      </c>
      <c r="O100" t="str" cm="1">
        <f t="array" ref="O100">_xlfn.LET(_xlpm.base, " " &amp; LOWER(TRIM($N100))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névralgie du trijumeau</v>
      </c>
    </row>
    <row r="101" spans="1:15" ht="83.25">
      <c r="A101" s="44" t="s">
        <v>1503</v>
      </c>
      <c r="B101" s="44">
        <v>2016</v>
      </c>
      <c r="C101" s="46" t="s">
        <v>1550</v>
      </c>
      <c r="D101" s="46" t="s">
        <v>1551</v>
      </c>
      <c r="E101" s="46" t="s">
        <v>1552</v>
      </c>
      <c r="F101" s="45" t="s">
        <v>1553</v>
      </c>
      <c r="G101" s="45"/>
      <c r="H101" s="46" t="s">
        <v>1554</v>
      </c>
      <c r="I101" s="46" t="s">
        <v>1555</v>
      </c>
      <c r="J101" t="str" cm="1">
        <f t="array" ref="J101">_xlfn.LET(_xlpm.yr, B101, _xlpm.title, IFERROR(_xlfn.TEXTBEFORE(C101,"["), C101), _xlpm.base, TRIM(SUBSTITUTE(SUBSTITUTE(SUBSTITUTE(SUBSTITUTE(_xlpm.title,"•"," "),CHAR(160)," "),CHAR(10)," "),"  "," ")), LOWER(_xlpm.yr&amp;"|"&amp;_xlpm.base))</f>
        <v>2016|céphalée + atteintes neuro focales</v>
      </c>
      <c r="K101" t="str">
        <f>LOWER($B101 &amp; "|" &amp; $O101)</f>
        <v>2016|céphalée + atteintes neuro focales</v>
      </c>
      <c r="L101" t="str" cm="1">
        <f t="array" ref="L101">_xlfn.LET(_xlpm.base, " " &amp; LOWER(TRIM(IFERROR(_xlfn.TEXTBEFORE($C101,"["), $C101))) &amp; " ", _xlpm.s1, SUBSTITUTE(_xlpm.base, " fa ", " fibrillation auriculaire "), _xlpm.s2, SUBSTITUTE(_xlpm.s1, " ep ", " embolie pulmonaire "), _xlpm.s3, SUBSTITUTE(_xlpm.s2, " rgo ", " reflux gastro-oesophagien "), TRIM(_xlpm.s3))</f>
        <v>céphalée + atteintes neuro focales</v>
      </c>
      <c r="M101" t="str" cm="1">
        <f t="array" ref="M101">_xlfn.LET(_xlpm.base, " " &amp; LOWER(TRIM($L101)) &amp; " ", _xlpm.s1, SUBSTITUTE(_xlpm.base, " saos ", " syndrome d'apnees obstructives du sommeil "), _xlpm.s2, SUBSTITUTE(_xlpm.s1, " oacr ", " occlusion de l'artere centrale de la retine "), _xlpm.s3, SUBSTITUTE(_xlpm.s2, " hsd ", " hematome sous-dural "), TRIM(_xlpm.s3))</f>
        <v>céphalée + atteintes neuro focales</v>
      </c>
      <c r="N101" t="str" cm="1">
        <f t="array" ref="N101">_xlfn.LET(_xlpm.base, " " &amp; LOWER(TRIM($M101))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céphalée + atteintes neuro focales</v>
      </c>
      <c r="O101" t="str" cm="1">
        <f t="array" ref="O101">_xlfn.LET(_xlpm.base, " " &amp; LOWER(TRIM($N101))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céphalée + atteintes neuro focales</v>
      </c>
    </row>
    <row r="102" spans="1:15" ht="151.5">
      <c r="A102" s="44" t="s">
        <v>1503</v>
      </c>
      <c r="B102" s="44">
        <v>2016</v>
      </c>
      <c r="C102" s="46" t="s">
        <v>605</v>
      </c>
      <c r="D102" s="46" t="s">
        <v>602</v>
      </c>
      <c r="E102" s="46" t="s">
        <v>1556</v>
      </c>
      <c r="F102" s="45" t="s">
        <v>603</v>
      </c>
      <c r="G102" s="45"/>
      <c r="H102" s="46" t="s">
        <v>1557</v>
      </c>
      <c r="I102" s="46" t="s">
        <v>604</v>
      </c>
      <c r="J102" t="str" cm="1">
        <f t="array" ref="J102">_xlfn.LET(_xlpm.yr, B102, _xlpm.title, IFERROR(_xlfn.TEXTBEFORE(C102,"["), C102), _xlpm.base, TRIM(SUBSTITUTE(SUBSTITUTE(SUBSTITUTE(SUBSTITUTE(_xlpm.title,"•"," "),CHAR(160)," "),CHAR(10)," "),"  "," ")), LOWER(_xlpm.yr&amp;"|"&amp;_xlpm.base))</f>
        <v>2016|guillain barré</v>
      </c>
      <c r="K102" t="str">
        <f>LOWER($B102 &amp; "|" &amp; $O102)</f>
        <v>2016|guillain barré</v>
      </c>
      <c r="L102" t="str" cm="1">
        <f t="array" ref="L102">_xlfn.LET(_xlpm.base, " " &amp; LOWER(TRIM(IFERROR(_xlfn.TEXTBEFORE($C102,"["), $C102))) &amp; " ", _xlpm.s1, SUBSTITUTE(_xlpm.base, " fa ", " fibrillation auriculaire "), _xlpm.s2, SUBSTITUTE(_xlpm.s1, " ep ", " embolie pulmonaire "), _xlpm.s3, SUBSTITUTE(_xlpm.s2, " rgo ", " reflux gastro-oesophagien "), TRIM(_xlpm.s3))</f>
        <v>guillain barré</v>
      </c>
      <c r="M102" t="str" cm="1">
        <f t="array" ref="M102">_xlfn.LET(_xlpm.base, " " &amp; LOWER(TRIM($L102)) &amp; " ", _xlpm.s1, SUBSTITUTE(_xlpm.base, " saos ", " syndrome d'apnees obstructives du sommeil "), _xlpm.s2, SUBSTITUTE(_xlpm.s1, " oacr ", " occlusion de l'artere centrale de la retine "), _xlpm.s3, SUBSTITUTE(_xlpm.s2, " hsd ", " hematome sous-dural "), TRIM(_xlpm.s3))</f>
        <v>guillain barré</v>
      </c>
      <c r="N102" t="str" cm="1">
        <f t="array" ref="N102">_xlfn.LET(_xlpm.base, " " &amp; LOWER(TRIM($M102))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guillain barré</v>
      </c>
      <c r="O102" t="str" cm="1">
        <f t="array" ref="O102">_xlfn.LET(_xlpm.base, " " &amp; LOWER(TRIM($N102))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guillain barré</v>
      </c>
    </row>
    <row r="103" spans="1:15" ht="41.25">
      <c r="A103" s="44" t="s">
        <v>1503</v>
      </c>
      <c r="B103" s="44">
        <v>2017</v>
      </c>
      <c r="C103" s="46" t="s">
        <v>105</v>
      </c>
      <c r="D103" s="46" t="s">
        <v>1558</v>
      </c>
      <c r="E103" s="46" t="s">
        <v>1559</v>
      </c>
      <c r="F103" s="46" t="s">
        <v>696</v>
      </c>
      <c r="G103" s="46" t="s">
        <v>693</v>
      </c>
      <c r="H103" s="46" t="s">
        <v>1560</v>
      </c>
      <c r="I103" s="46" t="s">
        <v>697</v>
      </c>
      <c r="J103" t="str" cm="1">
        <f t="array" ref="J103">_xlfn.LET(_xlpm.yr, B103, _xlpm.title, IFERROR(_xlfn.TEXTBEFORE(C103,"["), C103), _xlpm.base, TRIM(SUBSTITUTE(SUBSTITUTE(SUBSTITUTE(SUBSTITUTE(_xlpm.title,"•"," "),CHAR(160)," "),CHAR(10)," "),"  "," ")), LOWER(_xlpm.yr&amp;"|"&amp;_xlpm.base))</f>
        <v>2017|ait</v>
      </c>
      <c r="K103" t="str">
        <f>LOWER($B103 &amp; "|" &amp; $O103)</f>
        <v>2017|ait</v>
      </c>
      <c r="L103" t="str" cm="1">
        <f t="array" ref="L103">_xlfn.LET(_xlpm.base, " " &amp; LOWER(TRIM(IFERROR(_xlfn.TEXTBEFORE($C103,"["), $C103))) &amp; " ", _xlpm.s1, SUBSTITUTE(_xlpm.base, " fa ", " fibrillation auriculaire "), _xlpm.s2, SUBSTITUTE(_xlpm.s1, " ep ", " embolie pulmonaire "), _xlpm.s3, SUBSTITUTE(_xlpm.s2, " rgo ", " reflux gastro-oesophagien "), TRIM(_xlpm.s3))</f>
        <v>ait</v>
      </c>
      <c r="M103" t="str" cm="1">
        <f t="array" ref="M103">_xlfn.LET(_xlpm.base, " " &amp; LOWER(TRIM($L103)) &amp; " ", _xlpm.s1, SUBSTITUTE(_xlpm.base, " saos ", " syndrome d'apnees obstructives du sommeil "), _xlpm.s2, SUBSTITUTE(_xlpm.s1, " oacr ", " occlusion de l'artere centrale de la retine "), _xlpm.s3, SUBSTITUTE(_xlpm.s2, " hsd ", " hematome sous-dural "), TRIM(_xlpm.s3))</f>
        <v>ait</v>
      </c>
      <c r="N103" t="str" cm="1">
        <f t="array" ref="N103">_xlfn.LET(_xlpm.base, " " &amp; LOWER(TRIM($M103))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ait</v>
      </c>
      <c r="O103" t="str" cm="1">
        <f t="array" ref="O103">_xlfn.LET(_xlpm.base, " " &amp; LOWER(TRIM($N103))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ait</v>
      </c>
    </row>
    <row r="104" spans="1:15">
      <c r="A104" s="44" t="s">
        <v>1503</v>
      </c>
      <c r="B104" s="44">
        <v>2017</v>
      </c>
      <c r="C104" s="46" t="s">
        <v>698</v>
      </c>
      <c r="D104" s="45" t="s">
        <v>699</v>
      </c>
      <c r="E104" s="45"/>
      <c r="F104" s="46"/>
      <c r="G104" s="46"/>
      <c r="H104" s="46"/>
      <c r="I104" s="46"/>
      <c r="J104" t="str" cm="1">
        <f t="array" ref="J104">_xlfn.LET(_xlpm.yr, B104, _xlpm.title, IFERROR(_xlfn.TEXTBEFORE(C104,"["), C104), _xlpm.base, TRIM(SUBSTITUTE(SUBSTITUTE(SUBSTITUTE(SUBSTITUTE(_xlpm.title,"•"," "),CHAR(160)," "),CHAR(10)," "),"  "," ")), LOWER(_xlpm.yr&amp;"|"&amp;_xlpm.base))</f>
        <v>2017|canal lombaire étroit</v>
      </c>
      <c r="K104" t="str">
        <f>LOWER($B104 &amp; "|" &amp; $O104)</f>
        <v>2017|canal lombaire étroit</v>
      </c>
      <c r="L104" t="str" cm="1">
        <f t="array" ref="L104">_xlfn.LET(_xlpm.base, " " &amp; LOWER(TRIM(IFERROR(_xlfn.TEXTBEFORE($C104,"["), $C104))) &amp; " ", _xlpm.s1, SUBSTITUTE(_xlpm.base, " fa ", " fibrillation auriculaire "), _xlpm.s2, SUBSTITUTE(_xlpm.s1, " ep ", " embolie pulmonaire "), _xlpm.s3, SUBSTITUTE(_xlpm.s2, " rgo ", " reflux gastro-oesophagien "), TRIM(_xlpm.s3))</f>
        <v>canal lombaire étroit</v>
      </c>
      <c r="M104" t="str" cm="1">
        <f t="array" ref="M104">_xlfn.LET(_xlpm.base, " " &amp; LOWER(TRIM($L104)) &amp; " ", _xlpm.s1, SUBSTITUTE(_xlpm.base, " saos ", " syndrome d'apnees obstructives du sommeil "), _xlpm.s2, SUBSTITUTE(_xlpm.s1, " oacr ", " occlusion de l'artere centrale de la retine "), _xlpm.s3, SUBSTITUTE(_xlpm.s2, " hsd ", " hematome sous-dural "), TRIM(_xlpm.s3))</f>
        <v>canal lombaire étroit</v>
      </c>
      <c r="N104" t="str" cm="1">
        <f t="array" ref="N104">_xlfn.LET(_xlpm.base, " " &amp; LOWER(TRIM($M104))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canal lombaire étroit</v>
      </c>
      <c r="O104" t="str" cm="1">
        <f t="array" ref="O104">_xlfn.LET(_xlpm.base, " " &amp; LOWER(TRIM($N104))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canal lombaire étroit</v>
      </c>
    </row>
    <row r="105" spans="1:15">
      <c r="A105" s="44" t="s">
        <v>1503</v>
      </c>
      <c r="B105" s="44">
        <v>2017</v>
      </c>
      <c r="C105" s="46" t="s">
        <v>1561</v>
      </c>
      <c r="D105" s="46" t="s">
        <v>1562</v>
      </c>
      <c r="E105" s="46" t="s">
        <v>1487</v>
      </c>
      <c r="F105" s="46"/>
      <c r="G105" s="46"/>
      <c r="H105" s="46"/>
      <c r="I105" s="46"/>
      <c r="J105" t="str" cm="1">
        <f t="array" ref="J105">_xlfn.LET(_xlpm.yr, B105, _xlpm.title, IFERROR(_xlfn.TEXTBEFORE(C105,"["), C105), _xlpm.base, TRIM(SUBSTITUTE(SUBSTITUTE(SUBSTITUTE(SUBSTITUTE(_xlpm.title,"•"," "),CHAR(160)," "),CHAR(10)," "),"  "," ")), LOWER(_xlpm.yr&amp;"|"&amp;_xlpm.base))</f>
        <v>2017|hsa/hsd?</v>
      </c>
      <c r="K105" t="str">
        <f>LOWER($B105 &amp; "|" &amp; $O105)</f>
        <v>2017|hsa/hsd?</v>
      </c>
      <c r="L105" t="str" cm="1">
        <f t="array" ref="L105">_xlfn.LET(_xlpm.base, " " &amp; LOWER(TRIM(IFERROR(_xlfn.TEXTBEFORE($C105,"["), $C105))) &amp; " ", _xlpm.s1, SUBSTITUTE(_xlpm.base, " fa ", " fibrillation auriculaire "), _xlpm.s2, SUBSTITUTE(_xlpm.s1, " ep ", " embolie pulmonaire "), _xlpm.s3, SUBSTITUTE(_xlpm.s2, " rgo ", " reflux gastro-oesophagien "), TRIM(_xlpm.s3))</f>
        <v>hsa/hsd?</v>
      </c>
      <c r="M105" t="str" cm="1">
        <f t="array" ref="M105">_xlfn.LET(_xlpm.base, " " &amp; LOWER(TRIM($L105)) &amp; " ", _xlpm.s1, SUBSTITUTE(_xlpm.base, " saos ", " syndrome d'apnees obstructives du sommeil "), _xlpm.s2, SUBSTITUTE(_xlpm.s1, " oacr ", " occlusion de l'artere centrale de la retine "), _xlpm.s3, SUBSTITUTE(_xlpm.s2, " hsd ", " hematome sous-dural "), TRIM(_xlpm.s3))</f>
        <v>hsa/hsd?</v>
      </c>
      <c r="N105" t="str" cm="1">
        <f t="array" ref="N105">_xlfn.LET(_xlpm.base, " " &amp; LOWER(TRIM($M105))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hsa/hsd?</v>
      </c>
      <c r="O105" t="str" cm="1">
        <f t="array" ref="O105">_xlfn.LET(_xlpm.base, " " &amp; LOWER(TRIM($N105))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hsa/hsd?</v>
      </c>
    </row>
    <row r="106" spans="1:15" ht="151.5">
      <c r="A106" s="44" t="s">
        <v>1503</v>
      </c>
      <c r="B106" s="44">
        <v>2017</v>
      </c>
      <c r="C106" s="46" t="s">
        <v>113</v>
      </c>
      <c r="D106" s="46" t="s">
        <v>704</v>
      </c>
      <c r="E106" s="46" t="s">
        <v>705</v>
      </c>
      <c r="F106" s="46" t="s">
        <v>706</v>
      </c>
      <c r="G106" s="46" t="s">
        <v>703</v>
      </c>
      <c r="H106" s="46" t="s">
        <v>1563</v>
      </c>
      <c r="I106" s="46" t="s">
        <v>707</v>
      </c>
      <c r="J106" t="str" cm="1">
        <f t="array" ref="J106">_xlfn.LET(_xlpm.yr, B106, _xlpm.title, IFERROR(_xlfn.TEXTBEFORE(C106,"["), C106), _xlpm.base, TRIM(SUBSTITUTE(SUBSTITUTE(SUBSTITUTE(SUBSTITUTE(_xlpm.title,"•"," "),CHAR(160)," "),CHAR(10)," "),"  "," ")), LOWER(_xlpm.yr&amp;"|"&amp;_xlpm.base))</f>
        <v>2017|migraine</v>
      </c>
      <c r="K106" t="str">
        <f>LOWER($B106 &amp; "|" &amp; $O106)</f>
        <v>2017|migraine</v>
      </c>
      <c r="L106" t="str" cm="1">
        <f t="array" ref="L106">_xlfn.LET(_xlpm.base, " " &amp; LOWER(TRIM(IFERROR(_xlfn.TEXTBEFORE($C106,"["), $C106))) &amp; " ", _xlpm.s1, SUBSTITUTE(_xlpm.base, " fa ", " fibrillation auriculaire "), _xlpm.s2, SUBSTITUTE(_xlpm.s1, " ep ", " embolie pulmonaire "), _xlpm.s3, SUBSTITUTE(_xlpm.s2, " rgo ", " reflux gastro-oesophagien "), TRIM(_xlpm.s3))</f>
        <v>migraine</v>
      </c>
      <c r="M106" t="str" cm="1">
        <f t="array" ref="M106">_xlfn.LET(_xlpm.base, " " &amp; LOWER(TRIM($L106)) &amp; " ", _xlpm.s1, SUBSTITUTE(_xlpm.base, " saos ", " syndrome d'apnees obstructives du sommeil "), _xlpm.s2, SUBSTITUTE(_xlpm.s1, " oacr ", " occlusion de l'artere centrale de la retine "), _xlpm.s3, SUBSTITUTE(_xlpm.s2, " hsd ", " hematome sous-dural "), TRIM(_xlpm.s3))</f>
        <v>migraine</v>
      </c>
      <c r="N106" t="str" cm="1">
        <f t="array" ref="N106">_xlfn.LET(_xlpm.base, " " &amp; LOWER(TRIM($M106))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migraine</v>
      </c>
      <c r="O106" t="str" cm="1">
        <f t="array" ref="O106">_xlfn.LET(_xlpm.base, " " &amp; LOWER(TRIM($N106))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migraine</v>
      </c>
    </row>
    <row r="107" spans="1:15" ht="68.25">
      <c r="A107" s="44" t="s">
        <v>1564</v>
      </c>
      <c r="B107" s="44">
        <v>2013</v>
      </c>
      <c r="C107" s="46" t="s">
        <v>1565</v>
      </c>
      <c r="D107" s="46" t="s">
        <v>1566</v>
      </c>
      <c r="E107" s="46" t="s">
        <v>1567</v>
      </c>
      <c r="F107" s="46" t="s">
        <v>1568</v>
      </c>
      <c r="G107" s="46" t="s">
        <v>1569</v>
      </c>
      <c r="H107" s="46" t="s">
        <v>1570</v>
      </c>
      <c r="I107" s="46" t="s">
        <v>1571</v>
      </c>
      <c r="J107" t="str" cm="1">
        <f t="array" ref="J107">_xlfn.LET(_xlpm.yr, B107, _xlpm.title, IFERROR(_xlfn.TEXTBEFORE(C107,"["), C107), _xlpm.base, TRIM(SUBSTITUTE(SUBSTITUTE(SUBSTITUTE(SUBSTITUTE(_xlpm.title,"•"," "),CHAR(160)," "),CHAR(10)," "),"  "," ")), LOWER(_xlpm.yr&amp;"|"&amp;_xlpm.base))</f>
        <v>2013|rhinite allergique</v>
      </c>
      <c r="K107" t="str">
        <f>LOWER($B107 &amp; "|" &amp; $O107)</f>
        <v>2013|rhinite allergique</v>
      </c>
      <c r="L107" t="str" cm="1">
        <f t="array" ref="L107">_xlfn.LET(_xlpm.base, " " &amp; LOWER(TRIM(IFERROR(_xlfn.TEXTBEFORE($C107,"["), $C107))) &amp; " ", _xlpm.s1, SUBSTITUTE(_xlpm.base, " fa ", " fibrillation auriculaire "), _xlpm.s2, SUBSTITUTE(_xlpm.s1, " ep ", " embolie pulmonaire "), _xlpm.s3, SUBSTITUTE(_xlpm.s2, " rgo ", " reflux gastro-oesophagien "), TRIM(_xlpm.s3))</f>
        <v>rhinite allergique</v>
      </c>
      <c r="M107" t="str" cm="1">
        <f t="array" ref="M107">_xlfn.LET(_xlpm.base, " " &amp; LOWER(TRIM($L107)) &amp; " ", _xlpm.s1, SUBSTITUTE(_xlpm.base, " saos ", " syndrome d'apnees obstructives du sommeil "), _xlpm.s2, SUBSTITUTE(_xlpm.s1, " oacr ", " occlusion de l'artere centrale de la retine "), _xlpm.s3, SUBSTITUTE(_xlpm.s2, " hsd ", " hematome sous-dural "), TRIM(_xlpm.s3))</f>
        <v>rhinite allergique</v>
      </c>
      <c r="N107" t="str" cm="1">
        <f t="array" ref="N107">_xlfn.LET(_xlpm.base, " " &amp; LOWER(TRIM($M107))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rhinite allergique</v>
      </c>
      <c r="O107" t="str" cm="1">
        <f t="array" ref="O107">_xlfn.LET(_xlpm.base, " " &amp; LOWER(TRIM($N107))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rhinite allergique</v>
      </c>
    </row>
    <row r="108" spans="1:15" ht="54.75">
      <c r="A108" s="44" t="s">
        <v>1564</v>
      </c>
      <c r="B108" s="44">
        <v>2013</v>
      </c>
      <c r="C108" s="45" t="s">
        <v>1572</v>
      </c>
      <c r="D108" s="45"/>
      <c r="E108" s="46" t="s">
        <v>1573</v>
      </c>
      <c r="F108" s="46" t="s">
        <v>1574</v>
      </c>
      <c r="G108" s="46" t="s">
        <v>1575</v>
      </c>
      <c r="H108" s="46" t="s">
        <v>1576</v>
      </c>
      <c r="I108" s="46" t="s">
        <v>1577</v>
      </c>
      <c r="J108" t="str" cm="1">
        <f t="array" ref="J108">_xlfn.LET(_xlpm.yr, B108, _xlpm.title, IFERROR(_xlfn.TEXTBEFORE(C108,"["), C108), _xlpm.base, TRIM(SUBSTITUTE(SUBSTITUTE(SUBSTITUTE(SUBSTITUTE(_xlpm.title,"•"," "),CHAR(160)," "),CHAR(10)," "),"  "," ")), LOWER(_xlpm.yr&amp;"|"&amp;_xlpm.base))</f>
        <v>2013|bouchon de cérumen</v>
      </c>
      <c r="K108" t="str">
        <f>LOWER($B108 &amp; "|" &amp; $O108)</f>
        <v>2013|bouchon de cérumen</v>
      </c>
      <c r="L108" t="str" cm="1">
        <f t="array" ref="L108">_xlfn.LET(_xlpm.base, " " &amp; LOWER(TRIM(IFERROR(_xlfn.TEXTBEFORE($C108,"["), $C108))) &amp; " ", _xlpm.s1, SUBSTITUTE(_xlpm.base, " fa ", " fibrillation auriculaire "), _xlpm.s2, SUBSTITUTE(_xlpm.s1, " ep ", " embolie pulmonaire "), _xlpm.s3, SUBSTITUTE(_xlpm.s2, " rgo ", " reflux gastro-oesophagien "), TRIM(_xlpm.s3))</f>
        <v>bouchon de cérumen</v>
      </c>
      <c r="M108" t="str" cm="1">
        <f t="array" ref="M108">_xlfn.LET(_xlpm.base, " " &amp; LOWER(TRIM($L108)) &amp; " ", _xlpm.s1, SUBSTITUTE(_xlpm.base, " saos ", " syndrome d'apnees obstructives du sommeil "), _xlpm.s2, SUBSTITUTE(_xlpm.s1, " oacr ", " occlusion de l'artere centrale de la retine "), _xlpm.s3, SUBSTITUTE(_xlpm.s2, " hsd ", " hematome sous-dural "), TRIM(_xlpm.s3))</f>
        <v>bouchon de cérumen</v>
      </c>
      <c r="N108" t="str" cm="1">
        <f t="array" ref="N108">_xlfn.LET(_xlpm.base, " " &amp; LOWER(TRIM($M108))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bouchon de cérumen</v>
      </c>
      <c r="O108" t="str" cm="1">
        <f t="array" ref="O108">_xlfn.LET(_xlpm.base, " " &amp; LOWER(TRIM($N108))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bouchon de cérumen</v>
      </c>
    </row>
    <row r="109" spans="1:15" ht="96.75">
      <c r="A109" s="44" t="s">
        <v>1564</v>
      </c>
      <c r="B109" s="44">
        <v>2014</v>
      </c>
      <c r="C109" s="46" t="s">
        <v>365</v>
      </c>
      <c r="D109" s="46" t="s">
        <v>1578</v>
      </c>
      <c r="E109" s="46" t="s">
        <v>366</v>
      </c>
      <c r="F109" s="45" t="s">
        <v>367</v>
      </c>
      <c r="G109" s="45"/>
      <c r="H109" s="45"/>
      <c r="I109" s="46" t="s">
        <v>368</v>
      </c>
      <c r="J109" t="str" cm="1">
        <f t="array" ref="J109">_xlfn.LET(_xlpm.yr, B109, _xlpm.title, IFERROR(_xlfn.TEXTBEFORE(C109,"["), C109), _xlpm.base, TRIM(SUBSTITUTE(SUBSTITUTE(SUBSTITUTE(SUBSTITUTE(_xlpm.title,"•"," "),CHAR(160)," "),CHAR(10)," "),"  "," ")), LOWER(_xlpm.yr&amp;"|"&amp;_xlpm.base))</f>
        <v>2014|otite</v>
      </c>
      <c r="K109" t="str">
        <f>LOWER($B109 &amp; "|" &amp; $O109)</f>
        <v>2014|otite</v>
      </c>
      <c r="L109" t="str" cm="1">
        <f t="array" ref="L109">_xlfn.LET(_xlpm.base, " " &amp; LOWER(TRIM(IFERROR(_xlfn.TEXTBEFORE($C109,"["), $C109))) &amp; " ", _xlpm.s1, SUBSTITUTE(_xlpm.base, " fa ", " fibrillation auriculaire "), _xlpm.s2, SUBSTITUTE(_xlpm.s1, " ep ", " embolie pulmonaire "), _xlpm.s3, SUBSTITUTE(_xlpm.s2, " rgo ", " reflux gastro-oesophagien "), TRIM(_xlpm.s3))</f>
        <v>otite</v>
      </c>
      <c r="M109" t="str" cm="1">
        <f t="array" ref="M109">_xlfn.LET(_xlpm.base, " " &amp; LOWER(TRIM($L109)) &amp; " ", _xlpm.s1, SUBSTITUTE(_xlpm.base, " saos ", " syndrome d'apnees obstructives du sommeil "), _xlpm.s2, SUBSTITUTE(_xlpm.s1, " oacr ", " occlusion de l'artere centrale de la retine "), _xlpm.s3, SUBSTITUTE(_xlpm.s2, " hsd ", " hematome sous-dural "), TRIM(_xlpm.s3))</f>
        <v>otite</v>
      </c>
      <c r="N109" t="str" cm="1">
        <f t="array" ref="N109">_xlfn.LET(_xlpm.base, " " &amp; LOWER(TRIM($M109))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otite</v>
      </c>
      <c r="O109" t="str" cm="1">
        <f t="array" ref="O109">_xlfn.LET(_xlpm.base, " " &amp; LOWER(TRIM($N109))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otite</v>
      </c>
    </row>
    <row r="110" spans="1:15" ht="96.75">
      <c r="A110" s="44" t="s">
        <v>1564</v>
      </c>
      <c r="B110" s="44">
        <v>2014</v>
      </c>
      <c r="C110" s="45" t="s">
        <v>494</v>
      </c>
      <c r="D110" s="45"/>
      <c r="E110" s="46" t="s">
        <v>1579</v>
      </c>
      <c r="F110" s="46" t="s">
        <v>1580</v>
      </c>
      <c r="G110" s="46" t="s">
        <v>1581</v>
      </c>
      <c r="H110" s="46" t="s">
        <v>1582</v>
      </c>
      <c r="I110" s="46" t="s">
        <v>1583</v>
      </c>
      <c r="J110" t="str" cm="1">
        <f t="array" ref="J110">_xlfn.LET(_xlpm.yr, B110, _xlpm.title, IFERROR(_xlfn.TEXTBEFORE(C110,"["), C110), _xlpm.base, TRIM(SUBSTITUTE(SUBSTITUTE(SUBSTITUTE(SUBSTITUTE(_xlpm.title,"•"," "),CHAR(160)," "),CHAR(10)," "),"  "," ")), LOWER(_xlpm.yr&amp;"|"&amp;_xlpm.base))</f>
        <v>2014|névrite vestibulaire</v>
      </c>
      <c r="K110" t="str">
        <f>LOWER($B110 &amp; "|" &amp; $O110)</f>
        <v>2014|névrite vestibulaire</v>
      </c>
      <c r="L110" t="str" cm="1">
        <f t="array" ref="L110">_xlfn.LET(_xlpm.base, " " &amp; LOWER(TRIM(IFERROR(_xlfn.TEXTBEFORE($C110,"["), $C110))) &amp; " ", _xlpm.s1, SUBSTITUTE(_xlpm.base, " fa ", " fibrillation auriculaire "), _xlpm.s2, SUBSTITUTE(_xlpm.s1, " ep ", " embolie pulmonaire "), _xlpm.s3, SUBSTITUTE(_xlpm.s2, " rgo ", " reflux gastro-oesophagien "), TRIM(_xlpm.s3))</f>
        <v>névrite vestibulaire</v>
      </c>
      <c r="M110" t="str" cm="1">
        <f t="array" ref="M110">_xlfn.LET(_xlpm.base, " " &amp; LOWER(TRIM($L110)) &amp; " ", _xlpm.s1, SUBSTITUTE(_xlpm.base, " saos ", " syndrome d'apnees obstructives du sommeil "), _xlpm.s2, SUBSTITUTE(_xlpm.s1, " oacr ", " occlusion de l'artere centrale de la retine "), _xlpm.s3, SUBSTITUTE(_xlpm.s2, " hsd ", " hematome sous-dural "), TRIM(_xlpm.s3))</f>
        <v>névrite vestibulaire</v>
      </c>
      <c r="N110" t="str" cm="1">
        <f t="array" ref="N110">_xlfn.LET(_xlpm.base, " " &amp; LOWER(TRIM($M110))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névrite vestibulaire</v>
      </c>
      <c r="O110" t="str" cm="1">
        <f t="array" ref="O110">_xlfn.LET(_xlpm.base, " " &amp; LOWER(TRIM($N110))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névrite vestibulaire</v>
      </c>
    </row>
    <row r="111" spans="1:15" ht="41.25">
      <c r="A111" s="44" t="s">
        <v>1564</v>
      </c>
      <c r="B111" s="44">
        <v>2014</v>
      </c>
      <c r="C111" s="45" t="s">
        <v>1584</v>
      </c>
      <c r="D111" s="45"/>
      <c r="E111" s="46" t="s">
        <v>1585</v>
      </c>
      <c r="F111" s="45" t="s">
        <v>1586</v>
      </c>
      <c r="G111" s="45"/>
      <c r="H111" s="46" t="s">
        <v>1587</v>
      </c>
      <c r="I111" s="46" t="s">
        <v>1588</v>
      </c>
      <c r="J111" t="str" cm="1">
        <f t="array" ref="J111">_xlfn.LET(_xlpm.yr, B111, _xlpm.title, IFERROR(_xlfn.TEXTBEFORE(C111,"["), C111), _xlpm.base, TRIM(SUBSTITUTE(SUBSTITUTE(SUBSTITUTE(SUBSTITUTE(_xlpm.title,"•"," "),CHAR(160)," "),CHAR(10)," "),"  "," ")), LOWER(_xlpm.yr&amp;"|"&amp;_xlpm.base))</f>
        <v>2014|abcès pilier ant amygdales</v>
      </c>
      <c r="K111" t="str">
        <f>LOWER($B111 &amp; "|" &amp; $O111)</f>
        <v>2014|abcès pilier ant amygdales</v>
      </c>
      <c r="L111" t="str" cm="1">
        <f t="array" ref="L111">_xlfn.LET(_xlpm.base, " " &amp; LOWER(TRIM(IFERROR(_xlfn.TEXTBEFORE($C111,"["), $C111))) &amp; " ", _xlpm.s1, SUBSTITUTE(_xlpm.base, " fa ", " fibrillation auriculaire "), _xlpm.s2, SUBSTITUTE(_xlpm.s1, " ep ", " embolie pulmonaire "), _xlpm.s3, SUBSTITUTE(_xlpm.s2, " rgo ", " reflux gastro-oesophagien "), TRIM(_xlpm.s3))</f>
        <v>abcès pilier ant amygdales</v>
      </c>
      <c r="M111" t="str" cm="1">
        <f t="array" ref="M111">_xlfn.LET(_xlpm.base, " " &amp; LOWER(TRIM($L111)) &amp; " ", _xlpm.s1, SUBSTITUTE(_xlpm.base, " saos ", " syndrome d'apnees obstructives du sommeil "), _xlpm.s2, SUBSTITUTE(_xlpm.s1, " oacr ", " occlusion de l'artere centrale de la retine "), _xlpm.s3, SUBSTITUTE(_xlpm.s2, " hsd ", " hematome sous-dural "), TRIM(_xlpm.s3))</f>
        <v>abcès pilier ant amygdales</v>
      </c>
      <c r="N111" t="str" cm="1">
        <f t="array" ref="N111">_xlfn.LET(_xlpm.base, " " &amp; LOWER(TRIM($M111))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abcès pilier ant amygdales</v>
      </c>
      <c r="O111" t="str" cm="1">
        <f t="array" ref="O111">_xlfn.LET(_xlpm.base, " " &amp; LOWER(TRIM($N111))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abcès pilier ant amygdales</v>
      </c>
    </row>
    <row r="112" spans="1:15" ht="138">
      <c r="A112" s="44" t="s">
        <v>1564</v>
      </c>
      <c r="B112" s="44">
        <v>2016</v>
      </c>
      <c r="C112" s="46" t="s">
        <v>1589</v>
      </c>
      <c r="D112" s="46" t="s">
        <v>1590</v>
      </c>
      <c r="E112" s="46" t="s">
        <v>1591</v>
      </c>
      <c r="F112" s="46" t="s">
        <v>1592</v>
      </c>
      <c r="G112" s="46" t="s">
        <v>1593</v>
      </c>
      <c r="H112" s="46" t="s">
        <v>1594</v>
      </c>
      <c r="I112" s="46" t="s">
        <v>1595</v>
      </c>
      <c r="J112" t="str" cm="1">
        <f t="array" ref="J112">_xlfn.LET(_xlpm.yr, B112, _xlpm.title, IFERROR(_xlfn.TEXTBEFORE(C112,"["), C112), _xlpm.base, TRIM(SUBSTITUTE(SUBSTITUTE(SUBSTITUTE(SUBSTITUTE(_xlpm.title,"•"," "),CHAR(160)," "),CHAR(10)," "),"  "," ")), LOWER(_xlpm.yr&amp;"|"&amp;_xlpm.base))</f>
        <v>2016|otosclérose baisse de l’audition : amboss 23 usmle 17</v>
      </c>
      <c r="K112" t="str">
        <f>LOWER($B112 &amp; "|" &amp; $O112)</f>
        <v>2016|otosclérose • baisse de l’audition : amboss 23 usmle 17</v>
      </c>
      <c r="L112" t="str" cm="1">
        <f t="array" ref="L112">_xlfn.LET(_xlpm.base, " " &amp; LOWER(TRIM(IFERROR(_xlfn.TEXTBEFORE($C112,"["), $C112))) &amp; " ", _xlpm.s1, SUBSTITUTE(_xlpm.base, " fa ", " fibrillation auriculaire "), _xlpm.s2, SUBSTITUTE(_xlpm.s1, " ep ", " embolie pulmonaire "), _xlpm.s3, SUBSTITUTE(_xlpm.s2, " rgo ", " reflux gastro-oesophagien "), TRIM(_xlpm.s3))</f>
        <v>otosclérose • baisse de l’audition : amboss 23 usmle 17</v>
      </c>
      <c r="M112" t="str" cm="1">
        <f t="array" ref="M112">_xlfn.LET(_xlpm.base, " " &amp; LOWER(TRIM($L112)) &amp; " ", _xlpm.s1, SUBSTITUTE(_xlpm.base, " saos ", " syndrome d'apnees obstructives du sommeil "), _xlpm.s2, SUBSTITUTE(_xlpm.s1, " oacr ", " occlusion de l'artere centrale de la retine "), _xlpm.s3, SUBSTITUTE(_xlpm.s2, " hsd ", " hematome sous-dural "), TRIM(_xlpm.s3))</f>
        <v>otosclérose • baisse de l’audition : amboss 23 usmle 17</v>
      </c>
      <c r="N112" t="str" cm="1">
        <f t="array" ref="N112">_xlfn.LET(_xlpm.base, " " &amp; LOWER(TRIM($M112))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otosclérose • baisse de l’audition : amboss 23 usmle 17</v>
      </c>
      <c r="O112" t="str" cm="1">
        <f t="array" ref="O112">_xlfn.LET(_xlpm.base, " " &amp; LOWER(TRIM($N112))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otosclérose • baisse de l’audition : amboss 23 usmle 17</v>
      </c>
    </row>
    <row r="113" spans="1:15" ht="110.25">
      <c r="A113" s="44" t="s">
        <v>1564</v>
      </c>
      <c r="B113" s="44">
        <v>2017</v>
      </c>
      <c r="C113" s="46" t="s">
        <v>495</v>
      </c>
      <c r="D113" s="46"/>
      <c r="E113" s="46" t="s">
        <v>1596</v>
      </c>
      <c r="F113" s="46" t="s">
        <v>1597</v>
      </c>
      <c r="G113" s="46" t="s">
        <v>1598</v>
      </c>
      <c r="H113" s="46" t="s">
        <v>1599</v>
      </c>
      <c r="I113" s="46" t="s">
        <v>1600</v>
      </c>
      <c r="J113" t="str" cm="1">
        <f t="array" ref="J113">_xlfn.LET(_xlpm.yr, B113, _xlpm.title, IFERROR(_xlfn.TEXTBEFORE(C113,"["), C113), _xlpm.base, TRIM(SUBSTITUTE(SUBSTITUTE(SUBSTITUTE(SUBSTITUTE(_xlpm.title,"•"," "),CHAR(160)," "),CHAR(10)," "),"  "," ")), LOWER(_xlpm.yr&amp;"|"&amp;_xlpm.base))</f>
        <v>2017|vertiges</v>
      </c>
      <c r="K113" t="str">
        <f>LOWER($B113 &amp; "|" &amp; $O113)</f>
        <v>2017|vertiges</v>
      </c>
      <c r="L113" t="str" cm="1">
        <f t="array" ref="L113">_xlfn.LET(_xlpm.base, " " &amp; LOWER(TRIM(IFERROR(_xlfn.TEXTBEFORE($C113,"["), $C113))) &amp; " ", _xlpm.s1, SUBSTITUTE(_xlpm.base, " fa ", " fibrillation auriculaire "), _xlpm.s2, SUBSTITUTE(_xlpm.s1, " ep ", " embolie pulmonaire "), _xlpm.s3, SUBSTITUTE(_xlpm.s2, " rgo ", " reflux gastro-oesophagien "), TRIM(_xlpm.s3))</f>
        <v>vertiges</v>
      </c>
      <c r="M113" t="str" cm="1">
        <f t="array" ref="M113">_xlfn.LET(_xlpm.base, " " &amp; LOWER(TRIM($L113)) &amp; " ", _xlpm.s1, SUBSTITUTE(_xlpm.base, " saos ", " syndrome d'apnees obstructives du sommeil "), _xlpm.s2, SUBSTITUTE(_xlpm.s1, " oacr ", " occlusion de l'artere centrale de la retine "), _xlpm.s3, SUBSTITUTE(_xlpm.s2, " hsd ", " hematome sous-dural "), TRIM(_xlpm.s3))</f>
        <v>vertiges</v>
      </c>
      <c r="N113" t="str" cm="1">
        <f t="array" ref="N113">_xlfn.LET(_xlpm.base, " " &amp; LOWER(TRIM($M113))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vertiges</v>
      </c>
      <c r="O113" t="str" cm="1">
        <f t="array" ref="O113">_xlfn.LET(_xlpm.base, " " &amp; LOWER(TRIM($N113))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vertiges</v>
      </c>
    </row>
    <row r="114" spans="1:15" ht="124.5">
      <c r="A114" s="44" t="s">
        <v>1601</v>
      </c>
      <c r="B114" s="44">
        <v>2013</v>
      </c>
      <c r="C114" s="46" t="s">
        <v>1602</v>
      </c>
      <c r="D114" s="46" t="s">
        <v>1603</v>
      </c>
      <c r="E114" s="46" t="s">
        <v>1604</v>
      </c>
      <c r="F114" s="46" t="s">
        <v>1605</v>
      </c>
      <c r="G114" s="46" t="s">
        <v>1606</v>
      </c>
      <c r="H114" s="46" t="s">
        <v>1607</v>
      </c>
      <c r="I114" s="46" t="s">
        <v>1608</v>
      </c>
      <c r="J114" t="str" cm="1">
        <f t="array" ref="J114">_xlfn.LET(_xlpm.yr, B114, _xlpm.title, IFERROR(_xlfn.TEXTBEFORE(C114,"["), C114), _xlpm.base, TRIM(SUBSTITUTE(SUBSTITUTE(SUBSTITUTE(SUBSTITUTE(_xlpm.title,"•"," "),CHAR(160)," "),CHAR(10)," "),"  "," ")), LOWER(_xlpm.yr&amp;"|"&amp;_xlpm.base))</f>
        <v>2013|glaucome à angle fermé? uvéite?</v>
      </c>
      <c r="K114" t="str">
        <f>LOWER($B114 &amp; "|" &amp; $O114)</f>
        <v>2013|glaucome à angle fermé? uvéite?</v>
      </c>
      <c r="L114" t="str" cm="1">
        <f t="array" ref="L114">_xlfn.LET(_xlpm.base, " " &amp; LOWER(TRIM(IFERROR(_xlfn.TEXTBEFORE($C114,"["), $C114))) &amp; " ", _xlpm.s1, SUBSTITUTE(_xlpm.base, " fa ", " fibrillation auriculaire "), _xlpm.s2, SUBSTITUTE(_xlpm.s1, " ep ", " embolie pulmonaire "), _xlpm.s3, SUBSTITUTE(_xlpm.s2, " rgo ", " reflux gastro-oesophagien "), TRIM(_xlpm.s3))</f>
        <v>glaucome à angle fermé? uvéite?</v>
      </c>
      <c r="M114" t="str" cm="1">
        <f t="array" ref="M114">_xlfn.LET(_xlpm.base, " " &amp; LOWER(TRIM($L114)) &amp; " ", _xlpm.s1, SUBSTITUTE(_xlpm.base, " saos ", " syndrome d'apnees obstructives du sommeil "), _xlpm.s2, SUBSTITUTE(_xlpm.s1, " oacr ", " occlusion de l'artere centrale de la retine "), _xlpm.s3, SUBSTITUTE(_xlpm.s2, " hsd ", " hematome sous-dural "), TRIM(_xlpm.s3))</f>
        <v>glaucome à angle fermé? uvéite?</v>
      </c>
      <c r="N114" t="str" cm="1">
        <f t="array" ref="N114">_xlfn.LET(_xlpm.base, " " &amp; LOWER(TRIM($M114))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glaucome à angle fermé? uvéite?</v>
      </c>
      <c r="O114" t="str" cm="1">
        <f t="array" ref="O114">_xlfn.LET(_xlpm.base, " " &amp; LOWER(TRIM($N114))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glaucome à angle fermé? uvéite?</v>
      </c>
    </row>
    <row r="115" spans="1:15">
      <c r="A115" s="44" t="s">
        <v>1601</v>
      </c>
      <c r="B115" s="44">
        <v>2014</v>
      </c>
      <c r="C115" s="46" t="s">
        <v>356</v>
      </c>
      <c r="D115" s="45" t="s">
        <v>1609</v>
      </c>
      <c r="E115" s="45"/>
      <c r="F115" s="45"/>
      <c r="G115" s="46"/>
      <c r="H115" s="46"/>
      <c r="I115" s="46"/>
      <c r="J115" t="str" cm="1">
        <f t="array" ref="J115">_xlfn.LET(_xlpm.yr, B115, _xlpm.title, IFERROR(_xlfn.TEXTBEFORE(C115,"["), C115), _xlpm.base, TRIM(SUBSTITUTE(SUBSTITUTE(SUBSTITUTE(SUBSTITUTE(_xlpm.title,"•"," "),CHAR(160)," "),CHAR(10)," "),"  "," ")), LOWER(_xlpm.yr&amp;"|"&amp;_xlpm.base))</f>
        <v>2014|cataracte</v>
      </c>
      <c r="K115" t="str">
        <f>LOWER($B115 &amp; "|" &amp; $O115)</f>
        <v>2014|cataracte</v>
      </c>
      <c r="L115" t="str" cm="1">
        <f t="array" ref="L115">_xlfn.LET(_xlpm.base, " " &amp; LOWER(TRIM(IFERROR(_xlfn.TEXTBEFORE($C115,"["), $C115))) &amp; " ", _xlpm.s1, SUBSTITUTE(_xlpm.base, " fa ", " fibrillation auriculaire "), _xlpm.s2, SUBSTITUTE(_xlpm.s1, " ep ", " embolie pulmonaire "), _xlpm.s3, SUBSTITUTE(_xlpm.s2, " rgo ", " reflux gastro-oesophagien "), TRIM(_xlpm.s3))</f>
        <v>cataracte</v>
      </c>
      <c r="M115" t="str" cm="1">
        <f t="array" ref="M115">_xlfn.LET(_xlpm.base, " " &amp; LOWER(TRIM($L115)) &amp; " ", _xlpm.s1, SUBSTITUTE(_xlpm.base, " saos ", " syndrome d'apnees obstructives du sommeil "), _xlpm.s2, SUBSTITUTE(_xlpm.s1, " oacr ", " occlusion de l'artere centrale de la retine "), _xlpm.s3, SUBSTITUTE(_xlpm.s2, " hsd ", " hematome sous-dural "), TRIM(_xlpm.s3))</f>
        <v>cataracte</v>
      </c>
      <c r="N115" t="str" cm="1">
        <f t="array" ref="N115">_xlfn.LET(_xlpm.base, " " &amp; LOWER(TRIM($M115))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cataracte</v>
      </c>
      <c r="O115" t="str" cm="1">
        <f t="array" ref="O115">_xlfn.LET(_xlpm.base, " " &amp; LOWER(TRIM($N115))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cataracte</v>
      </c>
    </row>
    <row r="116" spans="1:15">
      <c r="A116" s="44" t="s">
        <v>1601</v>
      </c>
      <c r="B116" s="44">
        <v>2014</v>
      </c>
      <c r="C116" s="46" t="s">
        <v>1610</v>
      </c>
      <c r="D116" s="45" t="s">
        <v>1611</v>
      </c>
      <c r="E116" s="45"/>
      <c r="F116" s="46"/>
      <c r="G116" s="46"/>
      <c r="H116" s="46"/>
      <c r="I116" s="46"/>
      <c r="J116" t="str" cm="1">
        <f t="array" ref="J116">_xlfn.LET(_xlpm.yr, B116, _xlpm.title, IFERROR(_xlfn.TEXTBEFORE(C116,"["), C116), _xlpm.base, TRIM(SUBSTITUTE(SUBSTITUTE(SUBSTITUTE(SUBSTITUTE(_xlpm.title,"•"," "),CHAR(160)," "),CHAR(10)," "),"  "," ")), LOWER(_xlpm.yr&amp;"|"&amp;_xlpm.base))</f>
        <v>2014|glaucome/uveite</v>
      </c>
      <c r="K116" t="str">
        <f>LOWER($B116 &amp; "|" &amp; $O116)</f>
        <v>2014|glaucome/uveite</v>
      </c>
      <c r="L116" t="str" cm="1">
        <f t="array" ref="L116">_xlfn.LET(_xlpm.base, " " &amp; LOWER(TRIM(IFERROR(_xlfn.TEXTBEFORE($C116,"["), $C116))) &amp; " ", _xlpm.s1, SUBSTITUTE(_xlpm.base, " fa ", " fibrillation auriculaire "), _xlpm.s2, SUBSTITUTE(_xlpm.s1, " ep ", " embolie pulmonaire "), _xlpm.s3, SUBSTITUTE(_xlpm.s2, " rgo ", " reflux gastro-oesophagien "), TRIM(_xlpm.s3))</f>
        <v>glaucome/uveite</v>
      </c>
      <c r="M116" t="str" cm="1">
        <f t="array" ref="M116">_xlfn.LET(_xlpm.base, " " &amp; LOWER(TRIM($L116)) &amp; " ", _xlpm.s1, SUBSTITUTE(_xlpm.base, " saos ", " syndrome d'apnees obstructives du sommeil "), _xlpm.s2, SUBSTITUTE(_xlpm.s1, " oacr ", " occlusion de l'artere centrale de la retine "), _xlpm.s3, SUBSTITUTE(_xlpm.s2, " hsd ", " hematome sous-dural "), TRIM(_xlpm.s3))</f>
        <v>glaucome/uveite</v>
      </c>
      <c r="N116" t="str" cm="1">
        <f t="array" ref="N116">_xlfn.LET(_xlpm.base, " " &amp; LOWER(TRIM($M116))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glaucome/uveite</v>
      </c>
      <c r="O116" t="str" cm="1">
        <f t="array" ref="O116">_xlfn.LET(_xlpm.base, " " &amp; LOWER(TRIM($N116))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glaucome/uveite</v>
      </c>
    </row>
    <row r="117" spans="1:15" ht="151.5">
      <c r="A117" s="44" t="s">
        <v>1601</v>
      </c>
      <c r="B117" s="44">
        <v>2015</v>
      </c>
      <c r="C117" s="46" t="s">
        <v>1612</v>
      </c>
      <c r="D117" s="46" t="s">
        <v>1613</v>
      </c>
      <c r="E117" s="46" t="s">
        <v>1614</v>
      </c>
      <c r="F117" s="46" t="s">
        <v>1615</v>
      </c>
      <c r="G117" s="46" t="s">
        <v>1616</v>
      </c>
      <c r="H117" s="46" t="s">
        <v>1617</v>
      </c>
      <c r="I117" s="46" t="s">
        <v>1618</v>
      </c>
      <c r="J117" t="str" cm="1">
        <f t="array" ref="J117">_xlfn.LET(_xlpm.yr, B117, _xlpm.title, IFERROR(_xlfn.TEXTBEFORE(C117,"["), C117), _xlpm.base, TRIM(SUBSTITUTE(SUBSTITUTE(SUBSTITUTE(SUBSTITUTE(_xlpm.title,"•"," "),CHAR(160)," "),CHAR(10)," "),"  "," ")), LOWER(_xlpm.yr&amp;"|"&amp;_xlpm.base))</f>
        <v>2015|kératite du soudeur</v>
      </c>
      <c r="K117" t="str">
        <f>LOWER($B117 &amp; "|" &amp; $O117)</f>
        <v>2015|kératite du soudeur</v>
      </c>
      <c r="L117" t="str" cm="1">
        <f t="array" ref="L117">_xlfn.LET(_xlpm.base, " " &amp; LOWER(TRIM(IFERROR(_xlfn.TEXTBEFORE($C117,"["), $C117))) &amp; " ", _xlpm.s1, SUBSTITUTE(_xlpm.base, " fa ", " fibrillation auriculaire "), _xlpm.s2, SUBSTITUTE(_xlpm.s1, " ep ", " embolie pulmonaire "), _xlpm.s3, SUBSTITUTE(_xlpm.s2, " rgo ", " reflux gastro-oesophagien "), TRIM(_xlpm.s3))</f>
        <v>kératite du soudeur</v>
      </c>
      <c r="M117" t="str" cm="1">
        <f t="array" ref="M117">_xlfn.LET(_xlpm.base, " " &amp; LOWER(TRIM($L117)) &amp; " ", _xlpm.s1, SUBSTITUTE(_xlpm.base, " saos ", " syndrome d'apnees obstructives du sommeil "), _xlpm.s2, SUBSTITUTE(_xlpm.s1, " oacr ", " occlusion de l'artere centrale de la retine "), _xlpm.s3, SUBSTITUTE(_xlpm.s2, " hsd ", " hematome sous-dural "), TRIM(_xlpm.s3))</f>
        <v>kératite du soudeur</v>
      </c>
      <c r="N117" t="str" cm="1">
        <f t="array" ref="N117">_xlfn.LET(_xlpm.base, " " &amp; LOWER(TRIM($M117))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kératite du soudeur</v>
      </c>
      <c r="O117" t="str" cm="1">
        <f t="array" ref="O117">_xlfn.LET(_xlpm.base, " " &amp; LOWER(TRIM($N117))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kératite du soudeur</v>
      </c>
    </row>
    <row r="118" spans="1:15" ht="96.75">
      <c r="A118" s="44" t="s">
        <v>1601</v>
      </c>
      <c r="B118" s="44">
        <v>2016</v>
      </c>
      <c r="C118" s="46" t="s">
        <v>1619</v>
      </c>
      <c r="D118" s="46" t="s">
        <v>1620</v>
      </c>
      <c r="E118" s="46" t="s">
        <v>1621</v>
      </c>
      <c r="F118" s="46" t="s">
        <v>1622</v>
      </c>
      <c r="G118" s="46" t="s">
        <v>110</v>
      </c>
      <c r="H118" s="46" t="s">
        <v>1623</v>
      </c>
      <c r="I118" s="46" t="s">
        <v>1624</v>
      </c>
      <c r="J118" t="str" cm="1">
        <f t="array" ref="J118">_xlfn.LET(_xlpm.yr, B118, _xlpm.title, IFERROR(_xlfn.TEXTBEFORE(C118,"["), C118), _xlpm.base, TRIM(SUBSTITUTE(SUBSTITUTE(SUBSTITUTE(SUBSTITUTE(_xlpm.title,"•"," "),CHAR(160)," "),CHAR(10)," "),"  "," ")), LOWER(_xlpm.yr&amp;"|"&amp;_xlpm.base))</f>
        <v>2016|déchirure de la rétine</v>
      </c>
      <c r="K118" t="str">
        <f>LOWER($B118 &amp; "|" &amp; $O118)</f>
        <v>2016|déchirure de la rétine</v>
      </c>
      <c r="L118" t="str" cm="1">
        <f t="array" ref="L118">_xlfn.LET(_xlpm.base, " " &amp; LOWER(TRIM(IFERROR(_xlfn.TEXTBEFORE($C118,"["), $C118))) &amp; " ", _xlpm.s1, SUBSTITUTE(_xlpm.base, " fa ", " fibrillation auriculaire "), _xlpm.s2, SUBSTITUTE(_xlpm.s1, " ep ", " embolie pulmonaire "), _xlpm.s3, SUBSTITUTE(_xlpm.s2, " rgo ", " reflux gastro-oesophagien "), TRIM(_xlpm.s3))</f>
        <v>déchirure de la rétine</v>
      </c>
      <c r="M118" t="str" cm="1">
        <f t="array" ref="M118">_xlfn.LET(_xlpm.base, " " &amp; LOWER(TRIM($L118)) &amp; " ", _xlpm.s1, SUBSTITUTE(_xlpm.base, " saos ", " syndrome d'apnees obstructives du sommeil "), _xlpm.s2, SUBSTITUTE(_xlpm.s1, " oacr ", " occlusion de l'artere centrale de la retine "), _xlpm.s3, SUBSTITUTE(_xlpm.s2, " hsd ", " hematome sous-dural "), TRIM(_xlpm.s3))</f>
        <v>déchirure de la rétine</v>
      </c>
      <c r="N118" t="str" cm="1">
        <f t="array" ref="N118">_xlfn.LET(_xlpm.base, " " &amp; LOWER(TRIM($M118))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déchirure de la rétine</v>
      </c>
      <c r="O118" t="str" cm="1">
        <f t="array" ref="O118">_xlfn.LET(_xlpm.base, " " &amp; LOWER(TRIM($N118))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déchirure de la rétine</v>
      </c>
    </row>
    <row r="119" spans="1:15" ht="41.25">
      <c r="A119" s="44" t="s">
        <v>1601</v>
      </c>
      <c r="B119" s="44">
        <v>2017</v>
      </c>
      <c r="C119" s="46" t="s">
        <v>1625</v>
      </c>
      <c r="D119" s="46" t="s">
        <v>1626</v>
      </c>
      <c r="E119" s="46" t="s">
        <v>1627</v>
      </c>
      <c r="F119" s="46" t="s">
        <v>1628</v>
      </c>
      <c r="G119" s="46"/>
      <c r="H119" s="46"/>
      <c r="I119" s="46" t="s">
        <v>1624</v>
      </c>
      <c r="J119" t="str" cm="1">
        <f t="array" ref="J119">_xlfn.LET(_xlpm.yr, B119, _xlpm.title, IFERROR(_xlfn.TEXTBEFORE(C119,"["), C119), _xlpm.base, TRIM(SUBSTITUTE(SUBSTITUTE(SUBSTITUTE(SUBSTITUTE(_xlpm.title,"•"," "),CHAR(160)," "),CHAR(10)," "),"  "," ")), LOWER(_xlpm.yr&amp;"|"&amp;_xlpm.base))</f>
        <v>2017|dmla vs récidive cataracte</v>
      </c>
      <c r="K119" t="str">
        <f>LOWER($B119 &amp; "|" &amp; $O119)</f>
        <v>2017|degenerescence maculaire liee a l age vs récidive cataracte</v>
      </c>
      <c r="L119" t="str" cm="1">
        <f t="array" ref="L119">_xlfn.LET(_xlpm.base, " " &amp; LOWER(TRIM(IFERROR(_xlfn.TEXTBEFORE($C119,"["), $C119))) &amp; " ", _xlpm.s1, SUBSTITUTE(_xlpm.base, " fa ", " fibrillation auriculaire "), _xlpm.s2, SUBSTITUTE(_xlpm.s1, " ep ", " embolie pulmonaire "), _xlpm.s3, SUBSTITUTE(_xlpm.s2, " rgo ", " reflux gastro-oesophagien "), TRIM(_xlpm.s3))</f>
        <v>dmla vs récidive cataracte</v>
      </c>
      <c r="M119" t="str" cm="1">
        <f t="array" ref="M119">_xlfn.LET(_xlpm.base, " " &amp; LOWER(TRIM($L119)) &amp; " ", _xlpm.s1, SUBSTITUTE(_xlpm.base, " saos ", " syndrome d'apnees obstructives du sommeil "), _xlpm.s2, SUBSTITUTE(_xlpm.s1, " oacr ", " occlusion de l'artere centrale de la retine "), _xlpm.s3, SUBSTITUTE(_xlpm.s2, " hsd ", " hematome sous-dural "), TRIM(_xlpm.s3))</f>
        <v>dmla vs récidive cataracte</v>
      </c>
      <c r="N119" t="str" cm="1">
        <f t="array" ref="N119">_xlfn.LET(_xlpm.base, " " &amp; LOWER(TRIM($M119))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degenerescence maculaire liee a l age vs récidive cataracte</v>
      </c>
      <c r="O119" t="str" cm="1">
        <f t="array" ref="O119">_xlfn.LET(_xlpm.base, " " &amp; LOWER(TRIM($N119))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degenerescence maculaire liee a l age vs récidive cataracte</v>
      </c>
    </row>
    <row r="120" spans="1:15" ht="96.75">
      <c r="A120" s="44" t="s">
        <v>1629</v>
      </c>
      <c r="B120" s="44">
        <v>2013</v>
      </c>
      <c r="C120" s="46" t="s">
        <v>1630</v>
      </c>
      <c r="D120" s="46" t="s">
        <v>1631</v>
      </c>
      <c r="E120" s="46" t="s">
        <v>1632</v>
      </c>
      <c r="F120" s="46" t="s">
        <v>1633</v>
      </c>
      <c r="G120" s="46" t="s">
        <v>1634</v>
      </c>
      <c r="H120" s="46" t="s">
        <v>1635</v>
      </c>
      <c r="I120" s="46" t="s">
        <v>1636</v>
      </c>
      <c r="J120" t="str" cm="1">
        <f t="array" ref="J120">_xlfn.LET(_xlpm.yr, B120, _xlpm.title, IFERROR(_xlfn.TEXTBEFORE(C120,"["), C120), _xlpm.base, TRIM(SUBSTITUTE(SUBSTITUTE(SUBSTITUTE(SUBSTITUTE(_xlpm.title,"•"," "),CHAR(160)," "),CHAR(10)," "),"  "," ")), LOWER(_xlpm.yr&amp;"|"&amp;_xlpm.base))</f>
        <v>2013|épaule douloureuse : lésion de. la coiffe</v>
      </c>
      <c r="K120" t="str">
        <f>LOWER($B120 &amp; "|" &amp; $O120)</f>
        <v>2013|épaule douloureuse : lésion de. la coiffe</v>
      </c>
      <c r="L120" t="str" cm="1">
        <f t="array" ref="L120">_xlfn.LET(_xlpm.base, " " &amp; LOWER(TRIM(IFERROR(_xlfn.TEXTBEFORE($C120,"["), $C120))) &amp; " ", _xlpm.s1, SUBSTITUTE(_xlpm.base, " fa ", " fibrillation auriculaire "), _xlpm.s2, SUBSTITUTE(_xlpm.s1, " ep ", " embolie pulmonaire "), _xlpm.s3, SUBSTITUTE(_xlpm.s2, " rgo ", " reflux gastro-oesophagien "), TRIM(_xlpm.s3))</f>
        <v>épaule douloureuse : lésion de. la coiffe</v>
      </c>
      <c r="M120" t="str" cm="1">
        <f t="array" ref="M120">_xlfn.LET(_xlpm.base, " " &amp; LOWER(TRIM($L120)) &amp; " ", _xlpm.s1, SUBSTITUTE(_xlpm.base, " saos ", " syndrome d'apnees obstructives du sommeil "), _xlpm.s2, SUBSTITUTE(_xlpm.s1, " oacr ", " occlusion de l'artere centrale de la retine "), _xlpm.s3, SUBSTITUTE(_xlpm.s2, " hsd ", " hematome sous-dural "), TRIM(_xlpm.s3))</f>
        <v>épaule douloureuse : lésion de. la coiffe</v>
      </c>
      <c r="N120" t="str" cm="1">
        <f t="array" ref="N120">_xlfn.LET(_xlpm.base, " " &amp; LOWER(TRIM($M120))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épaule douloureuse : lésion de. la coiffe</v>
      </c>
      <c r="O120" t="str" cm="1">
        <f t="array" ref="O120">_xlfn.LET(_xlpm.base, " " &amp; LOWER(TRIM($N120))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épaule douloureuse : lésion de. la coiffe</v>
      </c>
    </row>
    <row r="121" spans="1:15" ht="54.75">
      <c r="A121" s="44" t="s">
        <v>1629</v>
      </c>
      <c r="B121" s="44">
        <v>2013</v>
      </c>
      <c r="C121" s="46" t="s">
        <v>1637</v>
      </c>
      <c r="D121" s="46" t="s">
        <v>1638</v>
      </c>
      <c r="E121" s="46" t="s">
        <v>1639</v>
      </c>
      <c r="F121" s="46" t="s">
        <v>1640</v>
      </c>
      <c r="G121" s="46" t="s">
        <v>1641</v>
      </c>
      <c r="H121" s="46" t="s">
        <v>1642</v>
      </c>
      <c r="I121" s="46" t="s">
        <v>1643</v>
      </c>
      <c r="J121" t="str" cm="1">
        <f t="array" ref="J121">_xlfn.LET(_xlpm.yr, B121, _xlpm.title, IFERROR(_xlfn.TEXTBEFORE(C121,"["), C121), _xlpm.base, TRIM(SUBSTITUTE(SUBSTITUTE(SUBSTITUTE(SUBSTITUTE(_xlpm.title,"•"," "),CHAR(160)," "),CHAR(10)," "),"  "," ")), LOWER(_xlpm.yr&amp;"|"&amp;_xlpm.base))</f>
        <v>2013|douleurs dos : fractures ostéoporotiques ?</v>
      </c>
      <c r="K121" t="str">
        <f>LOWER($B121 &amp; "|" &amp; $O121)</f>
        <v>2013|douleurs dos : fractures ostéoporotiques ?</v>
      </c>
      <c r="L121" t="str" cm="1">
        <f t="array" ref="L121">_xlfn.LET(_xlpm.base, " " &amp; LOWER(TRIM(IFERROR(_xlfn.TEXTBEFORE($C121,"["), $C121))) &amp; " ", _xlpm.s1, SUBSTITUTE(_xlpm.base, " fa ", " fibrillation auriculaire "), _xlpm.s2, SUBSTITUTE(_xlpm.s1, " ep ", " embolie pulmonaire "), _xlpm.s3, SUBSTITUTE(_xlpm.s2, " rgo ", " reflux gastro-oesophagien "), TRIM(_xlpm.s3))</f>
        <v>douleurs dos : fractures ostéoporotiques ?</v>
      </c>
      <c r="M121" t="str" cm="1">
        <f t="array" ref="M121">_xlfn.LET(_xlpm.base, " " &amp; LOWER(TRIM($L121)) &amp; " ", _xlpm.s1, SUBSTITUTE(_xlpm.base, " saos ", " syndrome d'apnees obstructives du sommeil "), _xlpm.s2, SUBSTITUTE(_xlpm.s1, " oacr ", " occlusion de l'artere centrale de la retine "), _xlpm.s3, SUBSTITUTE(_xlpm.s2, " hsd ", " hematome sous-dural "), TRIM(_xlpm.s3))</f>
        <v>douleurs dos : fractures ostéoporotiques ?</v>
      </c>
      <c r="N121" t="str" cm="1">
        <f t="array" ref="N121">_xlfn.LET(_xlpm.base, " " &amp; LOWER(TRIM($M121))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douleurs dos : fractures ostéoporotiques ?</v>
      </c>
      <c r="O121" t="str" cm="1">
        <f t="array" ref="O121">_xlfn.LET(_xlpm.base, " " &amp; LOWER(TRIM($N121))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douleurs dos : fractures ostéoporotiques ?</v>
      </c>
    </row>
    <row r="122" spans="1:15" ht="124.5">
      <c r="A122" s="44" t="s">
        <v>1629</v>
      </c>
      <c r="B122" s="44">
        <v>2014</v>
      </c>
      <c r="C122" s="46" t="s">
        <v>1644</v>
      </c>
      <c r="D122" s="46" t="e">
        <v>#NAME?</v>
      </c>
      <c r="E122" s="46" t="s">
        <v>1645</v>
      </c>
      <c r="F122" s="46" t="s">
        <v>1646</v>
      </c>
      <c r="G122" s="46" t="s">
        <v>1647</v>
      </c>
      <c r="H122" s="46" t="s">
        <v>1648</v>
      </c>
      <c r="I122" s="46" t="s">
        <v>1649</v>
      </c>
      <c r="J122" t="str" cm="1">
        <f t="array" ref="J122">_xlfn.LET(_xlpm.yr, B122, _xlpm.title, IFERROR(_xlfn.TEXTBEFORE(C122,"["), C122), _xlpm.base, TRIM(SUBSTITUTE(SUBSTITUTE(SUBSTITUTE(SUBSTITUTE(_xlpm.title,"•"," "),CHAR(160)," "),CHAR(10)," "),"  "," ")), LOWER(_xlpm.yr&amp;"|"&amp;_xlpm.base))</f>
        <v>2014|fx col du fémur</v>
      </c>
      <c r="K122" t="str">
        <f>LOWER($B122 &amp; "|" &amp; $O122)</f>
        <v>2014|fx col du fémur</v>
      </c>
      <c r="L122" t="str" cm="1">
        <f t="array" ref="L122">_xlfn.LET(_xlpm.base, " " &amp; LOWER(TRIM(IFERROR(_xlfn.TEXTBEFORE($C122,"["), $C122))) &amp; " ", _xlpm.s1, SUBSTITUTE(_xlpm.base, " fa ", " fibrillation auriculaire "), _xlpm.s2, SUBSTITUTE(_xlpm.s1, " ep ", " embolie pulmonaire "), _xlpm.s3, SUBSTITUTE(_xlpm.s2, " rgo ", " reflux gastro-oesophagien "), TRIM(_xlpm.s3))</f>
        <v>fx col du fémur</v>
      </c>
      <c r="M122" t="str" cm="1">
        <f t="array" ref="M122">_xlfn.LET(_xlpm.base, " " &amp; LOWER(TRIM($L122)) &amp; " ", _xlpm.s1, SUBSTITUTE(_xlpm.base, " saos ", " syndrome d'apnees obstructives du sommeil "), _xlpm.s2, SUBSTITUTE(_xlpm.s1, " oacr ", " occlusion de l'artere centrale de la retine "), _xlpm.s3, SUBSTITUTE(_xlpm.s2, " hsd ", " hematome sous-dural "), TRIM(_xlpm.s3))</f>
        <v>fx col du fémur</v>
      </c>
      <c r="N122" t="str" cm="1">
        <f t="array" ref="N122">_xlfn.LET(_xlpm.base, " " &amp; LOWER(TRIM($M122))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fx col du fémur</v>
      </c>
      <c r="O122" t="str" cm="1">
        <f t="array" ref="O122">_xlfn.LET(_xlpm.base, " " &amp; LOWER(TRIM($N122))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fx col du fémur</v>
      </c>
    </row>
    <row r="123" spans="1:15" ht="124.5">
      <c r="A123" s="44" t="s">
        <v>1629</v>
      </c>
      <c r="B123" s="44">
        <v>2014</v>
      </c>
      <c r="C123" s="46" t="s">
        <v>957</v>
      </c>
      <c r="D123" s="46" t="s">
        <v>1650</v>
      </c>
      <c r="E123" s="46" t="s">
        <v>1651</v>
      </c>
      <c r="F123" s="46" t="s">
        <v>408</v>
      </c>
      <c r="G123" s="46" t="s">
        <v>405</v>
      </c>
      <c r="H123" s="46" t="s">
        <v>1652</v>
      </c>
      <c r="I123" s="46" t="s">
        <v>409</v>
      </c>
      <c r="J123" t="str" cm="1">
        <f t="array" ref="J123">_xlfn.LET(_xlpm.yr, B123, _xlpm.title, IFERROR(_xlfn.TEXTBEFORE(C123,"["), C123), _xlpm.base, TRIM(SUBSTITUTE(SUBSTITUTE(SUBSTITUTE(SUBSTITUTE(_xlpm.title,"•"," "),CHAR(160)," "),CHAR(10)," "),"  "," ")), LOWER(_xlpm.yr&amp;"|"&amp;_xlpm.base))</f>
        <v>2014|spondylarthrite ankylosante</v>
      </c>
      <c r="K123" t="str">
        <f>LOWER($B123 &amp; "|" &amp; $O123)</f>
        <v>2014|spondylarthrite ankylosante</v>
      </c>
      <c r="L123" t="str" cm="1">
        <f t="array" ref="L123">_xlfn.LET(_xlpm.base, " " &amp; LOWER(TRIM(IFERROR(_xlfn.TEXTBEFORE($C123,"["), $C123))) &amp; " ", _xlpm.s1, SUBSTITUTE(_xlpm.base, " fa ", " fibrillation auriculaire "), _xlpm.s2, SUBSTITUTE(_xlpm.s1, " ep ", " embolie pulmonaire "), _xlpm.s3, SUBSTITUTE(_xlpm.s2, " rgo ", " reflux gastro-oesophagien "), TRIM(_xlpm.s3))</f>
        <v>spondylarthrite ankylosante</v>
      </c>
      <c r="M123" t="str" cm="1">
        <f t="array" ref="M123">_xlfn.LET(_xlpm.base, " " &amp; LOWER(TRIM($L123)) &amp; " ", _xlpm.s1, SUBSTITUTE(_xlpm.base, " saos ", " syndrome d'apnees obstructives du sommeil "), _xlpm.s2, SUBSTITUTE(_xlpm.s1, " oacr ", " occlusion de l'artere centrale de la retine "), _xlpm.s3, SUBSTITUTE(_xlpm.s2, " hsd ", " hematome sous-dural "), TRIM(_xlpm.s3))</f>
        <v>spondylarthrite ankylosante</v>
      </c>
      <c r="N123" t="str" cm="1">
        <f t="array" ref="N123">_xlfn.LET(_xlpm.base, " " &amp; LOWER(TRIM($M123))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spondylarthrite ankylosante</v>
      </c>
      <c r="O123" t="str" cm="1">
        <f t="array" ref="O123">_xlfn.LET(_xlpm.base, " " &amp; LOWER(TRIM($N123))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spondylarthrite ankylosante</v>
      </c>
    </row>
    <row r="124" spans="1:15" ht="68.25">
      <c r="A124" s="44" t="s">
        <v>1629</v>
      </c>
      <c r="B124" s="44">
        <v>2014</v>
      </c>
      <c r="C124" s="46" t="s">
        <v>149</v>
      </c>
      <c r="D124" s="46"/>
      <c r="E124" s="46" t="s">
        <v>339</v>
      </c>
      <c r="F124" s="46" t="s">
        <v>340</v>
      </c>
      <c r="G124" s="46" t="s">
        <v>337</v>
      </c>
      <c r="H124" s="46" t="s">
        <v>1653</v>
      </c>
      <c r="I124" s="46" t="s">
        <v>341</v>
      </c>
      <c r="J124" t="str" cm="1">
        <f t="array" ref="J124">_xlfn.LET(_xlpm.yr, B124, _xlpm.title, IFERROR(_xlfn.TEXTBEFORE(C124,"["), C124), _xlpm.base, TRIM(SUBSTITUTE(SUBSTITUTE(SUBSTITUTE(SUBSTITUTE(_xlpm.title,"•"," "),CHAR(160)," "),CHAR(10)," "),"  "," ")), LOWER(_xlpm.yr&amp;"|"&amp;_xlpm.base))</f>
        <v>2014|ostéoporose</v>
      </c>
      <c r="K124" t="str">
        <f>LOWER($B124 &amp; "|" &amp; $O124)</f>
        <v>2014|ostéoporose</v>
      </c>
      <c r="L124" t="str" cm="1">
        <f t="array" ref="L124">_xlfn.LET(_xlpm.base, " " &amp; LOWER(TRIM(IFERROR(_xlfn.TEXTBEFORE($C124,"["), $C124))) &amp; " ", _xlpm.s1, SUBSTITUTE(_xlpm.base, " fa ", " fibrillation auriculaire "), _xlpm.s2, SUBSTITUTE(_xlpm.s1, " ep ", " embolie pulmonaire "), _xlpm.s3, SUBSTITUTE(_xlpm.s2, " rgo ", " reflux gastro-oesophagien "), TRIM(_xlpm.s3))</f>
        <v>ostéoporose</v>
      </c>
      <c r="M124" t="str" cm="1">
        <f t="array" ref="M124">_xlfn.LET(_xlpm.base, " " &amp; LOWER(TRIM($L124)) &amp; " ", _xlpm.s1, SUBSTITUTE(_xlpm.base, " saos ", " syndrome d'apnees obstructives du sommeil "), _xlpm.s2, SUBSTITUTE(_xlpm.s1, " oacr ", " occlusion de l'artere centrale de la retine "), _xlpm.s3, SUBSTITUTE(_xlpm.s2, " hsd ", " hematome sous-dural "), TRIM(_xlpm.s3))</f>
        <v>ostéoporose</v>
      </c>
      <c r="N124" t="str" cm="1">
        <f t="array" ref="N124">_xlfn.LET(_xlpm.base, " " &amp; LOWER(TRIM($M124))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ostéoporose</v>
      </c>
      <c r="O124" t="str" cm="1">
        <f t="array" ref="O124">_xlfn.LET(_xlpm.base, " " &amp; LOWER(TRIM($N124))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ostéoporose</v>
      </c>
    </row>
    <row r="125" spans="1:15" ht="83.25">
      <c r="A125" s="44" t="s">
        <v>1629</v>
      </c>
      <c r="B125" s="44">
        <v>2015</v>
      </c>
      <c r="C125" s="46" t="s">
        <v>1654</v>
      </c>
      <c r="D125" s="46" t="s">
        <v>1655</v>
      </c>
      <c r="E125" s="46" t="s">
        <v>1656</v>
      </c>
      <c r="F125" s="46" t="s">
        <v>1657</v>
      </c>
      <c r="G125" s="46" t="s">
        <v>1658</v>
      </c>
      <c r="H125" s="46" t="s">
        <v>1659</v>
      </c>
      <c r="I125" s="46" t="s">
        <v>1660</v>
      </c>
      <c r="J125" t="str" cm="1">
        <f t="array" ref="J125">_xlfn.LET(_xlpm.yr, B125, _xlpm.title, IFERROR(_xlfn.TEXTBEFORE(C125,"["), C125), _xlpm.base, TRIM(SUBSTITUTE(SUBSTITUTE(SUBSTITUTE(SUBSTITUTE(_xlpm.title,"•"," "),CHAR(160)," "),CHAR(10)," "),"  "," ")), LOWER(_xlpm.yr&amp;"|"&amp;_xlpm.base))</f>
        <v>2015|fx fibula</v>
      </c>
      <c r="K125" t="str">
        <f>LOWER($B125 &amp; "|" &amp; $O125)</f>
        <v>2015|fx fibula</v>
      </c>
      <c r="L125" t="str" cm="1">
        <f t="array" ref="L125">_xlfn.LET(_xlpm.base, " " &amp; LOWER(TRIM(IFERROR(_xlfn.TEXTBEFORE($C125,"["), $C125))) &amp; " ", _xlpm.s1, SUBSTITUTE(_xlpm.base, " fa ", " fibrillation auriculaire "), _xlpm.s2, SUBSTITUTE(_xlpm.s1, " ep ", " embolie pulmonaire "), _xlpm.s3, SUBSTITUTE(_xlpm.s2, " rgo ", " reflux gastro-oesophagien "), TRIM(_xlpm.s3))</f>
        <v>fx fibula</v>
      </c>
      <c r="M125" t="str" cm="1">
        <f t="array" ref="M125">_xlfn.LET(_xlpm.base, " " &amp; LOWER(TRIM($L125)) &amp; " ", _xlpm.s1, SUBSTITUTE(_xlpm.base, " saos ", " syndrome d'apnees obstructives du sommeil "), _xlpm.s2, SUBSTITUTE(_xlpm.s1, " oacr ", " occlusion de l'artere centrale de la retine "), _xlpm.s3, SUBSTITUTE(_xlpm.s2, " hsd ", " hematome sous-dural "), TRIM(_xlpm.s3))</f>
        <v>fx fibula</v>
      </c>
      <c r="N125" t="str" cm="1">
        <f t="array" ref="N125">_xlfn.LET(_xlpm.base, " " &amp; LOWER(TRIM($M125))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fx fibula</v>
      </c>
      <c r="O125" t="str" cm="1">
        <f t="array" ref="O125">_xlfn.LET(_xlpm.base, " " &amp; LOWER(TRIM($N125))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fx fibula</v>
      </c>
    </row>
    <row r="126" spans="1:15" ht="83.25">
      <c r="A126" s="44" t="s">
        <v>1629</v>
      </c>
      <c r="B126" s="44">
        <v>2016</v>
      </c>
      <c r="C126" s="46" t="s">
        <v>574</v>
      </c>
      <c r="D126" s="46" t="s">
        <v>1661</v>
      </c>
      <c r="E126" s="46" t="s">
        <v>577</v>
      </c>
      <c r="F126" s="46" t="s">
        <v>578</v>
      </c>
      <c r="G126" s="46" t="s">
        <v>575</v>
      </c>
      <c r="H126" s="46" t="s">
        <v>1662</v>
      </c>
      <c r="I126" s="46" t="s">
        <v>579</v>
      </c>
      <c r="J126" t="str" cm="1">
        <f t="array" ref="J126">_xlfn.LET(_xlpm.yr, B126, _xlpm.title, IFERROR(_xlfn.TEXTBEFORE(C126,"["), C126), _xlpm.base, TRIM(SUBSTITUTE(SUBSTITUTE(SUBSTITUTE(SUBSTITUTE(_xlpm.title,"•"," "),CHAR(160)," "),CHAR(10)," "),"  "," ")), LOWER(_xlpm.yr&amp;"|"&amp;_xlpm.base))</f>
        <v>2016|arthrite septique</v>
      </c>
      <c r="K126" t="str">
        <f>LOWER($B126 &amp; "|" &amp; $O126)</f>
        <v>2016|arthrite septique</v>
      </c>
      <c r="L126" t="str" cm="1">
        <f t="array" ref="L126">_xlfn.LET(_xlpm.base, " " &amp; LOWER(TRIM(IFERROR(_xlfn.TEXTBEFORE($C126,"["), $C126))) &amp; " ", _xlpm.s1, SUBSTITUTE(_xlpm.base, " fa ", " fibrillation auriculaire "), _xlpm.s2, SUBSTITUTE(_xlpm.s1, " ep ", " embolie pulmonaire "), _xlpm.s3, SUBSTITUTE(_xlpm.s2, " rgo ", " reflux gastro-oesophagien "), TRIM(_xlpm.s3))</f>
        <v>arthrite septique</v>
      </c>
      <c r="M126" t="str" cm="1">
        <f t="array" ref="M126">_xlfn.LET(_xlpm.base, " " &amp; LOWER(TRIM($L126)) &amp; " ", _xlpm.s1, SUBSTITUTE(_xlpm.base, " saos ", " syndrome d'apnees obstructives du sommeil "), _xlpm.s2, SUBSTITUTE(_xlpm.s1, " oacr ", " occlusion de l'artere centrale de la retine "), _xlpm.s3, SUBSTITUTE(_xlpm.s2, " hsd ", " hematome sous-dural "), TRIM(_xlpm.s3))</f>
        <v>arthrite septique</v>
      </c>
      <c r="N126" t="str" cm="1">
        <f t="array" ref="N126">_xlfn.LET(_xlpm.base, " " &amp; LOWER(TRIM($M126))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arthrite septique</v>
      </c>
      <c r="O126" t="str" cm="1">
        <f t="array" ref="O126">_xlfn.LET(_xlpm.base, " " &amp; LOWER(TRIM($N126))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arthrite septique</v>
      </c>
    </row>
    <row r="127" spans="1:15" ht="110.25">
      <c r="A127" s="44" t="s">
        <v>1629</v>
      </c>
      <c r="B127" s="44">
        <v>2016</v>
      </c>
      <c r="C127" s="46" t="s">
        <v>1663</v>
      </c>
      <c r="D127" s="46" t="s">
        <v>586</v>
      </c>
      <c r="E127" s="46" t="s">
        <v>1664</v>
      </c>
      <c r="F127" s="46" t="s">
        <v>1665</v>
      </c>
      <c r="G127" s="46" t="s">
        <v>1666</v>
      </c>
      <c r="H127" s="46" t="s">
        <v>1667</v>
      </c>
      <c r="I127" s="46" t="s">
        <v>1668</v>
      </c>
      <c r="J127" t="str" cm="1">
        <f t="array" ref="J127">_xlfn.LET(_xlpm.yr, B127, _xlpm.title, IFERROR(_xlfn.TEXTBEFORE(C127,"["), C127), _xlpm.base, TRIM(SUBSTITUTE(SUBSTITUTE(SUBSTITUTE(SUBSTITUTE(_xlpm.title,"•"," "),CHAR(160)," "),CHAR(10)," "),"  "," ")), LOWER(_xlpm.yr&amp;"|"&amp;_xlpm.base))</f>
        <v>2016|épicondylite latéral (tennis elbow)</v>
      </c>
      <c r="K127" t="str">
        <f>LOWER($B127 &amp; "|" &amp; $O127)</f>
        <v>2016|épicondylite latéral (tennis elbow)</v>
      </c>
      <c r="L127" t="str" cm="1">
        <f t="array" ref="L127">_xlfn.LET(_xlpm.base, " " &amp; LOWER(TRIM(IFERROR(_xlfn.TEXTBEFORE($C127,"["), $C127))) &amp; " ", _xlpm.s1, SUBSTITUTE(_xlpm.base, " fa ", " fibrillation auriculaire "), _xlpm.s2, SUBSTITUTE(_xlpm.s1, " ep ", " embolie pulmonaire "), _xlpm.s3, SUBSTITUTE(_xlpm.s2, " rgo ", " reflux gastro-oesophagien "), TRIM(_xlpm.s3))</f>
        <v>épicondylite latéral (tennis elbow)</v>
      </c>
      <c r="M127" t="str" cm="1">
        <f t="array" ref="M127">_xlfn.LET(_xlpm.base, " " &amp; LOWER(TRIM($L127)) &amp; " ", _xlpm.s1, SUBSTITUTE(_xlpm.base, " saos ", " syndrome d'apnees obstructives du sommeil "), _xlpm.s2, SUBSTITUTE(_xlpm.s1, " oacr ", " occlusion de l'artere centrale de la retine "), _xlpm.s3, SUBSTITUTE(_xlpm.s2, " hsd ", " hematome sous-dural "), TRIM(_xlpm.s3))</f>
        <v>épicondylite latéral (tennis elbow)</v>
      </c>
      <c r="N127" t="str" cm="1">
        <f t="array" ref="N127">_xlfn.LET(_xlpm.base, " " &amp; LOWER(TRIM($M127))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épicondylite latéral (tennis elbow)</v>
      </c>
      <c r="O127" t="str" cm="1">
        <f t="array" ref="O127">_xlfn.LET(_xlpm.base, " " &amp; LOWER(TRIM($N127))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épicondylite latéral (tennis elbow)</v>
      </c>
    </row>
    <row r="128" spans="1:15" ht="83.25">
      <c r="A128" s="44" t="s">
        <v>1629</v>
      </c>
      <c r="B128" s="44">
        <v>2016</v>
      </c>
      <c r="C128" s="46" t="s">
        <v>1669</v>
      </c>
      <c r="D128" s="46" t="s">
        <v>1670</v>
      </c>
      <c r="E128" s="46" t="s">
        <v>1671</v>
      </c>
      <c r="F128" s="46" t="s">
        <v>1672</v>
      </c>
      <c r="G128" s="46" t="s">
        <v>1673</v>
      </c>
      <c r="H128" s="46" t="s">
        <v>1674</v>
      </c>
      <c r="I128" s="46" t="s">
        <v>1675</v>
      </c>
      <c r="J128" t="str" cm="1">
        <f t="array" ref="J128">_xlfn.LET(_xlpm.yr, B128, _xlpm.title, IFERROR(_xlfn.TEXTBEFORE(C128,"["), C128), _xlpm.base, TRIM(SUBSTITUTE(SUBSTITUTE(SUBSTITUTE(SUBSTITUTE(_xlpm.title,"•"," "),CHAR(160)," "),CHAR(10)," "),"  "," ")), LOWER(_xlpm.yr&amp;"|"&amp;_xlpm.base))</f>
        <v>2016|ménisque lca</v>
      </c>
      <c r="K128" t="str">
        <f>LOWER($B128 &amp; "|" &amp; $O128)</f>
        <v>2016|ménisque lca</v>
      </c>
      <c r="L128" t="str" cm="1">
        <f t="array" ref="L128">_xlfn.LET(_xlpm.base, " " &amp; LOWER(TRIM(IFERROR(_xlfn.TEXTBEFORE($C128,"["), $C128))) &amp; " ", _xlpm.s1, SUBSTITUTE(_xlpm.base, " fa ", " fibrillation auriculaire "), _xlpm.s2, SUBSTITUTE(_xlpm.s1, " ep ", " embolie pulmonaire "), _xlpm.s3, SUBSTITUTE(_xlpm.s2, " rgo ", " reflux gastro-oesophagien "), TRIM(_xlpm.s3))</f>
        <v>ménisque lca</v>
      </c>
      <c r="M128" t="str" cm="1">
        <f t="array" ref="M128">_xlfn.LET(_xlpm.base, " " &amp; LOWER(TRIM($L128)) &amp; " ", _xlpm.s1, SUBSTITUTE(_xlpm.base, " saos ", " syndrome d'apnees obstructives du sommeil "), _xlpm.s2, SUBSTITUTE(_xlpm.s1, " oacr ", " occlusion de l'artere centrale de la retine "), _xlpm.s3, SUBSTITUTE(_xlpm.s2, " hsd ", " hematome sous-dural "), TRIM(_xlpm.s3))</f>
        <v>ménisque lca</v>
      </c>
      <c r="N128" t="str" cm="1">
        <f t="array" ref="N128">_xlfn.LET(_xlpm.base, " " &amp; LOWER(TRIM($M128))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ménisque lca</v>
      </c>
      <c r="O128" t="str" cm="1">
        <f t="array" ref="O128">_xlfn.LET(_xlpm.base, " " &amp; LOWER(TRIM($N128))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ménisque lca</v>
      </c>
    </row>
    <row r="129" spans="1:15" ht="68.25">
      <c r="A129" s="44" t="s">
        <v>1629</v>
      </c>
      <c r="B129" s="44">
        <v>2016</v>
      </c>
      <c r="C129" s="46" t="s">
        <v>593</v>
      </c>
      <c r="D129" s="46" t="s">
        <v>1676</v>
      </c>
      <c r="E129" s="46" t="s">
        <v>1677</v>
      </c>
      <c r="F129" s="46" t="s">
        <v>597</v>
      </c>
      <c r="G129" s="46" t="s">
        <v>594</v>
      </c>
      <c r="H129" s="46" t="s">
        <v>1678</v>
      </c>
      <c r="I129" s="46" t="s">
        <v>598</v>
      </c>
      <c r="J129" t="str" cm="1">
        <f t="array" ref="J129">_xlfn.LET(_xlpm.yr, B129, _xlpm.title, IFERROR(_xlfn.TEXTBEFORE(C129,"["), C129), _xlpm.base, TRIM(SUBSTITUTE(SUBSTITUTE(SUBSTITUTE(SUBSTITUTE(_xlpm.title,"•"," "),CHAR(160)," "),CHAR(10)," "),"  "," ")), LOWER(_xlpm.yr&amp;"|"&amp;_xlpm.base))</f>
        <v>2016|syndrome des loges</v>
      </c>
      <c r="K129" t="str">
        <f>LOWER($B129 &amp; "|" &amp; $O129)</f>
        <v>2016|syndrome des loges</v>
      </c>
      <c r="L129" t="str" cm="1">
        <f t="array" ref="L129">_xlfn.LET(_xlpm.base, " " &amp; LOWER(TRIM(IFERROR(_xlfn.TEXTBEFORE($C129,"["), $C129))) &amp; " ", _xlpm.s1, SUBSTITUTE(_xlpm.base, " fa ", " fibrillation auriculaire "), _xlpm.s2, SUBSTITUTE(_xlpm.s1, " ep ", " embolie pulmonaire "), _xlpm.s3, SUBSTITUTE(_xlpm.s2, " rgo ", " reflux gastro-oesophagien "), TRIM(_xlpm.s3))</f>
        <v>syndrome des loges</v>
      </c>
      <c r="M129" t="str" cm="1">
        <f t="array" ref="M129">_xlfn.LET(_xlpm.base, " " &amp; LOWER(TRIM($L129)) &amp; " ", _xlpm.s1, SUBSTITUTE(_xlpm.base, " saos ", " syndrome d'apnees obstructives du sommeil "), _xlpm.s2, SUBSTITUTE(_xlpm.s1, " oacr ", " occlusion de l'artere centrale de la retine "), _xlpm.s3, SUBSTITUTE(_xlpm.s2, " hsd ", " hematome sous-dural "), TRIM(_xlpm.s3))</f>
        <v>syndrome des loges</v>
      </c>
      <c r="N129" t="str" cm="1">
        <f t="array" ref="N129">_xlfn.LET(_xlpm.base, " " &amp; LOWER(TRIM($M129))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syndrome des loges</v>
      </c>
      <c r="O129" t="str" cm="1">
        <f t="array" ref="O129">_xlfn.LET(_xlpm.base, " " &amp; LOWER(TRIM($N129))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syndrome des loges</v>
      </c>
    </row>
    <row r="130" spans="1:15">
      <c r="A130" s="44" t="s">
        <v>1629</v>
      </c>
      <c r="B130" s="44">
        <v>2017</v>
      </c>
      <c r="C130" s="46" t="s">
        <v>1679</v>
      </c>
      <c r="D130" s="46" t="s">
        <v>1680</v>
      </c>
      <c r="E130" s="46"/>
      <c r="F130" s="46"/>
      <c r="G130" s="46"/>
      <c r="H130" s="46"/>
      <c r="I130" s="46"/>
      <c r="J130" t="str" cm="1">
        <f t="array" ref="J130">_xlfn.LET(_xlpm.yr, B130, _xlpm.title, IFERROR(_xlfn.TEXTBEFORE(C130,"["), C130), _xlpm.base, TRIM(SUBSTITUTE(SUBSTITUTE(SUBSTITUTE(SUBSTITUTE(_xlpm.title,"•"," "),CHAR(160)," "),CHAR(10)," "),"  "," ")), LOWER(_xlpm.yr&amp;"|"&amp;_xlpm.base))</f>
        <v>2017|1. coiffe des rotateurs 2. lca et ménisque</v>
      </c>
      <c r="K130" t="str">
        <f>LOWER($B130 &amp; "|" &amp; $O130)</f>
        <v>2017|1. coiffe des rotateurs • 2. lca et ménisque</v>
      </c>
      <c r="L130" t="str" cm="1">
        <f t="array" ref="L130">_xlfn.LET(_xlpm.base, " " &amp; LOWER(TRIM(IFERROR(_xlfn.TEXTBEFORE($C130,"["), $C130))) &amp; " ", _xlpm.s1, SUBSTITUTE(_xlpm.base, " fa ", " fibrillation auriculaire "), _xlpm.s2, SUBSTITUTE(_xlpm.s1, " ep ", " embolie pulmonaire "), _xlpm.s3, SUBSTITUTE(_xlpm.s2, " rgo ", " reflux gastro-oesophagien "), TRIM(_xlpm.s3))</f>
        <v>1. coiffe des rotateurs • 2. lca et ménisque</v>
      </c>
      <c r="M130" t="str" cm="1">
        <f t="array" ref="M130">_xlfn.LET(_xlpm.base, " " &amp; LOWER(TRIM($L130)) &amp; " ", _xlpm.s1, SUBSTITUTE(_xlpm.base, " saos ", " syndrome d'apnees obstructives du sommeil "), _xlpm.s2, SUBSTITUTE(_xlpm.s1, " oacr ", " occlusion de l'artere centrale de la retine "), _xlpm.s3, SUBSTITUTE(_xlpm.s2, " hsd ", " hematome sous-dural "), TRIM(_xlpm.s3))</f>
        <v>1. coiffe des rotateurs • 2. lca et ménisque</v>
      </c>
      <c r="N130" t="str" cm="1">
        <f t="array" ref="N130">_xlfn.LET(_xlpm.base, " " &amp; LOWER(TRIM($M130))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1. coiffe des rotateurs • 2. lca et ménisque</v>
      </c>
      <c r="O130" t="str" cm="1">
        <f t="array" ref="O130">_xlfn.LET(_xlpm.base, " " &amp; LOWER(TRIM($N130))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1. coiffe des rotateurs • 2. lca et ménisque</v>
      </c>
    </row>
    <row r="131" spans="1:15" ht="83.25">
      <c r="A131" s="44" t="s">
        <v>1629</v>
      </c>
      <c r="B131" s="44">
        <v>2017</v>
      </c>
      <c r="C131" s="45" t="s">
        <v>1681</v>
      </c>
      <c r="D131" s="45"/>
      <c r="E131" s="46" t="s">
        <v>1682</v>
      </c>
      <c r="F131" s="46" t="s">
        <v>1683</v>
      </c>
      <c r="G131" s="46" t="s">
        <v>1684</v>
      </c>
      <c r="H131" s="46" t="s">
        <v>1685</v>
      </c>
      <c r="I131" s="46" t="s">
        <v>1686</v>
      </c>
      <c r="J131" t="str" cm="1">
        <f t="array" ref="J131">_xlfn.LET(_xlpm.yr, B131, _xlpm.title, IFERROR(_xlfn.TEXTBEFORE(C131,"["), C131), _xlpm.base, TRIM(SUBSTITUTE(SUBSTITUTE(SUBSTITUTE(SUBSTITUTE(_xlpm.title,"•"," "),CHAR(160)," "),CHAR(10)," "),"  "," ")), LOWER(_xlpm.yr&amp;"|"&amp;_xlpm.base))</f>
        <v>2017|polymyalgia rheumatica</v>
      </c>
      <c r="K131" t="str">
        <f>LOWER($B131 &amp; "|" &amp; $O131)</f>
        <v>2017|polymyalgia rheumatica</v>
      </c>
      <c r="L131" t="str" cm="1">
        <f t="array" ref="L131">_xlfn.LET(_xlpm.base, " " &amp; LOWER(TRIM(IFERROR(_xlfn.TEXTBEFORE($C131,"["), $C131))) &amp; " ", _xlpm.s1, SUBSTITUTE(_xlpm.base, " fa ", " fibrillation auriculaire "), _xlpm.s2, SUBSTITUTE(_xlpm.s1, " ep ", " embolie pulmonaire "), _xlpm.s3, SUBSTITUTE(_xlpm.s2, " rgo ", " reflux gastro-oesophagien "), TRIM(_xlpm.s3))</f>
        <v>polymyalgia rheumatica</v>
      </c>
      <c r="M131" t="str" cm="1">
        <f t="array" ref="M131">_xlfn.LET(_xlpm.base, " " &amp; LOWER(TRIM($L131)) &amp; " ", _xlpm.s1, SUBSTITUTE(_xlpm.base, " saos ", " syndrome d'apnees obstructives du sommeil "), _xlpm.s2, SUBSTITUTE(_xlpm.s1, " oacr ", " occlusion de l'artere centrale de la retine "), _xlpm.s3, SUBSTITUTE(_xlpm.s2, " hsd ", " hematome sous-dural "), TRIM(_xlpm.s3))</f>
        <v>polymyalgia rheumatica</v>
      </c>
      <c r="N131" t="str" cm="1">
        <f t="array" ref="N131">_xlfn.LET(_xlpm.base, " " &amp; LOWER(TRIM($M131))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polymyalgia rheumatica</v>
      </c>
      <c r="O131" t="str" cm="1">
        <f t="array" ref="O131">_xlfn.LET(_xlpm.base, " " &amp; LOWER(TRIM($N131))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polymyalgia rheumatica</v>
      </c>
    </row>
    <row r="132" spans="1:15" ht="192.75">
      <c r="A132" s="44" t="s">
        <v>1687</v>
      </c>
      <c r="B132" s="44">
        <v>2013</v>
      </c>
      <c r="C132" s="46" t="s">
        <v>1688</v>
      </c>
      <c r="D132" s="46" t="s">
        <v>1689</v>
      </c>
      <c r="E132" s="46" t="s">
        <v>1690</v>
      </c>
      <c r="F132" s="46" t="s">
        <v>1691</v>
      </c>
      <c r="G132" s="46" t="s">
        <v>1692</v>
      </c>
      <c r="H132" s="46" t="s">
        <v>1693</v>
      </c>
      <c r="I132" s="46" t="s">
        <v>1694</v>
      </c>
      <c r="J132" t="str" cm="1">
        <f t="array" ref="J132">_xlfn.LET(_xlpm.yr, B132, _xlpm.title, IFERROR(_xlfn.TEXTBEFORE(C132,"["), C132), _xlpm.base, TRIM(SUBSTITUTE(SUBSTITUTE(SUBSTITUTE(SUBSTITUTE(_xlpm.title,"•"," "),CHAR(160)," "),CHAR(10)," "),"  "," ")), LOWER(_xlpm.yr&amp;"|"&amp;_xlpm.base))</f>
        <v>2013|schizophrénie</v>
      </c>
      <c r="K132" t="str">
        <f>LOWER($B132 &amp; "|" &amp; $O132)</f>
        <v>2013|schizophrénie</v>
      </c>
      <c r="L132" t="str" cm="1">
        <f t="array" ref="L132">_xlfn.LET(_xlpm.base, " " &amp; LOWER(TRIM(IFERROR(_xlfn.TEXTBEFORE($C132,"["), $C132))) &amp; " ", _xlpm.s1, SUBSTITUTE(_xlpm.base, " fa ", " fibrillation auriculaire "), _xlpm.s2, SUBSTITUTE(_xlpm.s1, " ep ", " embolie pulmonaire "), _xlpm.s3, SUBSTITUTE(_xlpm.s2, " rgo ", " reflux gastro-oesophagien "), TRIM(_xlpm.s3))</f>
        <v>schizophrénie</v>
      </c>
      <c r="M132" t="str" cm="1">
        <f t="array" ref="M132">_xlfn.LET(_xlpm.base, " " &amp; LOWER(TRIM($L132)) &amp; " ", _xlpm.s1, SUBSTITUTE(_xlpm.base, " saos ", " syndrome d'apnees obstructives du sommeil "), _xlpm.s2, SUBSTITUTE(_xlpm.s1, " oacr ", " occlusion de l'artere centrale de la retine "), _xlpm.s3, SUBSTITUTE(_xlpm.s2, " hsd ", " hematome sous-dural "), TRIM(_xlpm.s3))</f>
        <v>schizophrénie</v>
      </c>
      <c r="N132" t="str" cm="1">
        <f t="array" ref="N132">_xlfn.LET(_xlpm.base, " " &amp; LOWER(TRIM($M132))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schizophrénie</v>
      </c>
      <c r="O132" t="str" cm="1">
        <f t="array" ref="O132">_xlfn.LET(_xlpm.base, " " &amp; LOWER(TRIM($N132))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schizophrénie</v>
      </c>
    </row>
    <row r="133" spans="1:15" ht="41.25">
      <c r="A133" s="44" t="s">
        <v>1687</v>
      </c>
      <c r="B133" s="44">
        <v>2013</v>
      </c>
      <c r="C133" s="45" t="s">
        <v>1695</v>
      </c>
      <c r="D133" s="45"/>
      <c r="E133" s="45" t="s">
        <v>1696</v>
      </c>
      <c r="F133" s="45"/>
      <c r="G133" s="45"/>
      <c r="H133" s="45"/>
      <c r="I133" s="46" t="s">
        <v>1697</v>
      </c>
      <c r="J133" t="str" cm="1">
        <f t="array" ref="J133">_xlfn.LET(_xlpm.yr, B133, _xlpm.title, IFERROR(_xlfn.TEXTBEFORE(C133,"["), C133), _xlpm.base, TRIM(SUBSTITUTE(SUBSTITUTE(SUBSTITUTE(SUBSTITUTE(_xlpm.title,"•"," "),CHAR(160)," "),CHAR(10)," "),"  "," ")), LOWER(_xlpm.yr&amp;"|"&amp;_xlpm.base))</f>
        <v>2013|dépression du postpartum</v>
      </c>
      <c r="K133" t="str">
        <f>LOWER($B133 &amp; "|" &amp; $O133)</f>
        <v>2013|dépression du postpartum</v>
      </c>
      <c r="L133" t="str" cm="1">
        <f t="array" ref="L133">_xlfn.LET(_xlpm.base, " " &amp; LOWER(TRIM(IFERROR(_xlfn.TEXTBEFORE($C133,"["), $C133))) &amp; " ", _xlpm.s1, SUBSTITUTE(_xlpm.base, " fa ", " fibrillation auriculaire "), _xlpm.s2, SUBSTITUTE(_xlpm.s1, " ep ", " embolie pulmonaire "), _xlpm.s3, SUBSTITUTE(_xlpm.s2, " rgo ", " reflux gastro-oesophagien "), TRIM(_xlpm.s3))</f>
        <v>dépression du postpartum</v>
      </c>
      <c r="M133" t="str" cm="1">
        <f t="array" ref="M133">_xlfn.LET(_xlpm.base, " " &amp; LOWER(TRIM($L133)) &amp; " ", _xlpm.s1, SUBSTITUTE(_xlpm.base, " saos ", " syndrome d'apnees obstructives du sommeil "), _xlpm.s2, SUBSTITUTE(_xlpm.s1, " oacr ", " occlusion de l'artere centrale de la retine "), _xlpm.s3, SUBSTITUTE(_xlpm.s2, " hsd ", " hematome sous-dural "), TRIM(_xlpm.s3))</f>
        <v>dépression du postpartum</v>
      </c>
      <c r="N133" t="str" cm="1">
        <f t="array" ref="N133">_xlfn.LET(_xlpm.base, " " &amp; LOWER(TRIM($M133))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dépression du postpartum</v>
      </c>
      <c r="O133" t="str" cm="1">
        <f t="array" ref="O133">_xlfn.LET(_xlpm.base, " " &amp; LOWER(TRIM($N133))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dépression du postpartum</v>
      </c>
    </row>
    <row r="134" spans="1:15" ht="192.75">
      <c r="A134" s="44" t="s">
        <v>1687</v>
      </c>
      <c r="B134" s="44">
        <v>2014</v>
      </c>
      <c r="C134" s="45" t="s">
        <v>1698</v>
      </c>
      <c r="D134" s="45"/>
      <c r="E134" s="46" t="s">
        <v>1699</v>
      </c>
      <c r="F134" s="46" t="s">
        <v>1700</v>
      </c>
      <c r="G134" s="46" t="s">
        <v>1701</v>
      </c>
      <c r="H134" s="45" t="s">
        <v>1702</v>
      </c>
      <c r="I134" s="45"/>
      <c r="J134" t="str" cm="1">
        <f t="array" ref="J134">_xlfn.LET(_xlpm.yr, B134, _xlpm.title, IFERROR(_xlfn.TEXTBEFORE(C134,"["), C134), _xlpm.base, TRIM(SUBSTITUTE(SUBSTITUTE(SUBSTITUTE(SUBSTITUTE(_xlpm.title,"•"," "),CHAR(160)," "),CHAR(10)," "),"  "," ")), LOWER(_xlpm.yr&amp;"|"&amp;_xlpm.base))</f>
        <v>2014|dépression chez la personne âgée</v>
      </c>
      <c r="K134" t="str">
        <f>LOWER($B134 &amp; "|" &amp; $O134)</f>
        <v>2014|dépression chez la personne âgée</v>
      </c>
      <c r="L134" t="str" cm="1">
        <f t="array" ref="L134">_xlfn.LET(_xlpm.base, " " &amp; LOWER(TRIM(IFERROR(_xlfn.TEXTBEFORE($C134,"["), $C134))) &amp; " ", _xlpm.s1, SUBSTITUTE(_xlpm.base, " fa ", " fibrillation auriculaire "), _xlpm.s2, SUBSTITUTE(_xlpm.s1, " ep ", " embolie pulmonaire "), _xlpm.s3, SUBSTITUTE(_xlpm.s2, " rgo ", " reflux gastro-oesophagien "), TRIM(_xlpm.s3))</f>
        <v>dépression chez la personne âgée</v>
      </c>
      <c r="M134" t="str" cm="1">
        <f t="array" ref="M134">_xlfn.LET(_xlpm.base, " " &amp; LOWER(TRIM($L134)) &amp; " ", _xlpm.s1, SUBSTITUTE(_xlpm.base, " saos ", " syndrome d'apnees obstructives du sommeil "), _xlpm.s2, SUBSTITUTE(_xlpm.s1, " oacr ", " occlusion de l'artere centrale de la retine "), _xlpm.s3, SUBSTITUTE(_xlpm.s2, " hsd ", " hematome sous-dural "), TRIM(_xlpm.s3))</f>
        <v>dépression chez la personne âgée</v>
      </c>
      <c r="N134" t="str" cm="1">
        <f t="array" ref="N134">_xlfn.LET(_xlpm.base, " " &amp; LOWER(TRIM($M134))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dépression chez la personne âgée</v>
      </c>
      <c r="O134" t="str" cm="1">
        <f t="array" ref="O134">_xlfn.LET(_xlpm.base, " " &amp; LOWER(TRIM($N134))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dépression chez la personne âgée</v>
      </c>
    </row>
    <row r="135" spans="1:15">
      <c r="A135" s="44" t="s">
        <v>1687</v>
      </c>
      <c r="B135" s="44">
        <v>2014</v>
      </c>
      <c r="C135" s="46" t="s">
        <v>392</v>
      </c>
      <c r="D135" s="46" t="s">
        <v>1703</v>
      </c>
      <c r="E135" s="45" t="s">
        <v>1704</v>
      </c>
      <c r="F135" s="45"/>
      <c r="G135" s="46"/>
      <c r="H135" s="46"/>
      <c r="I135" s="46"/>
      <c r="J135" t="str" cm="1">
        <f t="array" ref="J135">_xlfn.LET(_xlpm.yr, B135, _xlpm.title, IFERROR(_xlfn.TEXTBEFORE(C135,"["), C135), _xlpm.base, TRIM(SUBSTITUTE(SUBSTITUTE(SUBSTITUTE(SUBSTITUTE(_xlpm.title,"•"," "),CHAR(160)," "),CHAR(10)," "),"  "," ")), LOWER(_xlpm.yr&amp;"|"&amp;_xlpm.base))</f>
        <v>2014|trouble du sommeil</v>
      </c>
      <c r="K135" t="str">
        <f>LOWER($B135 &amp; "|" &amp; $O135)</f>
        <v>2014|trouble du sommeil</v>
      </c>
      <c r="L135" t="str" cm="1">
        <f t="array" ref="L135">_xlfn.LET(_xlpm.base, " " &amp; LOWER(TRIM(IFERROR(_xlfn.TEXTBEFORE($C135,"["), $C135))) &amp; " ", _xlpm.s1, SUBSTITUTE(_xlpm.base, " fa ", " fibrillation auriculaire "), _xlpm.s2, SUBSTITUTE(_xlpm.s1, " ep ", " embolie pulmonaire "), _xlpm.s3, SUBSTITUTE(_xlpm.s2, " rgo ", " reflux gastro-oesophagien "), TRIM(_xlpm.s3))</f>
        <v>trouble du sommeil</v>
      </c>
      <c r="M135" t="str" cm="1">
        <f t="array" ref="M135">_xlfn.LET(_xlpm.base, " " &amp; LOWER(TRIM($L135)) &amp; " ", _xlpm.s1, SUBSTITUTE(_xlpm.base, " saos ", " syndrome d'apnees obstructives du sommeil "), _xlpm.s2, SUBSTITUTE(_xlpm.s1, " oacr ", " occlusion de l'artere centrale de la retine "), _xlpm.s3, SUBSTITUTE(_xlpm.s2, " hsd ", " hematome sous-dural "), TRIM(_xlpm.s3))</f>
        <v>trouble du sommeil</v>
      </c>
      <c r="N135" t="str" cm="1">
        <f t="array" ref="N135">_xlfn.LET(_xlpm.base, " " &amp; LOWER(TRIM($M135))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du sommeil</v>
      </c>
      <c r="O135" t="str" cm="1">
        <f t="array" ref="O135">_xlfn.LET(_xlpm.base, " " &amp; LOWER(TRIM($N135))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du sommeil</v>
      </c>
    </row>
    <row r="136" spans="1:15" ht="179.25">
      <c r="A136" s="44" t="s">
        <v>1687</v>
      </c>
      <c r="B136" s="44">
        <v>2014</v>
      </c>
      <c r="C136" s="45" t="s">
        <v>387</v>
      </c>
      <c r="D136" s="45"/>
      <c r="E136" s="46" t="s">
        <v>389</v>
      </c>
      <c r="F136" s="46" t="s">
        <v>390</v>
      </c>
      <c r="G136" s="46" t="s">
        <v>388</v>
      </c>
      <c r="H136" s="46" t="s">
        <v>1705</v>
      </c>
      <c r="I136" s="46" t="s">
        <v>391</v>
      </c>
      <c r="J136" t="str" cm="1">
        <f t="array" ref="J136">_xlfn.LET(_xlpm.yr, B136, _xlpm.title, IFERROR(_xlfn.TEXTBEFORE(C136,"["), C136), _xlpm.base, TRIM(SUBSTITUTE(SUBSTITUTE(SUBSTITUTE(SUBSTITUTE(_xlpm.title,"•"," "),CHAR(160)," "),CHAR(10)," "),"  "," ")), LOWER(_xlpm.yr&amp;"|"&amp;_xlpm.base))</f>
        <v>2014|trouble anxieux</v>
      </c>
      <c r="K136" t="str">
        <f>LOWER($B136 &amp; "|" &amp; $O136)</f>
        <v>2014|trouble anxieux</v>
      </c>
      <c r="L136" t="str" cm="1">
        <f t="array" ref="L136">_xlfn.LET(_xlpm.base, " " &amp; LOWER(TRIM(IFERROR(_xlfn.TEXTBEFORE($C136,"["), $C136))) &amp; " ", _xlpm.s1, SUBSTITUTE(_xlpm.base, " fa ", " fibrillation auriculaire "), _xlpm.s2, SUBSTITUTE(_xlpm.s1, " ep ", " embolie pulmonaire "), _xlpm.s3, SUBSTITUTE(_xlpm.s2, " rgo ", " reflux gastro-oesophagien "), TRIM(_xlpm.s3))</f>
        <v>trouble anxieux</v>
      </c>
      <c r="M136" t="str" cm="1">
        <f t="array" ref="M136">_xlfn.LET(_xlpm.base, " " &amp; LOWER(TRIM($L136)) &amp; " ", _xlpm.s1, SUBSTITUTE(_xlpm.base, " saos ", " syndrome d'apnees obstructives du sommeil "), _xlpm.s2, SUBSTITUTE(_xlpm.s1, " oacr ", " occlusion de l'artere centrale de la retine "), _xlpm.s3, SUBSTITUTE(_xlpm.s2, " hsd ", " hematome sous-dural "), TRIM(_xlpm.s3))</f>
        <v>trouble anxieux</v>
      </c>
      <c r="N136" t="str" cm="1">
        <f t="array" ref="N136">_xlfn.LET(_xlpm.base, " " &amp; LOWER(TRIM($M136))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anxieux</v>
      </c>
      <c r="O136" t="str" cm="1">
        <f t="array" ref="O136">_xlfn.LET(_xlpm.base, " " &amp; LOWER(TRIM($N136))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anxieux</v>
      </c>
    </row>
    <row r="137" spans="1:15">
      <c r="A137" s="44" t="s">
        <v>1687</v>
      </c>
      <c r="B137" s="44">
        <v>2015</v>
      </c>
      <c r="C137" s="46" t="s">
        <v>1706</v>
      </c>
      <c r="D137" s="45" t="s">
        <v>1707</v>
      </c>
      <c r="E137" s="45"/>
      <c r="F137" s="46"/>
      <c r="G137" s="46"/>
      <c r="H137" s="46"/>
      <c r="I137" s="46"/>
      <c r="J137" t="str" cm="1">
        <f t="array" ref="J137">_xlfn.LET(_xlpm.yr, B137, _xlpm.title, IFERROR(_xlfn.TEXTBEFORE(C137,"["), C137), _xlpm.base, TRIM(SUBSTITUTE(SUBSTITUTE(SUBSTITUTE(SUBSTITUTE(_xlpm.title,"•"," "),CHAR(160)," "),CHAR(10)," "),"  "," ")), LOWER(_xlpm.yr&amp;"|"&amp;_xlpm.base))</f>
        <v>2015|burn out/dépression</v>
      </c>
      <c r="K137" t="str">
        <f>LOWER($B137 &amp; "|" &amp; $O137)</f>
        <v>2015|burn out/dépression</v>
      </c>
      <c r="L137" t="str" cm="1">
        <f t="array" ref="L137">_xlfn.LET(_xlpm.base, " " &amp; LOWER(TRIM(IFERROR(_xlfn.TEXTBEFORE($C137,"["), $C137))) &amp; " ", _xlpm.s1, SUBSTITUTE(_xlpm.base, " fa ", " fibrillation auriculaire "), _xlpm.s2, SUBSTITUTE(_xlpm.s1, " ep ", " embolie pulmonaire "), _xlpm.s3, SUBSTITUTE(_xlpm.s2, " rgo ", " reflux gastro-oesophagien "), TRIM(_xlpm.s3))</f>
        <v>burn out/dépression</v>
      </c>
      <c r="M137" t="str" cm="1">
        <f t="array" ref="M137">_xlfn.LET(_xlpm.base, " " &amp; LOWER(TRIM($L137)) &amp; " ", _xlpm.s1, SUBSTITUTE(_xlpm.base, " saos ", " syndrome d'apnees obstructives du sommeil "), _xlpm.s2, SUBSTITUTE(_xlpm.s1, " oacr ", " occlusion de l'artere centrale de la retine "), _xlpm.s3, SUBSTITUTE(_xlpm.s2, " hsd ", " hematome sous-dural "), TRIM(_xlpm.s3))</f>
        <v>burn out/dépression</v>
      </c>
      <c r="N137" t="str" cm="1">
        <f t="array" ref="N137">_xlfn.LET(_xlpm.base, " " &amp; LOWER(TRIM($M137))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burn out/dépression</v>
      </c>
      <c r="O137" t="str" cm="1">
        <f t="array" ref="O137">_xlfn.LET(_xlpm.base, " " &amp; LOWER(TRIM($N137))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burn out/dépression</v>
      </c>
    </row>
    <row r="138" spans="1:15" ht="41.25">
      <c r="A138" s="44" t="s">
        <v>1687</v>
      </c>
      <c r="B138" s="44">
        <v>2015</v>
      </c>
      <c r="C138" s="46" t="s">
        <v>1708</v>
      </c>
      <c r="D138" s="46" t="s">
        <v>1709</v>
      </c>
      <c r="E138" s="45" t="s">
        <v>1710</v>
      </c>
      <c r="F138" s="45"/>
      <c r="G138" s="46" t="s">
        <v>1711</v>
      </c>
      <c r="H138" s="46" t="s">
        <v>1712</v>
      </c>
      <c r="I138" s="46" t="s">
        <v>1713</v>
      </c>
      <c r="J138" t="str" cm="1">
        <f t="array" ref="J138">_xlfn.LET(_xlpm.yr, B138, _xlpm.title, IFERROR(_xlfn.TEXTBEFORE(C138,"["), C138), _xlpm.base, TRIM(SUBSTITUTE(SUBSTITUTE(SUBSTITUTE(SUBSTITUTE(_xlpm.title,"•"," "),CHAR(160)," "),CHAR(10)," "),"  "," ")), LOWER(_xlpm.yr&amp;"|"&amp;_xlpm.base))</f>
        <v>2015|boulimie chez fille</v>
      </c>
      <c r="K138" t="str">
        <f>LOWER($B138 &amp; "|" &amp; $O138)</f>
        <v>2015|boulimie chez fille</v>
      </c>
      <c r="L138" t="str" cm="1">
        <f t="array" ref="L138">_xlfn.LET(_xlpm.base, " " &amp; LOWER(TRIM(IFERROR(_xlfn.TEXTBEFORE($C138,"["), $C138))) &amp; " ", _xlpm.s1, SUBSTITUTE(_xlpm.base, " fa ", " fibrillation auriculaire "), _xlpm.s2, SUBSTITUTE(_xlpm.s1, " ep ", " embolie pulmonaire "), _xlpm.s3, SUBSTITUTE(_xlpm.s2, " rgo ", " reflux gastro-oesophagien "), TRIM(_xlpm.s3))</f>
        <v>boulimie chez fille</v>
      </c>
      <c r="M138" t="str" cm="1">
        <f t="array" ref="M138">_xlfn.LET(_xlpm.base, " " &amp; LOWER(TRIM($L138)) &amp; " ", _xlpm.s1, SUBSTITUTE(_xlpm.base, " saos ", " syndrome d'apnees obstructives du sommeil "), _xlpm.s2, SUBSTITUTE(_xlpm.s1, " oacr ", " occlusion de l'artere centrale de la retine "), _xlpm.s3, SUBSTITUTE(_xlpm.s2, " hsd ", " hematome sous-dural "), TRIM(_xlpm.s3))</f>
        <v>boulimie chez fille</v>
      </c>
      <c r="N138" t="str" cm="1">
        <f t="array" ref="N138">_xlfn.LET(_xlpm.base, " " &amp; LOWER(TRIM($M138))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boulimie chez fille</v>
      </c>
      <c r="O138" t="str" cm="1">
        <f t="array" ref="O138">_xlfn.LET(_xlpm.base, " " &amp; LOWER(TRIM($N138))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boulimie chez fille</v>
      </c>
    </row>
    <row r="139" spans="1:15">
      <c r="A139" s="44" t="s">
        <v>1687</v>
      </c>
      <c r="B139" s="44">
        <v>2015</v>
      </c>
      <c r="C139" s="46" t="s">
        <v>1714</v>
      </c>
      <c r="D139" s="45" t="s">
        <v>1715</v>
      </c>
      <c r="E139" s="45"/>
      <c r="F139" s="45"/>
      <c r="G139" s="45"/>
      <c r="H139" s="45"/>
      <c r="I139" s="46"/>
      <c r="J139" t="str" cm="1">
        <f t="array" ref="J139">_xlfn.LET(_xlpm.yr, B139, _xlpm.title, IFERROR(_xlfn.TEXTBEFORE(C139,"["), C139), _xlpm.base, TRIM(SUBSTITUTE(SUBSTITUTE(SUBSTITUTE(SUBSTITUTE(_xlpm.title,"•"," "),CHAR(160)," "),CHAR(10)," "),"  "," ")), LOWER(_xlpm.yr&amp;"|"&amp;_xlpm.base))</f>
        <v>2015|épisode maniaque cf cas rescos 2018</v>
      </c>
      <c r="K139" t="str">
        <f>LOWER($B139 &amp; "|" &amp; $O139)</f>
        <v>2015|épisode maniaque • cf cas rescos 2018</v>
      </c>
      <c r="L139" t="str" cm="1">
        <f t="array" ref="L139">_xlfn.LET(_xlpm.base, " " &amp; LOWER(TRIM(IFERROR(_xlfn.TEXTBEFORE($C139,"["), $C139))) &amp; " ", _xlpm.s1, SUBSTITUTE(_xlpm.base, " fa ", " fibrillation auriculaire "), _xlpm.s2, SUBSTITUTE(_xlpm.s1, " ep ", " embolie pulmonaire "), _xlpm.s3, SUBSTITUTE(_xlpm.s2, " rgo ", " reflux gastro-oesophagien "), TRIM(_xlpm.s3))</f>
        <v>épisode maniaque • cf cas rescos 2018</v>
      </c>
      <c r="M139" t="str" cm="1">
        <f t="array" ref="M139">_xlfn.LET(_xlpm.base, " " &amp; LOWER(TRIM($L139)) &amp; " ", _xlpm.s1, SUBSTITUTE(_xlpm.base, " saos ", " syndrome d'apnees obstructives du sommeil "), _xlpm.s2, SUBSTITUTE(_xlpm.s1, " oacr ", " occlusion de l'artere centrale de la retine "), _xlpm.s3, SUBSTITUTE(_xlpm.s2, " hsd ", " hematome sous-dural "), TRIM(_xlpm.s3))</f>
        <v>épisode maniaque • cf cas rescos 2018</v>
      </c>
      <c r="N139" t="str" cm="1">
        <f t="array" ref="N139">_xlfn.LET(_xlpm.base, " " &amp; LOWER(TRIM($M139))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épisode maniaque • cf cas rescos 2018</v>
      </c>
      <c r="O139" t="str" cm="1">
        <f t="array" ref="O139">_xlfn.LET(_xlpm.base, " " &amp; LOWER(TRIM($N139))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épisode maniaque • cf cas rescos 2018</v>
      </c>
    </row>
    <row r="140" spans="1:15" ht="247.5">
      <c r="A140" s="44" t="s">
        <v>1687</v>
      </c>
      <c r="B140" s="44">
        <v>2016</v>
      </c>
      <c r="C140" s="46" t="s">
        <v>1716</v>
      </c>
      <c r="D140" s="46" t="s">
        <v>1717</v>
      </c>
      <c r="E140" s="46" t="s">
        <v>1718</v>
      </c>
      <c r="F140" s="46" t="s">
        <v>1546</v>
      </c>
      <c r="G140" s="46" t="s">
        <v>1719</v>
      </c>
      <c r="H140" s="46" t="s">
        <v>1720</v>
      </c>
      <c r="I140" s="46" t="s">
        <v>1721</v>
      </c>
      <c r="J140" t="str" cm="1">
        <f t="array" ref="J140">_xlfn.LET(_xlpm.yr, B140, _xlpm.title, IFERROR(_xlfn.TEXTBEFORE(C140,"["), C140), _xlpm.base, TRIM(SUBSTITUTE(SUBSTITUTE(SUBSTITUTE(SUBSTITUTE(_xlpm.title,"•"," "),CHAR(160)," "),CHAR(10)," "),"  "," ")), LOWER(_xlpm.yr&amp;"|"&amp;_xlpm.base))</f>
        <v>2016|pédopsy</v>
      </c>
      <c r="K140" t="str">
        <f>LOWER($B140 &amp; "|" &amp; $O140)</f>
        <v>2016|pédopsy</v>
      </c>
      <c r="L140" t="str" cm="1">
        <f t="array" ref="L140">_xlfn.LET(_xlpm.base, " " &amp; LOWER(TRIM(IFERROR(_xlfn.TEXTBEFORE($C140,"["), $C140))) &amp; " ", _xlpm.s1, SUBSTITUTE(_xlpm.base, " fa ", " fibrillation auriculaire "), _xlpm.s2, SUBSTITUTE(_xlpm.s1, " ep ", " embolie pulmonaire "), _xlpm.s3, SUBSTITUTE(_xlpm.s2, " rgo ", " reflux gastro-oesophagien "), TRIM(_xlpm.s3))</f>
        <v>pédopsy</v>
      </c>
      <c r="M140" t="str" cm="1">
        <f t="array" ref="M140">_xlfn.LET(_xlpm.base, " " &amp; LOWER(TRIM($L140)) &amp; " ", _xlpm.s1, SUBSTITUTE(_xlpm.base, " saos ", " syndrome d'apnees obstructives du sommeil "), _xlpm.s2, SUBSTITUTE(_xlpm.s1, " oacr ", " occlusion de l'artere centrale de la retine "), _xlpm.s3, SUBSTITUTE(_xlpm.s2, " hsd ", " hematome sous-dural "), TRIM(_xlpm.s3))</f>
        <v>pédopsy</v>
      </c>
      <c r="N140" t="str" cm="1">
        <f t="array" ref="N140">_xlfn.LET(_xlpm.base, " " &amp; LOWER(TRIM($M140))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pédopsy</v>
      </c>
      <c r="O140" t="str" cm="1">
        <f t="array" ref="O140">_xlfn.LET(_xlpm.base, " " &amp; LOWER(TRIM($N140))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pédopsy</v>
      </c>
    </row>
    <row r="141" spans="1:15" ht="165">
      <c r="A141" s="44" t="s">
        <v>1687</v>
      </c>
      <c r="B141" s="44">
        <v>2016</v>
      </c>
      <c r="C141" s="46" t="s">
        <v>1722</v>
      </c>
      <c r="D141" s="46" t="s">
        <v>1723</v>
      </c>
      <c r="E141" s="46" t="s">
        <v>1724</v>
      </c>
      <c r="F141" s="45" t="s">
        <v>1725</v>
      </c>
      <c r="G141" s="45"/>
      <c r="H141" s="45"/>
      <c r="I141" s="46"/>
      <c r="J141" t="str" cm="1">
        <f t="array" ref="J141">_xlfn.LET(_xlpm.yr, B141, _xlpm.title, IFERROR(_xlfn.TEXTBEFORE(C141,"["), C141), _xlpm.base, TRIM(SUBSTITUTE(SUBSTITUTE(SUBSTITUTE(SUBSTITUTE(_xlpm.title,"•"," "),CHAR(160)," "),CHAR(10)," "),"  "," ")), LOWER(_xlpm.yr&amp;"|"&amp;_xlpm.base))</f>
        <v>2016|demande prescription xanax</v>
      </c>
      <c r="K141" t="str">
        <f>LOWER($B141 &amp; "|" &amp; $O141)</f>
        <v>2016|demande prescription xanax</v>
      </c>
      <c r="L141" t="str" cm="1">
        <f t="array" ref="L141">_xlfn.LET(_xlpm.base, " " &amp; LOWER(TRIM(IFERROR(_xlfn.TEXTBEFORE($C141,"["), $C141))) &amp; " ", _xlpm.s1, SUBSTITUTE(_xlpm.base, " fa ", " fibrillation auriculaire "), _xlpm.s2, SUBSTITUTE(_xlpm.s1, " ep ", " embolie pulmonaire "), _xlpm.s3, SUBSTITUTE(_xlpm.s2, " rgo ", " reflux gastro-oesophagien "), TRIM(_xlpm.s3))</f>
        <v>demande prescription xanax</v>
      </c>
      <c r="M141" t="str" cm="1">
        <f t="array" ref="M141">_xlfn.LET(_xlpm.base, " " &amp; LOWER(TRIM($L141)) &amp; " ", _xlpm.s1, SUBSTITUTE(_xlpm.base, " saos ", " syndrome d'apnees obstructives du sommeil "), _xlpm.s2, SUBSTITUTE(_xlpm.s1, " oacr ", " occlusion de l'artere centrale de la retine "), _xlpm.s3, SUBSTITUTE(_xlpm.s2, " hsd ", " hematome sous-dural "), TRIM(_xlpm.s3))</f>
        <v>demande prescription xanax</v>
      </c>
      <c r="N141" t="str" cm="1">
        <f t="array" ref="N141">_xlfn.LET(_xlpm.base, " " &amp; LOWER(TRIM($M141))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demande prescription xanax</v>
      </c>
      <c r="O141" t="str" cm="1">
        <f t="array" ref="O141">_xlfn.LET(_xlpm.base, " " &amp; LOWER(TRIM($N141))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demande prescription xanax</v>
      </c>
    </row>
    <row r="142" spans="1:15" ht="262.5">
      <c r="A142" s="44" t="s">
        <v>1687</v>
      </c>
      <c r="B142" s="44">
        <v>2016</v>
      </c>
      <c r="C142" s="46" t="s">
        <v>1726</v>
      </c>
      <c r="D142" s="46" t="s">
        <v>1727</v>
      </c>
      <c r="E142" s="46" t="s">
        <v>1728</v>
      </c>
      <c r="F142" s="46" t="s">
        <v>1729</v>
      </c>
      <c r="G142" s="45" t="s">
        <v>1730</v>
      </c>
      <c r="H142" s="45"/>
      <c r="I142" s="46" t="s">
        <v>1731</v>
      </c>
      <c r="J142" t="str" cm="1">
        <f t="array" ref="J142">_xlfn.LET(_xlpm.yr, B142, _xlpm.title, IFERROR(_xlfn.TEXTBEFORE(C142,"["), C142), _xlpm.base, TRIM(SUBSTITUTE(SUBSTITUTE(SUBSTITUTE(SUBSTITUTE(_xlpm.title,"•"," "),CHAR(160)," "),CHAR(10)," "),"  "," ")), LOWER(_xlpm.yr&amp;"|"&amp;_xlpm.base))</f>
        <v>2016|psychose post- partum</v>
      </c>
      <c r="K142" t="str">
        <f>LOWER($B142 &amp; "|" &amp; $O142)</f>
        <v>2016|psychose post- partum</v>
      </c>
      <c r="L142" t="str" cm="1">
        <f t="array" ref="L142">_xlfn.LET(_xlpm.base, " " &amp; LOWER(TRIM(IFERROR(_xlfn.TEXTBEFORE($C142,"["), $C142))) &amp; " ", _xlpm.s1, SUBSTITUTE(_xlpm.base, " fa ", " fibrillation auriculaire "), _xlpm.s2, SUBSTITUTE(_xlpm.s1, " ep ", " embolie pulmonaire "), _xlpm.s3, SUBSTITUTE(_xlpm.s2, " rgo ", " reflux gastro-oesophagien "), TRIM(_xlpm.s3))</f>
        <v>psychose post- partum</v>
      </c>
      <c r="M142" t="str" cm="1">
        <f t="array" ref="M142">_xlfn.LET(_xlpm.base, " " &amp; LOWER(TRIM($L142)) &amp; " ", _xlpm.s1, SUBSTITUTE(_xlpm.base, " saos ", " syndrome d'apnees obstructives du sommeil "), _xlpm.s2, SUBSTITUTE(_xlpm.s1, " oacr ", " occlusion de l'artere centrale de la retine "), _xlpm.s3, SUBSTITUTE(_xlpm.s2, " hsd ", " hematome sous-dural "), TRIM(_xlpm.s3))</f>
        <v>psychose post- partum</v>
      </c>
      <c r="N142" t="str" cm="1">
        <f t="array" ref="N142">_xlfn.LET(_xlpm.base, " " &amp; LOWER(TRIM($M142))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psychose post- partum</v>
      </c>
      <c r="O142" t="str" cm="1">
        <f t="array" ref="O142">_xlfn.LET(_xlpm.base, " " &amp; LOWER(TRIM($N142))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psychose post- partum</v>
      </c>
    </row>
    <row r="143" spans="1:15" ht="83.25">
      <c r="A143" s="44" t="s">
        <v>1687</v>
      </c>
      <c r="B143" s="44">
        <v>2017</v>
      </c>
      <c r="C143" s="46" t="s">
        <v>1732</v>
      </c>
      <c r="D143" s="46" t="s">
        <v>1733</v>
      </c>
      <c r="E143" s="46" t="s">
        <v>1734</v>
      </c>
      <c r="F143" s="46" t="s">
        <v>1735</v>
      </c>
      <c r="G143" s="46" t="s">
        <v>1736</v>
      </c>
      <c r="H143" s="46" t="s">
        <v>1737</v>
      </c>
      <c r="I143" s="46" t="s">
        <v>1738</v>
      </c>
      <c r="J143" t="str" cm="1">
        <f t="array" ref="J143">_xlfn.LET(_xlpm.yr, B143, _xlpm.title, IFERROR(_xlfn.TEXTBEFORE(C143,"["), C143), _xlpm.base, TRIM(SUBSTITUTE(SUBSTITUTE(SUBSTITUTE(SUBSTITUTE(_xlpm.title,"•"," "),CHAR(160)," "),CHAR(10)," "),"  "," ")), LOWER(_xlpm.yr&amp;"|"&amp;_xlpm.base))</f>
        <v>2017|palpitation</v>
      </c>
      <c r="K143" t="str">
        <f>LOWER($B143 &amp; "|" &amp; $O143)</f>
        <v>2017|palpitation</v>
      </c>
      <c r="L143" t="str" cm="1">
        <f t="array" ref="L143">_xlfn.LET(_xlpm.base, " " &amp; LOWER(TRIM(IFERROR(_xlfn.TEXTBEFORE($C143,"["), $C143))) &amp; " ", _xlpm.s1, SUBSTITUTE(_xlpm.base, " fa ", " fibrillation auriculaire "), _xlpm.s2, SUBSTITUTE(_xlpm.s1, " ep ", " embolie pulmonaire "), _xlpm.s3, SUBSTITUTE(_xlpm.s2, " rgo ", " reflux gastro-oesophagien "), TRIM(_xlpm.s3))</f>
        <v>palpitation</v>
      </c>
      <c r="M143" t="str" cm="1">
        <f t="array" ref="M143">_xlfn.LET(_xlpm.base, " " &amp; LOWER(TRIM($L143)) &amp; " ", _xlpm.s1, SUBSTITUTE(_xlpm.base, " saos ", " syndrome d'apnees obstructives du sommeil "), _xlpm.s2, SUBSTITUTE(_xlpm.s1, " oacr ", " occlusion de l'artere centrale de la retine "), _xlpm.s3, SUBSTITUTE(_xlpm.s2, " hsd ", " hematome sous-dural "), TRIM(_xlpm.s3))</f>
        <v>palpitation</v>
      </c>
      <c r="N143" t="str" cm="1">
        <f t="array" ref="N143">_xlfn.LET(_xlpm.base, " " &amp; LOWER(TRIM($M143))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palpitation</v>
      </c>
      <c r="O143" t="str" cm="1">
        <f t="array" ref="O143">_xlfn.LET(_xlpm.base, " " &amp; LOWER(TRIM($N143))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palpitation</v>
      </c>
    </row>
    <row r="144" spans="1:15">
      <c r="A144" s="44" t="s">
        <v>1687</v>
      </c>
      <c r="B144" s="44">
        <v>2017</v>
      </c>
      <c r="C144" s="45" t="s">
        <v>392</v>
      </c>
      <c r="D144" s="45"/>
      <c r="E144" s="46"/>
      <c r="F144" s="46"/>
      <c r="G144" s="46"/>
      <c r="H144" s="46"/>
      <c r="I144" s="46"/>
      <c r="J144" t="str" cm="1">
        <f t="array" ref="J144">_xlfn.LET(_xlpm.yr, B144, _xlpm.title, IFERROR(_xlfn.TEXTBEFORE(C144,"["), C144), _xlpm.base, TRIM(SUBSTITUTE(SUBSTITUTE(SUBSTITUTE(SUBSTITUTE(_xlpm.title,"•"," "),CHAR(160)," "),CHAR(10)," "),"  "," ")), LOWER(_xlpm.yr&amp;"|"&amp;_xlpm.base))</f>
        <v>2017|trouble du sommeil</v>
      </c>
      <c r="K144" t="str">
        <f>LOWER($B144 &amp; "|" &amp; $O144)</f>
        <v>2017|trouble du sommeil</v>
      </c>
      <c r="L144" t="str" cm="1">
        <f t="array" ref="L144">_xlfn.LET(_xlpm.base, " " &amp; LOWER(TRIM(IFERROR(_xlfn.TEXTBEFORE($C144,"["), $C144))) &amp; " ", _xlpm.s1, SUBSTITUTE(_xlpm.base, " fa ", " fibrillation auriculaire "), _xlpm.s2, SUBSTITUTE(_xlpm.s1, " ep ", " embolie pulmonaire "), _xlpm.s3, SUBSTITUTE(_xlpm.s2, " rgo ", " reflux gastro-oesophagien "), TRIM(_xlpm.s3))</f>
        <v>trouble du sommeil</v>
      </c>
      <c r="M144" t="str" cm="1">
        <f t="array" ref="M144">_xlfn.LET(_xlpm.base, " " &amp; LOWER(TRIM($L144)) &amp; " ", _xlpm.s1, SUBSTITUTE(_xlpm.base, " saos ", " syndrome d'apnees obstructives du sommeil "), _xlpm.s2, SUBSTITUTE(_xlpm.s1, " oacr ", " occlusion de l'artere centrale de la retine "), _xlpm.s3, SUBSTITUTE(_xlpm.s2, " hsd ", " hematome sous-dural "), TRIM(_xlpm.s3))</f>
        <v>trouble du sommeil</v>
      </c>
      <c r="N144" t="str" cm="1">
        <f t="array" ref="N144">_xlfn.LET(_xlpm.base, " " &amp; LOWER(TRIM($M144))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trouble du sommeil</v>
      </c>
      <c r="O144" t="str" cm="1">
        <f t="array" ref="O144">_xlfn.LET(_xlpm.base, " " &amp; LOWER(TRIM($N144))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trouble du sommeil</v>
      </c>
    </row>
    <row r="145" spans="1:15">
      <c r="A145" s="44" t="s">
        <v>1687</v>
      </c>
      <c r="B145" s="44">
        <v>2017</v>
      </c>
      <c r="C145" s="46" t="s">
        <v>1739</v>
      </c>
      <c r="D145" s="45" t="s">
        <v>1740</v>
      </c>
      <c r="E145" s="45"/>
      <c r="F145" s="45"/>
      <c r="G145" s="45"/>
      <c r="H145" s="46"/>
      <c r="I145" s="46"/>
      <c r="J145" t="str" cm="1">
        <f t="array" ref="J145">_xlfn.LET(_xlpm.yr, B145, _xlpm.title, IFERROR(_xlfn.TEXTBEFORE(C145,"["), C145), _xlpm.base, TRIM(SUBSTITUTE(SUBSTITUTE(SUBSTITUTE(SUBSTITUTE(_xlpm.title,"•"," "),CHAR(160)," "),CHAR(10)," "),"  "," ")), LOWER(_xlpm.yr&amp;"|"&amp;_xlpm.base))</f>
        <v>2017|décompensation psychotique</v>
      </c>
      <c r="K145" t="str">
        <f>LOWER($B145 &amp; "|" &amp; $O145)</f>
        <v>2017|décompensation psychotique</v>
      </c>
      <c r="L145" t="str" cm="1">
        <f t="array" ref="L145">_xlfn.LET(_xlpm.base, " " &amp; LOWER(TRIM(IFERROR(_xlfn.TEXTBEFORE($C145,"["), $C145))) &amp; " ", _xlpm.s1, SUBSTITUTE(_xlpm.base, " fa ", " fibrillation auriculaire "), _xlpm.s2, SUBSTITUTE(_xlpm.s1, " ep ", " embolie pulmonaire "), _xlpm.s3, SUBSTITUTE(_xlpm.s2, " rgo ", " reflux gastro-oesophagien "), TRIM(_xlpm.s3))</f>
        <v>décompensation psychotique</v>
      </c>
      <c r="M145" t="str" cm="1">
        <f t="array" ref="M145">_xlfn.LET(_xlpm.base, " " &amp; LOWER(TRIM($L145)) &amp; " ", _xlpm.s1, SUBSTITUTE(_xlpm.base, " saos ", " syndrome d'apnees obstructives du sommeil "), _xlpm.s2, SUBSTITUTE(_xlpm.s1, " oacr ", " occlusion de l'artere centrale de la retine "), _xlpm.s3, SUBSTITUTE(_xlpm.s2, " hsd ", " hematome sous-dural "), TRIM(_xlpm.s3))</f>
        <v>décompensation psychotique</v>
      </c>
      <c r="N145" t="str" cm="1">
        <f t="array" ref="N145">_xlfn.LET(_xlpm.base, " " &amp; LOWER(TRIM($M145))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décompensation psychotique</v>
      </c>
      <c r="O145" t="str" cm="1">
        <f t="array" ref="O145">_xlfn.LET(_xlpm.base, " " &amp; LOWER(TRIM($N145))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décompensation psychotique</v>
      </c>
    </row>
    <row r="146" spans="1:15" ht="96.75">
      <c r="A146" s="44" t="s">
        <v>1741</v>
      </c>
      <c r="B146" s="44">
        <v>2013</v>
      </c>
      <c r="C146" s="46" t="s">
        <v>265</v>
      </c>
      <c r="D146" s="46" t="s">
        <v>1742</v>
      </c>
      <c r="E146" s="46" t="s">
        <v>1743</v>
      </c>
      <c r="F146" s="46" t="s">
        <v>269</v>
      </c>
      <c r="G146" s="46" t="s">
        <v>266</v>
      </c>
      <c r="H146" s="46" t="s">
        <v>1744</v>
      </c>
      <c r="I146" s="46" t="s">
        <v>270</v>
      </c>
      <c r="J146" t="str" cm="1">
        <f t="array" ref="J146">_xlfn.LET(_xlpm.yr, B146, _xlpm.title, IFERROR(_xlfn.TEXTBEFORE(C146,"["), C146), _xlpm.base, TRIM(SUBSTITUTE(SUBSTITUTE(SUBSTITUTE(SUBSTITUTE(_xlpm.title,"•"," "),CHAR(160)," "),CHAR(10)," "),"  "," ")), LOWER(_xlpm.yr&amp;"|"&amp;_xlpm.base))</f>
        <v>2013|ostéomyélite</v>
      </c>
      <c r="K146" t="str">
        <f>LOWER($B146 &amp; "|" &amp; $O146)</f>
        <v>2013|ostéomyélite</v>
      </c>
      <c r="L146" t="str" cm="1">
        <f t="array" ref="L146">_xlfn.LET(_xlpm.base, " " &amp; LOWER(TRIM(IFERROR(_xlfn.TEXTBEFORE($C146,"["), $C146))) &amp; " ", _xlpm.s1, SUBSTITUTE(_xlpm.base, " fa ", " fibrillation auriculaire "), _xlpm.s2, SUBSTITUTE(_xlpm.s1, " ep ", " embolie pulmonaire "), _xlpm.s3, SUBSTITUTE(_xlpm.s2, " rgo ", " reflux gastro-oesophagien "), TRIM(_xlpm.s3))</f>
        <v>ostéomyélite</v>
      </c>
      <c r="M146" t="str" cm="1">
        <f t="array" ref="M146">_xlfn.LET(_xlpm.base, " " &amp; LOWER(TRIM($L146)) &amp; " ", _xlpm.s1, SUBSTITUTE(_xlpm.base, " saos ", " syndrome d'apnees obstructives du sommeil "), _xlpm.s2, SUBSTITUTE(_xlpm.s1, " oacr ", " occlusion de l'artere centrale de la retine "), _xlpm.s3, SUBSTITUTE(_xlpm.s2, " hsd ", " hematome sous-dural "), TRIM(_xlpm.s3))</f>
        <v>ostéomyélite</v>
      </c>
      <c r="N146" t="str" cm="1">
        <f t="array" ref="N146">_xlfn.LET(_xlpm.base, " " &amp; LOWER(TRIM($M146))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ostéomyélite</v>
      </c>
      <c r="O146" t="str" cm="1">
        <f t="array" ref="O146">_xlfn.LET(_xlpm.base, " " &amp; LOWER(TRIM($N146))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ostéomyélite</v>
      </c>
    </row>
    <row r="147" spans="1:15" ht="124.5">
      <c r="A147" s="44" t="s">
        <v>1741</v>
      </c>
      <c r="B147" s="44">
        <v>2013</v>
      </c>
      <c r="C147" s="46" t="s">
        <v>1745</v>
      </c>
      <c r="D147" s="46" t="s">
        <v>1746</v>
      </c>
      <c r="E147" s="46" t="s">
        <v>1747</v>
      </c>
      <c r="F147" s="45" t="s">
        <v>1748</v>
      </c>
      <c r="G147" s="45"/>
      <c r="H147" s="46" t="s">
        <v>1749</v>
      </c>
      <c r="I147" s="46" t="s">
        <v>1750</v>
      </c>
      <c r="J147" t="str" cm="1">
        <f t="array" ref="J147">_xlfn.LET(_xlpm.yr, B147, _xlpm.title, IFERROR(_xlfn.TEXTBEFORE(C147,"["), C147), _xlpm.base, TRIM(SUBSTITUTE(SUBSTITUTE(SUBSTITUTE(SUBSTITUTE(_xlpm.title,"•"," "),CHAR(160)," "),CHAR(10)," "),"  "," ")), LOWER(_xlpm.yr&amp;"|"&amp;_xlpm.base))</f>
        <v>2013|bronchiolite à rsv</v>
      </c>
      <c r="K147" t="str">
        <f>LOWER($B147 &amp; "|" &amp; $O147)</f>
        <v>2013|bronchiolite à rsv</v>
      </c>
      <c r="L147" t="str" cm="1">
        <f t="array" ref="L147">_xlfn.LET(_xlpm.base, " " &amp; LOWER(TRIM(IFERROR(_xlfn.TEXTBEFORE($C147,"["), $C147))) &amp; " ", _xlpm.s1, SUBSTITUTE(_xlpm.base, " fa ", " fibrillation auriculaire "), _xlpm.s2, SUBSTITUTE(_xlpm.s1, " ep ", " embolie pulmonaire "), _xlpm.s3, SUBSTITUTE(_xlpm.s2, " rgo ", " reflux gastro-oesophagien "), TRIM(_xlpm.s3))</f>
        <v>bronchiolite à rsv</v>
      </c>
      <c r="M147" t="str" cm="1">
        <f t="array" ref="M147">_xlfn.LET(_xlpm.base, " " &amp; LOWER(TRIM($L147)) &amp; " ", _xlpm.s1, SUBSTITUTE(_xlpm.base, " saos ", " syndrome d'apnees obstructives du sommeil "), _xlpm.s2, SUBSTITUTE(_xlpm.s1, " oacr ", " occlusion de l'artere centrale de la retine "), _xlpm.s3, SUBSTITUTE(_xlpm.s2, " hsd ", " hematome sous-dural "), TRIM(_xlpm.s3))</f>
        <v>bronchiolite à rsv</v>
      </c>
      <c r="N147" t="str" cm="1">
        <f t="array" ref="N147">_xlfn.LET(_xlpm.base, " " &amp; LOWER(TRIM($M147))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bronchiolite à rsv</v>
      </c>
      <c r="O147" t="str" cm="1">
        <f t="array" ref="O147">_xlfn.LET(_xlpm.base, " " &amp; LOWER(TRIM($N147))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bronchiolite à rsv</v>
      </c>
    </row>
    <row r="148" spans="1:15" ht="54.75">
      <c r="A148" s="44" t="s">
        <v>1741</v>
      </c>
      <c r="B148" s="44">
        <v>2013</v>
      </c>
      <c r="C148" s="46" t="s">
        <v>1751</v>
      </c>
      <c r="D148" s="46" t="s">
        <v>1752</v>
      </c>
      <c r="E148" s="46" t="s">
        <v>1753</v>
      </c>
      <c r="F148" s="46" t="s">
        <v>1754</v>
      </c>
      <c r="G148" s="46" t="s">
        <v>354</v>
      </c>
      <c r="H148" s="45" t="s">
        <v>1755</v>
      </c>
      <c r="I148" s="45"/>
      <c r="J148" t="str" cm="1">
        <f t="array" ref="J148">_xlfn.LET(_xlpm.yr, B148, _xlpm.title, IFERROR(_xlfn.TEXTBEFORE(C148,"["), C148), _xlpm.base, TRIM(SUBSTITUTE(SUBSTITUTE(SUBSTITUTE(SUBSTITUTE(_xlpm.title,"•"," "),CHAR(160)," "),CHAR(10)," "),"  "," ")), LOWER(_xlpm.yr&amp;"|"&amp;_xlpm.base))</f>
        <v>2013|convulsion fébrile sur oma</v>
      </c>
      <c r="K148" t="str">
        <f>LOWER($B148 &amp; "|" &amp; $O148)</f>
        <v>2013|convulsion fébrile sur oma</v>
      </c>
      <c r="L148" t="str" cm="1">
        <f t="array" ref="L148">_xlfn.LET(_xlpm.base, " " &amp; LOWER(TRIM(IFERROR(_xlfn.TEXTBEFORE($C148,"["), $C148))) &amp; " ", _xlpm.s1, SUBSTITUTE(_xlpm.base, " fa ", " fibrillation auriculaire "), _xlpm.s2, SUBSTITUTE(_xlpm.s1, " ep ", " embolie pulmonaire "), _xlpm.s3, SUBSTITUTE(_xlpm.s2, " rgo ", " reflux gastro-oesophagien "), TRIM(_xlpm.s3))</f>
        <v>convulsion fébrile sur oma</v>
      </c>
      <c r="M148" t="str" cm="1">
        <f t="array" ref="M148">_xlfn.LET(_xlpm.base, " " &amp; LOWER(TRIM($L148)) &amp; " ", _xlpm.s1, SUBSTITUTE(_xlpm.base, " saos ", " syndrome d'apnees obstructives du sommeil "), _xlpm.s2, SUBSTITUTE(_xlpm.s1, " oacr ", " occlusion de l'artere centrale de la retine "), _xlpm.s3, SUBSTITUTE(_xlpm.s2, " hsd ", " hematome sous-dural "), TRIM(_xlpm.s3))</f>
        <v>convulsion fébrile sur oma</v>
      </c>
      <c r="N148" t="str" cm="1">
        <f t="array" ref="N148">_xlfn.LET(_xlpm.base, " " &amp; LOWER(TRIM($M148))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convulsion fébrile sur oma</v>
      </c>
      <c r="O148" t="str" cm="1">
        <f t="array" ref="O148">_xlfn.LET(_xlpm.base, " " &amp; LOWER(TRIM($N148))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convulsion fébrile sur oma</v>
      </c>
    </row>
    <row r="149" spans="1:15" ht="234">
      <c r="A149" s="44" t="s">
        <v>1741</v>
      </c>
      <c r="B149" s="44">
        <v>2014</v>
      </c>
      <c r="C149" s="46" t="s">
        <v>1756</v>
      </c>
      <c r="D149" s="46" t="s">
        <v>370</v>
      </c>
      <c r="E149" s="46" t="s">
        <v>1757</v>
      </c>
      <c r="F149" s="46" t="s">
        <v>1758</v>
      </c>
      <c r="G149" s="46" t="s">
        <v>1759</v>
      </c>
      <c r="H149" s="46" t="s">
        <v>1760</v>
      </c>
      <c r="I149" s="46" t="s">
        <v>1761</v>
      </c>
      <c r="J149" t="str" cm="1">
        <f t="array" ref="J149">_xlfn.LET(_xlpm.yr, B149, _xlpm.title, IFERROR(_xlfn.TEXTBEFORE(C149,"["), C149), _xlpm.base, TRIM(SUBSTITUTE(SUBSTITUTE(SUBSTITUTE(SUBSTITUTE(_xlpm.title,"•"," "),CHAR(160)," "),CHAR(10)," "),"  "," ")), LOWER(_xlpm.yr&amp;"|"&amp;_xlpm.base))</f>
        <v>2014|ictère du nné cas 37 amboss cas 18 usmle</v>
      </c>
      <c r="K149" t="str">
        <f>LOWER($B149 &amp; "|" &amp; $O149)</f>
        <v>2014|ictère du nné • cas 37 amboss • cas 18 usmle</v>
      </c>
      <c r="L149" t="str" cm="1">
        <f t="array" ref="L149">_xlfn.LET(_xlpm.base, " " &amp; LOWER(TRIM(IFERROR(_xlfn.TEXTBEFORE($C149,"["), $C149))) &amp; " ", _xlpm.s1, SUBSTITUTE(_xlpm.base, " fa ", " fibrillation auriculaire "), _xlpm.s2, SUBSTITUTE(_xlpm.s1, " ep ", " embolie pulmonaire "), _xlpm.s3, SUBSTITUTE(_xlpm.s2, " rgo ", " reflux gastro-oesophagien "), TRIM(_xlpm.s3))</f>
        <v>ictère du nné • cas 37 amboss • cas 18 usmle</v>
      </c>
      <c r="M149" t="str" cm="1">
        <f t="array" ref="M149">_xlfn.LET(_xlpm.base, " " &amp; LOWER(TRIM($L149)) &amp; " ", _xlpm.s1, SUBSTITUTE(_xlpm.base, " saos ", " syndrome d'apnees obstructives du sommeil "), _xlpm.s2, SUBSTITUTE(_xlpm.s1, " oacr ", " occlusion de l'artere centrale de la retine "), _xlpm.s3, SUBSTITUTE(_xlpm.s2, " hsd ", " hematome sous-dural "), TRIM(_xlpm.s3))</f>
        <v>ictère du nné • cas 37 amboss • cas 18 usmle</v>
      </c>
      <c r="N149" t="str" cm="1">
        <f t="array" ref="N149">_xlfn.LET(_xlpm.base, " " &amp; LOWER(TRIM($M149))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ictère du nné • cas 37 amboss • cas 18 usmle</v>
      </c>
      <c r="O149" t="str" cm="1">
        <f t="array" ref="O149">_xlfn.LET(_xlpm.base, " " &amp; LOWER(TRIM($N149))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ictère du nné • cas 37 amboss • cas 18 usmle</v>
      </c>
    </row>
    <row r="150" spans="1:15" ht="41.25">
      <c r="A150" s="44" t="s">
        <v>1741</v>
      </c>
      <c r="B150" s="44">
        <v>2014</v>
      </c>
      <c r="C150" s="46" t="s">
        <v>1762</v>
      </c>
      <c r="D150" s="46" t="s">
        <v>370</v>
      </c>
      <c r="E150" s="45" t="s">
        <v>1763</v>
      </c>
      <c r="F150" s="45"/>
      <c r="G150" s="46" t="s">
        <v>1764</v>
      </c>
      <c r="H150" s="46" t="s">
        <v>1765</v>
      </c>
      <c r="I150" s="46" t="s">
        <v>1766</v>
      </c>
      <c r="J150" t="str" cm="1">
        <f t="array" ref="J150">_xlfn.LET(_xlpm.yr, B150, _xlpm.title, IFERROR(_xlfn.TEXTBEFORE(C150,"["), C150), _xlpm.base, TRIM(SUBSTITUTE(SUBSTITUTE(SUBSTITUTE(SUBSTITUTE(_xlpm.title,"•"," "),CHAR(160)," "),CHAR(10)," "),"  "," ")), LOWER(_xlpm.yr&amp;"|"&amp;_xlpm.base))</f>
        <v>2014|fièvre chez enfant de 5 ans</v>
      </c>
      <c r="K150" t="str">
        <f>LOWER($B150 &amp; "|" &amp; $O150)</f>
        <v>2014|fièvre chez enfant de 5 ans</v>
      </c>
      <c r="L150" t="str" cm="1">
        <f t="array" ref="L150">_xlfn.LET(_xlpm.base, " " &amp; LOWER(TRIM(IFERROR(_xlfn.TEXTBEFORE($C150,"["), $C150))) &amp; " ", _xlpm.s1, SUBSTITUTE(_xlpm.base, " fa ", " fibrillation auriculaire "), _xlpm.s2, SUBSTITUTE(_xlpm.s1, " ep ", " embolie pulmonaire "), _xlpm.s3, SUBSTITUTE(_xlpm.s2, " rgo ", " reflux gastro-oesophagien "), TRIM(_xlpm.s3))</f>
        <v>fièvre chez enfant de 5 ans</v>
      </c>
      <c r="M150" t="str" cm="1">
        <f t="array" ref="M150">_xlfn.LET(_xlpm.base, " " &amp; LOWER(TRIM($L150)) &amp; " ", _xlpm.s1, SUBSTITUTE(_xlpm.base, " saos ", " syndrome d'apnees obstructives du sommeil "), _xlpm.s2, SUBSTITUTE(_xlpm.s1, " oacr ", " occlusion de l'artere centrale de la retine "), _xlpm.s3, SUBSTITUTE(_xlpm.s2, " hsd ", " hematome sous-dural "), TRIM(_xlpm.s3))</f>
        <v>fièvre chez enfant de 5 ans</v>
      </c>
      <c r="N150" t="str" cm="1">
        <f t="array" ref="N150">_xlfn.LET(_xlpm.base, " " &amp; LOWER(TRIM($M150))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fièvre chez enfant de 5 ans</v>
      </c>
      <c r="O150" t="str" cm="1">
        <f t="array" ref="O150">_xlfn.LET(_xlpm.base, " " &amp; LOWER(TRIM($N150))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fièvre chez enfant de 5 ans</v>
      </c>
    </row>
    <row r="151" spans="1:15" ht="179.25">
      <c r="A151" s="44" t="s">
        <v>1741</v>
      </c>
      <c r="B151" s="44">
        <v>2015</v>
      </c>
      <c r="C151" s="46" t="s">
        <v>1767</v>
      </c>
      <c r="D151" s="46" t="s">
        <v>1768</v>
      </c>
      <c r="E151" s="46" t="s">
        <v>1769</v>
      </c>
      <c r="F151" s="48" t="s">
        <v>165</v>
      </c>
      <c r="G151" s="46" t="s">
        <v>1770</v>
      </c>
      <c r="H151" s="46" t="s">
        <v>1771</v>
      </c>
      <c r="I151" s="46" t="s">
        <v>1772</v>
      </c>
      <c r="J151" t="str" cm="1">
        <f t="array" ref="J151">_xlfn.LET(_xlpm.yr, B151, _xlpm.title, IFERROR(_xlfn.TEXTBEFORE(C151,"["), C151), _xlpm.base, TRIM(SUBSTITUTE(SUBSTITUTE(SUBSTITUTE(SUBSTITUTE(_xlpm.title,"•"," "),CHAR(160)," "),CHAR(10)," "),"  "," ")), LOWER(_xlpm.yr&amp;"|"&amp;_xlpm.base))</f>
        <v>2015|faux croup</v>
      </c>
      <c r="K151" t="str">
        <f>LOWER($B151 &amp; "|" &amp; $O151)</f>
        <v>2015|faux croup</v>
      </c>
      <c r="L151" t="str" cm="1">
        <f t="array" ref="L151">_xlfn.LET(_xlpm.base, " " &amp; LOWER(TRIM(IFERROR(_xlfn.TEXTBEFORE($C151,"["), $C151))) &amp; " ", _xlpm.s1, SUBSTITUTE(_xlpm.base, " fa ", " fibrillation auriculaire "), _xlpm.s2, SUBSTITUTE(_xlpm.s1, " ep ", " embolie pulmonaire "), _xlpm.s3, SUBSTITUTE(_xlpm.s2, " rgo ", " reflux gastro-oesophagien "), TRIM(_xlpm.s3))</f>
        <v>faux croup</v>
      </c>
      <c r="M151" t="str" cm="1">
        <f t="array" ref="M151">_xlfn.LET(_xlpm.base, " " &amp; LOWER(TRIM($L151)) &amp; " ", _xlpm.s1, SUBSTITUTE(_xlpm.base, " saos ", " syndrome d'apnees obstructives du sommeil "), _xlpm.s2, SUBSTITUTE(_xlpm.s1, " oacr ", " occlusion de l'artere centrale de la retine "), _xlpm.s3, SUBSTITUTE(_xlpm.s2, " hsd ", " hematome sous-dural "), TRIM(_xlpm.s3))</f>
        <v>faux croup</v>
      </c>
      <c r="N151" t="str" cm="1">
        <f t="array" ref="N151">_xlfn.LET(_xlpm.base, " " &amp; LOWER(TRIM($M151))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faux croup</v>
      </c>
      <c r="O151" t="str" cm="1">
        <f t="array" ref="O151">_xlfn.LET(_xlpm.base, " " &amp; LOWER(TRIM($N151))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faux croup</v>
      </c>
    </row>
    <row r="152" spans="1:15" ht="206.25">
      <c r="A152" s="44" t="s">
        <v>1741</v>
      </c>
      <c r="B152" s="44">
        <v>2015</v>
      </c>
      <c r="C152" s="46" t="s">
        <v>1773</v>
      </c>
      <c r="D152" s="46" t="s">
        <v>1774</v>
      </c>
      <c r="E152" s="46" t="s">
        <v>1775</v>
      </c>
      <c r="F152" s="46" t="s">
        <v>1776</v>
      </c>
      <c r="G152" s="46" t="s">
        <v>1777</v>
      </c>
      <c r="H152" s="46" t="s">
        <v>1778</v>
      </c>
      <c r="I152" s="46" t="s">
        <v>1779</v>
      </c>
      <c r="J152" t="str" cm="1">
        <f t="array" ref="J152">_xlfn.LET(_xlpm.yr, B152, _xlpm.title, IFERROR(_xlfn.TEXTBEFORE(C152,"["), C152), _xlpm.base, TRIM(SUBSTITUTE(SUBSTITUTE(SUBSTITUTE(SUBSTITUTE(_xlpm.title,"•"," "),CHAR(160)," "),CHAR(10)," "),"  "," ")), LOWER(_xlpm.yr&amp;"|"&amp;_xlpm.base))</f>
        <v>2015|absence</v>
      </c>
      <c r="K152" t="str">
        <f>LOWER($B152 &amp; "|" &amp; $O152)</f>
        <v>2015|absence</v>
      </c>
      <c r="L152" t="str" cm="1">
        <f t="array" ref="L152">_xlfn.LET(_xlpm.base, " " &amp; LOWER(TRIM(IFERROR(_xlfn.TEXTBEFORE($C152,"["), $C152))) &amp; " ", _xlpm.s1, SUBSTITUTE(_xlpm.base, " fa ", " fibrillation auriculaire "), _xlpm.s2, SUBSTITUTE(_xlpm.s1, " ep ", " embolie pulmonaire "), _xlpm.s3, SUBSTITUTE(_xlpm.s2, " rgo ", " reflux gastro-oesophagien "), TRIM(_xlpm.s3))</f>
        <v>absence</v>
      </c>
      <c r="M152" t="str" cm="1">
        <f t="array" ref="M152">_xlfn.LET(_xlpm.base, " " &amp; LOWER(TRIM($L152)) &amp; " ", _xlpm.s1, SUBSTITUTE(_xlpm.base, " saos ", " syndrome d'apnees obstructives du sommeil "), _xlpm.s2, SUBSTITUTE(_xlpm.s1, " oacr ", " occlusion de l'artere centrale de la retine "), _xlpm.s3, SUBSTITUTE(_xlpm.s2, " hsd ", " hematome sous-dural "), TRIM(_xlpm.s3))</f>
        <v>absence</v>
      </c>
      <c r="N152" t="str" cm="1">
        <f t="array" ref="N152">_xlfn.LET(_xlpm.base, " " &amp; LOWER(TRIM($M152))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absence</v>
      </c>
      <c r="O152" t="str" cm="1">
        <f t="array" ref="O152">_xlfn.LET(_xlpm.base, " " &amp; LOWER(TRIM($N152))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absence</v>
      </c>
    </row>
    <row r="153" spans="1:15">
      <c r="A153" s="44" t="s">
        <v>1741</v>
      </c>
      <c r="B153" s="44">
        <v>2015</v>
      </c>
      <c r="C153" s="46" t="s">
        <v>1780</v>
      </c>
      <c r="D153" s="45" t="s">
        <v>1781</v>
      </c>
      <c r="E153" s="45"/>
      <c r="F153" s="45"/>
      <c r="G153" s="45"/>
      <c r="H153" s="45"/>
      <c r="I153" s="45"/>
      <c r="J153" t="str" cm="1">
        <f t="array" ref="J153">_xlfn.LET(_xlpm.yr, B153, _xlpm.title, IFERROR(_xlfn.TEXTBEFORE(C153,"["), C153), _xlpm.base, TRIM(SUBSTITUTE(SUBSTITUTE(SUBSTITUTE(SUBSTITUTE(_xlpm.title,"•"," "),CHAR(160)," "),CHAR(10)," "),"  "," ")), LOWER(_xlpm.yr&amp;"|"&amp;_xlpm.base))</f>
        <v>2015|cataplexie du nné = mort du nourrisson ?</v>
      </c>
      <c r="K153" t="str">
        <f>LOWER($B153 &amp; "|" &amp; $O153)</f>
        <v>2015|cataplexie du nné = mort du nourrisson ?</v>
      </c>
      <c r="L153" t="str" cm="1">
        <f t="array" ref="L153">_xlfn.LET(_xlpm.base, " " &amp; LOWER(TRIM(IFERROR(_xlfn.TEXTBEFORE($C153,"["), $C153))) &amp; " ", _xlpm.s1, SUBSTITUTE(_xlpm.base, " fa ", " fibrillation auriculaire "), _xlpm.s2, SUBSTITUTE(_xlpm.s1, " ep ", " embolie pulmonaire "), _xlpm.s3, SUBSTITUTE(_xlpm.s2, " rgo ", " reflux gastro-oesophagien "), TRIM(_xlpm.s3))</f>
        <v>cataplexie du nné = mort du nourrisson ?</v>
      </c>
      <c r="M153" t="str" cm="1">
        <f t="array" ref="M153">_xlfn.LET(_xlpm.base, " " &amp; LOWER(TRIM($L153)) &amp; " ", _xlpm.s1, SUBSTITUTE(_xlpm.base, " saos ", " syndrome d'apnees obstructives du sommeil "), _xlpm.s2, SUBSTITUTE(_xlpm.s1, " oacr ", " occlusion de l'artere centrale de la retine "), _xlpm.s3, SUBSTITUTE(_xlpm.s2, " hsd ", " hematome sous-dural "), TRIM(_xlpm.s3))</f>
        <v>cataplexie du nné = mort du nourrisson ?</v>
      </c>
      <c r="N153" t="str" cm="1">
        <f t="array" ref="N153">_xlfn.LET(_xlpm.base, " " &amp; LOWER(TRIM($M153))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cataplexie du nné = mort du nourrisson ?</v>
      </c>
      <c r="O153" t="str" cm="1">
        <f t="array" ref="O153">_xlfn.LET(_xlpm.base, " " &amp; LOWER(TRIM($N153))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cataplexie du nné = mort du nourrisson ?</v>
      </c>
    </row>
    <row r="154" spans="1:15" ht="96.75">
      <c r="A154" s="44" t="s">
        <v>1741</v>
      </c>
      <c r="B154" s="44">
        <v>2016</v>
      </c>
      <c r="C154" s="46" t="s">
        <v>1782</v>
      </c>
      <c r="D154" s="46" t="s">
        <v>1783</v>
      </c>
      <c r="E154" s="46" t="s">
        <v>1784</v>
      </c>
      <c r="F154" s="46" t="s">
        <v>1785</v>
      </c>
      <c r="G154" s="46" t="s">
        <v>1786</v>
      </c>
      <c r="H154" s="46" t="s">
        <v>1787</v>
      </c>
      <c r="I154" s="46" t="s">
        <v>1788</v>
      </c>
      <c r="J154" t="str" cm="1">
        <f t="array" ref="J154">_xlfn.LET(_xlpm.yr, B154, _xlpm.title, IFERROR(_xlfn.TEXTBEFORE(C154,"["), C154), _xlpm.base, TRIM(SUBSTITUTE(SUBSTITUTE(SUBSTITUTE(SUBSTITUTE(_xlpm.title,"•"," "),CHAR(160)," "),CHAR(10)," "),"  "," ")), LOWER(_xlpm.yr&amp;"|"&amp;_xlpm.base))</f>
        <v>2016|méningite/méningo- encéphalite</v>
      </c>
      <c r="K154" t="str">
        <f>LOWER($B154 &amp; "|" &amp; $O154)</f>
        <v>2016|méningite/méningo- encéphalite</v>
      </c>
      <c r="L154" t="str" cm="1">
        <f t="array" ref="L154">_xlfn.LET(_xlpm.base, " " &amp; LOWER(TRIM(IFERROR(_xlfn.TEXTBEFORE($C154,"["), $C154))) &amp; " ", _xlpm.s1, SUBSTITUTE(_xlpm.base, " fa ", " fibrillation auriculaire "), _xlpm.s2, SUBSTITUTE(_xlpm.s1, " ep ", " embolie pulmonaire "), _xlpm.s3, SUBSTITUTE(_xlpm.s2, " rgo ", " reflux gastro-oesophagien "), TRIM(_xlpm.s3))</f>
        <v>méningite/méningo- encéphalite</v>
      </c>
      <c r="M154" t="str" cm="1">
        <f t="array" ref="M154">_xlfn.LET(_xlpm.base, " " &amp; LOWER(TRIM($L154)) &amp; " ", _xlpm.s1, SUBSTITUTE(_xlpm.base, " saos ", " syndrome d'apnees obstructives du sommeil "), _xlpm.s2, SUBSTITUTE(_xlpm.s1, " oacr ", " occlusion de l'artere centrale de la retine "), _xlpm.s3, SUBSTITUTE(_xlpm.s2, " hsd ", " hematome sous-dural "), TRIM(_xlpm.s3))</f>
        <v>méningite/méningo- encéphalite</v>
      </c>
      <c r="N154" t="str" cm="1">
        <f t="array" ref="N154">_xlfn.LET(_xlpm.base, " " &amp; LOWER(TRIM($M154))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méningite/méningo- encéphalite</v>
      </c>
      <c r="O154" t="str" cm="1">
        <f t="array" ref="O154">_xlfn.LET(_xlpm.base, " " &amp; LOWER(TRIM($N154))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méningite/méningo- encéphalite</v>
      </c>
    </row>
    <row r="155" spans="1:15" ht="124.5">
      <c r="A155" s="44" t="s">
        <v>1741</v>
      </c>
      <c r="B155" s="44">
        <v>2016</v>
      </c>
      <c r="C155" s="46" t="s">
        <v>1789</v>
      </c>
      <c r="D155" s="46" t="s">
        <v>1790</v>
      </c>
      <c r="E155" s="46" t="s">
        <v>1791</v>
      </c>
      <c r="F155" s="46" t="s">
        <v>1792</v>
      </c>
      <c r="G155" s="46" t="s">
        <v>1793</v>
      </c>
      <c r="H155" s="46" t="s">
        <v>1794</v>
      </c>
      <c r="I155" s="46" t="s">
        <v>1795</v>
      </c>
      <c r="J155" t="str" cm="1">
        <f t="array" ref="J155">_xlfn.LET(_xlpm.yr, B155, _xlpm.title, IFERROR(_xlfn.TEXTBEFORE(C155,"["), C155), _xlpm.base, TRIM(SUBSTITUTE(SUBSTITUTE(SUBSTITUTE(SUBSTITUTE(_xlpm.title,"•"," "),CHAR(160)," "),CHAR(10)," "),"  "," ")), LOWER(_xlpm.yr&amp;"|"&amp;_xlpm.base))</f>
        <v>2016|acidocétose sur diabète inaugurale</v>
      </c>
      <c r="K155" t="str">
        <f>LOWER($B155 &amp; "|" &amp; $O155)</f>
        <v>2016|acidocétose sur diabète inaugurale</v>
      </c>
      <c r="L155" t="str" cm="1">
        <f t="array" ref="L155">_xlfn.LET(_xlpm.base, " " &amp; LOWER(TRIM(IFERROR(_xlfn.TEXTBEFORE($C155,"["), $C155))) &amp; " ", _xlpm.s1, SUBSTITUTE(_xlpm.base, " fa ", " fibrillation auriculaire "), _xlpm.s2, SUBSTITUTE(_xlpm.s1, " ep ", " embolie pulmonaire "), _xlpm.s3, SUBSTITUTE(_xlpm.s2, " rgo ", " reflux gastro-oesophagien "), TRIM(_xlpm.s3))</f>
        <v>acidocétose sur diabète inaugurale</v>
      </c>
      <c r="M155" t="str" cm="1">
        <f t="array" ref="M155">_xlfn.LET(_xlpm.base, " " &amp; LOWER(TRIM($L155)) &amp; " ", _xlpm.s1, SUBSTITUTE(_xlpm.base, " saos ", " syndrome d'apnees obstructives du sommeil "), _xlpm.s2, SUBSTITUTE(_xlpm.s1, " oacr ", " occlusion de l'artere centrale de la retine "), _xlpm.s3, SUBSTITUTE(_xlpm.s2, " hsd ", " hematome sous-dural "), TRIM(_xlpm.s3))</f>
        <v>acidocétose sur diabète inaugurale</v>
      </c>
      <c r="N155" t="str" cm="1">
        <f t="array" ref="N155">_xlfn.LET(_xlpm.base, " " &amp; LOWER(TRIM($M155))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acidocétose sur diabète inaugurale</v>
      </c>
      <c r="O155" t="str" cm="1">
        <f t="array" ref="O155">_xlfn.LET(_xlpm.base, " " &amp; LOWER(TRIM($N155))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acidocétose sur diabète inaugurale</v>
      </c>
    </row>
    <row r="156" spans="1:15" ht="276">
      <c r="A156" s="44" t="s">
        <v>1741</v>
      </c>
      <c r="B156" s="44">
        <v>2017</v>
      </c>
      <c r="C156" s="46" t="s">
        <v>1796</v>
      </c>
      <c r="D156" s="46" t="s">
        <v>1797</v>
      </c>
      <c r="E156" s="46" t="s">
        <v>1798</v>
      </c>
      <c r="F156" s="46" t="s">
        <v>1799</v>
      </c>
      <c r="G156" s="46" t="s">
        <v>1800</v>
      </c>
      <c r="H156" s="46" t="s">
        <v>1801</v>
      </c>
      <c r="I156" s="46" t="s">
        <v>1802</v>
      </c>
      <c r="J156" t="str" cm="1">
        <f t="array" ref="J156">_xlfn.LET(_xlpm.yr, B156, _xlpm.title, IFERROR(_xlfn.TEXTBEFORE(C156,"["), C156), _xlpm.base, TRIM(SUBSTITUTE(SUBSTITUTE(SUBSTITUTE(SUBSTITUTE(_xlpm.title,"•"," "),CHAR(160)," "),CHAR(10)," "),"  "," ")), LOWER(_xlpm.yr&amp;"|"&amp;_xlpm.base))</f>
        <v>2017|énurésie 1° cf cas usmle n°41</v>
      </c>
      <c r="K156" t="str">
        <f>LOWER($B156 &amp; "|" &amp; $O156)</f>
        <v>2017|énurésie 1° • cf cas usmle n°41</v>
      </c>
      <c r="L156" t="str" cm="1">
        <f t="array" ref="L156">_xlfn.LET(_xlpm.base, " " &amp; LOWER(TRIM(IFERROR(_xlfn.TEXTBEFORE($C156,"["), $C156))) &amp; " ", _xlpm.s1, SUBSTITUTE(_xlpm.base, " fa ", " fibrillation auriculaire "), _xlpm.s2, SUBSTITUTE(_xlpm.s1, " ep ", " embolie pulmonaire "), _xlpm.s3, SUBSTITUTE(_xlpm.s2, " rgo ", " reflux gastro-oesophagien "), TRIM(_xlpm.s3))</f>
        <v>énurésie 1° • cf cas usmle n°41</v>
      </c>
      <c r="M156" t="str" cm="1">
        <f t="array" ref="M156">_xlfn.LET(_xlpm.base, " " &amp; LOWER(TRIM($L156)) &amp; " ", _xlpm.s1, SUBSTITUTE(_xlpm.base, " saos ", " syndrome d'apnees obstructives du sommeil "), _xlpm.s2, SUBSTITUTE(_xlpm.s1, " oacr ", " occlusion de l'artere centrale de la retine "), _xlpm.s3, SUBSTITUTE(_xlpm.s2, " hsd ", " hematome sous-dural "), TRIM(_xlpm.s3))</f>
        <v>énurésie 1° • cf cas usmle n°41</v>
      </c>
      <c r="N156" t="str" cm="1">
        <f t="array" ref="N156">_xlfn.LET(_xlpm.base, " " &amp; LOWER(TRIM($M156))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énurésie 1° • cf cas usmle n°41</v>
      </c>
      <c r="O156" t="str" cm="1">
        <f t="array" ref="O156">_xlfn.LET(_xlpm.base, " " &amp; LOWER(TRIM($N156))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énurésie 1° • cf cas usmle n°41</v>
      </c>
    </row>
    <row r="157" spans="1:15">
      <c r="A157" s="44" t="s">
        <v>1741</v>
      </c>
      <c r="B157" s="44">
        <v>2017</v>
      </c>
      <c r="C157" s="46" t="s">
        <v>1803</v>
      </c>
      <c r="D157" s="46" t="s">
        <v>1487</v>
      </c>
      <c r="E157" s="46"/>
      <c r="F157" s="46"/>
      <c r="G157" s="46"/>
      <c r="H157" s="46"/>
      <c r="I157" s="46"/>
      <c r="J157" t="str" cm="1">
        <f t="array" ref="J157">_xlfn.LET(_xlpm.yr, B157, _xlpm.title, IFERROR(_xlfn.TEXTBEFORE(C157,"["), C157), _xlpm.base, TRIM(SUBSTITUTE(SUBSTITUTE(SUBSTITUTE(SUBSTITUTE(_xlpm.title,"•"," "),CHAR(160)," "),CHAR(10)," "),"  "," ")), LOWER(_xlpm.yr&amp;"|"&amp;_xlpm.base))</f>
        <v>2017|ictère du nné</v>
      </c>
      <c r="K157" t="str">
        <f>LOWER($B157 &amp; "|" &amp; $O157)</f>
        <v>2017|ictère du nné</v>
      </c>
      <c r="L157" t="str" cm="1">
        <f t="array" ref="L157">_xlfn.LET(_xlpm.base, " " &amp; LOWER(TRIM(IFERROR(_xlfn.TEXTBEFORE($C157,"["), $C157))) &amp; " ", _xlpm.s1, SUBSTITUTE(_xlpm.base, " fa ", " fibrillation auriculaire "), _xlpm.s2, SUBSTITUTE(_xlpm.s1, " ep ", " embolie pulmonaire "), _xlpm.s3, SUBSTITUTE(_xlpm.s2, " rgo ", " reflux gastro-oesophagien "), TRIM(_xlpm.s3))</f>
        <v>ictère du nné</v>
      </c>
      <c r="M157" t="str" cm="1">
        <f t="array" ref="M157">_xlfn.LET(_xlpm.base, " " &amp; LOWER(TRIM($L157)) &amp; " ", _xlpm.s1, SUBSTITUTE(_xlpm.base, " saos ", " syndrome d'apnees obstructives du sommeil "), _xlpm.s2, SUBSTITUTE(_xlpm.s1, " oacr ", " occlusion de l'artere centrale de la retine "), _xlpm.s3, SUBSTITUTE(_xlpm.s2, " hsd ", " hematome sous-dural "), TRIM(_xlpm.s3))</f>
        <v>ictère du nné</v>
      </c>
      <c r="N157" t="str" cm="1">
        <f t="array" ref="N157">_xlfn.LET(_xlpm.base, " " &amp; LOWER(TRIM($M157))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ictère du nné</v>
      </c>
      <c r="O157" t="str" cm="1">
        <f t="array" ref="O157">_xlfn.LET(_xlpm.base, " " &amp; LOWER(TRIM($N157))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ictère du nné</v>
      </c>
    </row>
    <row r="158" spans="1:15" ht="27.75">
      <c r="A158" s="44" t="s">
        <v>1741</v>
      </c>
      <c r="B158" s="44">
        <v>2017</v>
      </c>
      <c r="C158" s="46" t="s">
        <v>1804</v>
      </c>
      <c r="D158" s="45" t="s">
        <v>1805</v>
      </c>
      <c r="E158" s="45"/>
      <c r="F158" s="45"/>
      <c r="G158" s="45"/>
      <c r="H158" s="45"/>
      <c r="I158" s="45"/>
      <c r="J158" t="str" cm="1">
        <f t="array" ref="J158">_xlfn.LET(_xlpm.yr, B158, _xlpm.title, IFERROR(_xlfn.TEXTBEFORE(C158,"["), C158), _xlpm.base, TRIM(SUBSTITUTE(SUBSTITUTE(SUBSTITUTE(SUBSTITUTE(_xlpm.title,"•"," "),CHAR(160)," "),CHAR(10)," "),"  "," ")), LOWER(_xlpm.yr&amp;"|"&amp;_xlpm.base))</f>
        <v>2017|papa veut qu’on lui explique les vaccins pour son bb de 2 mois sans être réticents</v>
      </c>
      <c r="K158" t="str">
        <f>LOWER($B158 &amp; "|" &amp; $O158)</f>
        <v>2017|papa veut qu’on lui explique les vaccins pour son bb de 2 mois sans être réticents</v>
      </c>
      <c r="L158" t="str" cm="1">
        <f t="array" ref="L158">_xlfn.LET(_xlpm.base, " " &amp; LOWER(TRIM(IFERROR(_xlfn.TEXTBEFORE($C158,"["), $C158))) &amp; " ", _xlpm.s1, SUBSTITUTE(_xlpm.base, " fa ", " fibrillation auriculaire "), _xlpm.s2, SUBSTITUTE(_xlpm.s1, " ep ", " embolie pulmonaire "), _xlpm.s3, SUBSTITUTE(_xlpm.s2, " rgo ", " reflux gastro-oesophagien "), TRIM(_xlpm.s3))</f>
        <v>papa veut qu’on lui explique les vaccins pour son bb de 2 mois sans être réticents</v>
      </c>
      <c r="M158" t="str" cm="1">
        <f t="array" ref="M158">_xlfn.LET(_xlpm.base, " " &amp; LOWER(TRIM($L158)) &amp; " ", _xlpm.s1, SUBSTITUTE(_xlpm.base, " saos ", " syndrome d'apnees obstructives du sommeil "), _xlpm.s2, SUBSTITUTE(_xlpm.s1, " oacr ", " occlusion de l'artere centrale de la retine "), _xlpm.s3, SUBSTITUTE(_xlpm.s2, " hsd ", " hematome sous-dural "), TRIM(_xlpm.s3))</f>
        <v>papa veut qu’on lui explique les vaccins pour son bb de 2 mois sans être réticents</v>
      </c>
      <c r="N158" t="str" cm="1">
        <f t="array" ref="N158">_xlfn.LET(_xlpm.base, " " &amp; LOWER(TRIM($M158))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papa veut qu’on lui explique les vaccins pour son bb de 2 mois sans être réticents</v>
      </c>
      <c r="O158" t="str" cm="1">
        <f t="array" ref="O158">_xlfn.LET(_xlpm.base, " " &amp; LOWER(TRIM($N158))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papa veut qu’on lui explique les vaccins pour son bb de 2 mois sans être réticents</v>
      </c>
    </row>
    <row r="159" spans="1:15" ht="27.75">
      <c r="A159" s="44" t="s">
        <v>1806</v>
      </c>
      <c r="B159" s="44">
        <v>2013</v>
      </c>
      <c r="C159" s="46" t="s">
        <v>1807</v>
      </c>
      <c r="D159" s="45" t="s">
        <v>1808</v>
      </c>
      <c r="E159" s="45"/>
      <c r="F159" s="45"/>
      <c r="G159" s="45"/>
      <c r="H159" s="45"/>
      <c r="I159" s="45"/>
      <c r="J159" t="str" cm="1">
        <f t="array" ref="J159">_xlfn.LET(_xlpm.yr, B159, _xlpm.title, IFERROR(_xlfn.TEXTBEFORE(C159,"["), C159), _xlpm.base, TRIM(SUBSTITUTE(SUBSTITUTE(SUBSTITUTE(SUBSTITUTE(_xlpm.title,"•"," "),CHAR(160)," "),CHAR(10)," "),"  "," ")), LOWER(_xlpm.yr&amp;"|"&amp;_xlpm.base))</f>
        <v>2013|dyspnée et douleurs thoraciques post chute</v>
      </c>
      <c r="K159" t="str">
        <f>LOWER($B159 &amp; "|" &amp; $O159)</f>
        <v>2013|dyspnée et douleurs thoraciques post chute</v>
      </c>
      <c r="L159" t="str" cm="1">
        <f t="array" ref="L159">_xlfn.LET(_xlpm.base, " " &amp; LOWER(TRIM(IFERROR(_xlfn.TEXTBEFORE($C159,"["), $C159))) &amp; " ", _xlpm.s1, SUBSTITUTE(_xlpm.base, " fa ", " fibrillation auriculaire "), _xlpm.s2, SUBSTITUTE(_xlpm.s1, " ep ", " embolie pulmonaire "), _xlpm.s3, SUBSTITUTE(_xlpm.s2, " rgo ", " reflux gastro-oesophagien "), TRIM(_xlpm.s3))</f>
        <v>dyspnée et douleurs thoraciques post chute</v>
      </c>
      <c r="M159" t="str" cm="1">
        <f t="array" ref="M159">_xlfn.LET(_xlpm.base, " " &amp; LOWER(TRIM($L159)) &amp; " ", _xlpm.s1, SUBSTITUTE(_xlpm.base, " saos ", " syndrome d'apnees obstructives du sommeil "), _xlpm.s2, SUBSTITUTE(_xlpm.s1, " oacr ", " occlusion de l'artere centrale de la retine "), _xlpm.s3, SUBSTITUTE(_xlpm.s2, " hsd ", " hematome sous-dural "), TRIM(_xlpm.s3))</f>
        <v>dyspnée et douleurs thoraciques post chute</v>
      </c>
      <c r="N159" t="str" cm="1">
        <f t="array" ref="N159">_xlfn.LET(_xlpm.base, " " &amp; LOWER(TRIM($M159))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dyspnée et douleurs thoraciques post chute</v>
      </c>
      <c r="O159" t="str" cm="1">
        <f t="array" ref="O159">_xlfn.LET(_xlpm.base, " " &amp; LOWER(TRIM($N159))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dyspnée et douleurs thoraciques post chute</v>
      </c>
    </row>
    <row r="160" spans="1:15" ht="54.75">
      <c r="A160" s="44" t="s">
        <v>1806</v>
      </c>
      <c r="B160" s="44">
        <v>2013</v>
      </c>
      <c r="C160" s="46" t="s">
        <v>1809</v>
      </c>
      <c r="D160" s="45" t="s">
        <v>1810</v>
      </c>
      <c r="E160" s="45"/>
      <c r="F160" s="46" t="s">
        <v>1811</v>
      </c>
      <c r="G160" s="46" t="s">
        <v>1812</v>
      </c>
      <c r="H160" s="46" t="s">
        <v>1813</v>
      </c>
      <c r="I160" s="46" t="s">
        <v>1814</v>
      </c>
      <c r="J160" t="str" cm="1">
        <f t="array" ref="J160">_xlfn.LET(_xlpm.yr, B160, _xlpm.title, IFERROR(_xlfn.TEXTBEFORE(C160,"["), C160), _xlpm.base, TRIM(SUBSTITUTE(SUBSTITUTE(SUBSTITUTE(SUBSTITUTE(_xlpm.title,"•"," "),CHAR(160)," "),CHAR(10)," "),"  "," ")), LOWER(_xlpm.yr&amp;"|"&amp;_xlpm.base))</f>
        <v>2013|vieille retrouvée au sol</v>
      </c>
      <c r="K160" t="str">
        <f>LOWER($B160 &amp; "|" &amp; $O160)</f>
        <v>2013|vieille retrouvée au sol</v>
      </c>
      <c r="L160" t="str" cm="1">
        <f t="array" ref="L160">_xlfn.LET(_xlpm.base, " " &amp; LOWER(TRIM(IFERROR(_xlfn.TEXTBEFORE($C160,"["), $C160))) &amp; " ", _xlpm.s1, SUBSTITUTE(_xlpm.base, " fa ", " fibrillation auriculaire "), _xlpm.s2, SUBSTITUTE(_xlpm.s1, " ep ", " embolie pulmonaire "), _xlpm.s3, SUBSTITUTE(_xlpm.s2, " rgo ", " reflux gastro-oesophagien "), TRIM(_xlpm.s3))</f>
        <v>vieille retrouvée au sol</v>
      </c>
      <c r="M160" t="str" cm="1">
        <f t="array" ref="M160">_xlfn.LET(_xlpm.base, " " &amp; LOWER(TRIM($L160)) &amp; " ", _xlpm.s1, SUBSTITUTE(_xlpm.base, " saos ", " syndrome d'apnees obstructives du sommeil "), _xlpm.s2, SUBSTITUTE(_xlpm.s1, " oacr ", " occlusion de l'artere centrale de la retine "), _xlpm.s3, SUBSTITUTE(_xlpm.s2, " hsd ", " hematome sous-dural "), TRIM(_xlpm.s3))</f>
        <v>vieille retrouvée au sol</v>
      </c>
      <c r="N160" t="str" cm="1">
        <f t="array" ref="N160">_xlfn.LET(_xlpm.base, " " &amp; LOWER(TRIM($M160))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vieille retrouvée au sol</v>
      </c>
      <c r="O160" t="str" cm="1">
        <f t="array" ref="O160">_xlfn.LET(_xlpm.base, " " &amp; LOWER(TRIM($N160))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vieille retrouvée au sol</v>
      </c>
    </row>
    <row r="161" spans="1:15" ht="83.25">
      <c r="A161" s="44" t="s">
        <v>1806</v>
      </c>
      <c r="B161" s="44">
        <v>2014</v>
      </c>
      <c r="C161" s="46" t="s">
        <v>1815</v>
      </c>
      <c r="D161" s="46" t="s">
        <v>1816</v>
      </c>
      <c r="E161" s="46" t="s">
        <v>1817</v>
      </c>
      <c r="F161" s="46" t="s">
        <v>1818</v>
      </c>
      <c r="G161" s="46" t="s">
        <v>1819</v>
      </c>
      <c r="H161" s="46" t="s">
        <v>1820</v>
      </c>
      <c r="I161" s="46" t="s">
        <v>1821</v>
      </c>
      <c r="J161" t="str" cm="1">
        <f t="array" ref="J161">_xlfn.LET(_xlpm.yr, B161, _xlpm.title, IFERROR(_xlfn.TEXTBEFORE(C161,"["), C161), _xlpm.base, TRIM(SUBSTITUTE(SUBSTITUTE(SUBSTITUTE(SUBSTITUTE(_xlpm.title,"•"," "),CHAR(160)," "),CHAR(10)," "),"  "," ")), LOWER(_xlpm.yr&amp;"|"&amp;_xlpm.base))</f>
        <v>2014|méningite?</v>
      </c>
      <c r="K161" t="str">
        <f>LOWER($B161 &amp; "|" &amp; $O161)</f>
        <v>2014|méningite?</v>
      </c>
      <c r="L161" t="str" cm="1">
        <f t="array" ref="L161">_xlfn.LET(_xlpm.base, " " &amp; LOWER(TRIM(IFERROR(_xlfn.TEXTBEFORE($C161,"["), $C161))) &amp; " ", _xlpm.s1, SUBSTITUTE(_xlpm.base, " fa ", " fibrillation auriculaire "), _xlpm.s2, SUBSTITUTE(_xlpm.s1, " ep ", " embolie pulmonaire "), _xlpm.s3, SUBSTITUTE(_xlpm.s2, " rgo ", " reflux gastro-oesophagien "), TRIM(_xlpm.s3))</f>
        <v>méningite?</v>
      </c>
      <c r="M161" t="str" cm="1">
        <f t="array" ref="M161">_xlfn.LET(_xlpm.base, " " &amp; LOWER(TRIM($L161)) &amp; " ", _xlpm.s1, SUBSTITUTE(_xlpm.base, " saos ", " syndrome d'apnees obstructives du sommeil "), _xlpm.s2, SUBSTITUTE(_xlpm.s1, " oacr ", " occlusion de l'artere centrale de la retine "), _xlpm.s3, SUBSTITUTE(_xlpm.s2, " hsd ", " hematome sous-dural "), TRIM(_xlpm.s3))</f>
        <v>méningite?</v>
      </c>
      <c r="N161" t="str" cm="1">
        <f t="array" ref="N161">_xlfn.LET(_xlpm.base, " " &amp; LOWER(TRIM($M161))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méningite?</v>
      </c>
      <c r="O161" t="str" cm="1">
        <f t="array" ref="O161">_xlfn.LET(_xlpm.base, " " &amp; LOWER(TRIM($N161))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méningite?</v>
      </c>
    </row>
    <row r="162" spans="1:15">
      <c r="A162" s="44" t="s">
        <v>1806</v>
      </c>
      <c r="B162" s="44">
        <v>2014</v>
      </c>
      <c r="C162" s="46" t="s">
        <v>520</v>
      </c>
      <c r="D162" s="45" t="s">
        <v>1822</v>
      </c>
      <c r="E162" s="45"/>
      <c r="F162" s="45"/>
      <c r="G162" s="45"/>
      <c r="H162" s="46"/>
      <c r="I162" s="46"/>
      <c r="J162" t="str" cm="1">
        <f t="array" ref="J162">_xlfn.LET(_xlpm.yr, B162, _xlpm.title, IFERROR(_xlfn.TEXTBEFORE(C162,"["), C162), _xlpm.base, TRIM(SUBSTITUTE(SUBSTITUTE(SUBSTITUTE(SUBSTITUTE(_xlpm.title,"•"," "),CHAR(160)," "),CHAR(10)," "),"  "," ")), LOWER(_xlpm.yr&amp;"|"&amp;_xlpm.base))</f>
        <v>2014|hypoglycémie</v>
      </c>
      <c r="K162" t="str">
        <f>LOWER($B162 &amp; "|" &amp; $O162)</f>
        <v>2014|hypoglycémie</v>
      </c>
      <c r="L162" t="str" cm="1">
        <f t="array" ref="L162">_xlfn.LET(_xlpm.base, " " &amp; LOWER(TRIM(IFERROR(_xlfn.TEXTBEFORE($C162,"["), $C162))) &amp; " ", _xlpm.s1, SUBSTITUTE(_xlpm.base, " fa ", " fibrillation auriculaire "), _xlpm.s2, SUBSTITUTE(_xlpm.s1, " ep ", " embolie pulmonaire "), _xlpm.s3, SUBSTITUTE(_xlpm.s2, " rgo ", " reflux gastro-oesophagien "), TRIM(_xlpm.s3))</f>
        <v>hypoglycémie</v>
      </c>
      <c r="M162" t="str" cm="1">
        <f t="array" ref="M162">_xlfn.LET(_xlpm.base, " " &amp; LOWER(TRIM($L162)) &amp; " ", _xlpm.s1, SUBSTITUTE(_xlpm.base, " saos ", " syndrome d'apnees obstructives du sommeil "), _xlpm.s2, SUBSTITUTE(_xlpm.s1, " oacr ", " occlusion de l'artere centrale de la retine "), _xlpm.s3, SUBSTITUTE(_xlpm.s2, " hsd ", " hematome sous-dural "), TRIM(_xlpm.s3))</f>
        <v>hypoglycémie</v>
      </c>
      <c r="N162" t="str" cm="1">
        <f t="array" ref="N162">_xlfn.LET(_xlpm.base, " " &amp; LOWER(TRIM($M162))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hypoglycémie</v>
      </c>
      <c r="O162" t="str" cm="1">
        <f t="array" ref="O162">_xlfn.LET(_xlpm.base, " " &amp; LOWER(TRIM($N162))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hypoglycémie</v>
      </c>
    </row>
    <row r="163" spans="1:15">
      <c r="A163" s="44" t="s">
        <v>1806</v>
      </c>
      <c r="B163" s="44">
        <v>2014</v>
      </c>
      <c r="C163" s="46" t="s">
        <v>1823</v>
      </c>
      <c r="D163" s="45" t="s">
        <v>1824</v>
      </c>
      <c r="E163" s="45"/>
      <c r="F163" s="45"/>
      <c r="G163" s="45"/>
      <c r="H163" s="45"/>
      <c r="I163" s="45"/>
      <c r="J163" t="str" cm="1">
        <f t="array" ref="J163">_xlfn.LET(_xlpm.yr, B163, _xlpm.title, IFERROR(_xlfn.TEXTBEFORE(C163,"["), C163), _xlpm.base, TRIM(SUBSTITUTE(SUBSTITUTE(SUBSTITUTE(SUBSTITUTE(_xlpm.title,"•"," "),CHAR(160)," "),CHAR(10)," "),"  "," ")), LOWER(_xlpm.yr&amp;"|"&amp;_xlpm.base))</f>
        <v>2014|fx bassin cf cas rescos 2018 6e</v>
      </c>
      <c r="K163" t="str">
        <f>LOWER($B163 &amp; "|" &amp; $O163)</f>
        <v>2014|fx bassin • cf cas rescos 2018 6e</v>
      </c>
      <c r="L163" t="str" cm="1">
        <f t="array" ref="L163">_xlfn.LET(_xlpm.base, " " &amp; LOWER(TRIM(IFERROR(_xlfn.TEXTBEFORE($C163,"["), $C163))) &amp; " ", _xlpm.s1, SUBSTITUTE(_xlpm.base, " fa ", " fibrillation auriculaire "), _xlpm.s2, SUBSTITUTE(_xlpm.s1, " ep ", " embolie pulmonaire "), _xlpm.s3, SUBSTITUTE(_xlpm.s2, " rgo ", " reflux gastro-oesophagien "), TRIM(_xlpm.s3))</f>
        <v>fx bassin • cf cas rescos 2018 6e</v>
      </c>
      <c r="M163" t="str" cm="1">
        <f t="array" ref="M163">_xlfn.LET(_xlpm.base, " " &amp; LOWER(TRIM($L163)) &amp; " ", _xlpm.s1, SUBSTITUTE(_xlpm.base, " saos ", " syndrome d'apnees obstructives du sommeil "), _xlpm.s2, SUBSTITUTE(_xlpm.s1, " oacr ", " occlusion de l'artere centrale de la retine "), _xlpm.s3, SUBSTITUTE(_xlpm.s2, " hsd ", " hematome sous-dural "), TRIM(_xlpm.s3))</f>
        <v>fx bassin • cf cas rescos 2018 6e</v>
      </c>
      <c r="N163" t="str" cm="1">
        <f t="array" ref="N163">_xlfn.LET(_xlpm.base, " " &amp; LOWER(TRIM($M163))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fx bassin • cf cas rescos 2018 6e</v>
      </c>
      <c r="O163" t="str" cm="1">
        <f t="array" ref="O163">_xlfn.LET(_xlpm.base, " " &amp; LOWER(TRIM($N163))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fx bassin • cf cas rescos 2018 6e</v>
      </c>
    </row>
    <row r="164" spans="1:15" ht="27.75">
      <c r="A164" s="44" t="s">
        <v>1806</v>
      </c>
      <c r="B164" s="44">
        <v>2015</v>
      </c>
      <c r="C164" s="46" t="s">
        <v>1825</v>
      </c>
      <c r="D164" s="45" t="s">
        <v>1826</v>
      </c>
      <c r="E164" s="45"/>
      <c r="F164" s="45"/>
      <c r="G164" s="46"/>
      <c r="H164" s="46"/>
      <c r="I164" s="46" t="s">
        <v>1827</v>
      </c>
      <c r="J164" t="str" cm="1">
        <f t="array" ref="J164">_xlfn.LET(_xlpm.yr, B164, _xlpm.title, IFERROR(_xlfn.TEXTBEFORE(C164,"["), C164), _xlpm.base, TRIM(SUBSTITUTE(SUBSTITUTE(SUBSTITUTE(SUBSTITUTE(_xlpm.title,"•"," "),CHAR(160)," "),CHAR(10)," "),"  "," ")), LOWER(_xlpm.yr&amp;"|"&amp;_xlpm.base))</f>
        <v>2015|tachycardie supraventriculaire à réentrée?</v>
      </c>
      <c r="K164" t="str">
        <f>LOWER($B164 &amp; "|" &amp; $O164)</f>
        <v>2015|tachycardie supraventriculaire à réentrée?</v>
      </c>
      <c r="L164" t="str" cm="1">
        <f t="array" ref="L164">_xlfn.LET(_xlpm.base, " " &amp; LOWER(TRIM(IFERROR(_xlfn.TEXTBEFORE($C164,"["), $C164))) &amp; " ", _xlpm.s1, SUBSTITUTE(_xlpm.base, " fa ", " fibrillation auriculaire "), _xlpm.s2, SUBSTITUTE(_xlpm.s1, " ep ", " embolie pulmonaire "), _xlpm.s3, SUBSTITUTE(_xlpm.s2, " rgo ", " reflux gastro-oesophagien "), TRIM(_xlpm.s3))</f>
        <v>tachycardie supraventriculaire à réentrée?</v>
      </c>
      <c r="M164" t="str" cm="1">
        <f t="array" ref="M164">_xlfn.LET(_xlpm.base, " " &amp; LOWER(TRIM($L164)) &amp; " ", _xlpm.s1, SUBSTITUTE(_xlpm.base, " saos ", " syndrome d'apnees obstructives du sommeil "), _xlpm.s2, SUBSTITUTE(_xlpm.s1, " oacr ", " occlusion de l'artere centrale de la retine "), _xlpm.s3, SUBSTITUTE(_xlpm.s2, " hsd ", " hematome sous-dural "), TRIM(_xlpm.s3))</f>
        <v>tachycardie supraventriculaire à réentrée?</v>
      </c>
      <c r="N164" t="str" cm="1">
        <f t="array" ref="N164">_xlfn.LET(_xlpm.base, " " &amp; LOWER(TRIM($M164))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tachycardie supraventriculaire à réentrée?</v>
      </c>
      <c r="O164" t="str" cm="1">
        <f t="array" ref="O164">_xlfn.LET(_xlpm.base, " " &amp; LOWER(TRIM($N164))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tachycardie supraventriculaire à réentrée?</v>
      </c>
    </row>
    <row r="165" spans="1:15" ht="54.75">
      <c r="A165" s="44" t="s">
        <v>1806</v>
      </c>
      <c r="B165" s="44">
        <v>2016</v>
      </c>
      <c r="C165" s="46" t="s">
        <v>1828</v>
      </c>
      <c r="D165" s="48" t="s">
        <v>1829</v>
      </c>
      <c r="E165" s="46" t="s">
        <v>1830</v>
      </c>
      <c r="F165" s="46" t="s">
        <v>1831</v>
      </c>
      <c r="G165" s="46" t="s">
        <v>1832</v>
      </c>
      <c r="H165" s="46" t="s">
        <v>1833</v>
      </c>
      <c r="I165" s="46" t="s">
        <v>1834</v>
      </c>
      <c r="J165" t="str" cm="1">
        <f t="array" ref="J165">_xlfn.LET(_xlpm.yr, B165, _xlpm.title, IFERROR(_xlfn.TEXTBEFORE(C165,"["), C165), _xlpm.base, TRIM(SUBSTITUTE(SUBSTITUTE(SUBSTITUTE(SUBSTITUTE(_xlpm.title,"•"," "),CHAR(160)," "),CHAR(10)," "),"  "," ")), LOWER(_xlpm.yr&amp;"|"&amp;_xlpm.base))</f>
        <v>2016|palpitations (tb électrolytiques?)</v>
      </c>
      <c r="K165" t="str">
        <f>LOWER($B165 &amp; "|" &amp; $O165)</f>
        <v>2016|palpitations (tb électrolytiques?)</v>
      </c>
      <c r="L165" t="str" cm="1">
        <f t="array" ref="L165">_xlfn.LET(_xlpm.base, " " &amp; LOWER(TRIM(IFERROR(_xlfn.TEXTBEFORE($C165,"["), $C165))) &amp; " ", _xlpm.s1, SUBSTITUTE(_xlpm.base, " fa ", " fibrillation auriculaire "), _xlpm.s2, SUBSTITUTE(_xlpm.s1, " ep ", " embolie pulmonaire "), _xlpm.s3, SUBSTITUTE(_xlpm.s2, " rgo ", " reflux gastro-oesophagien "), TRIM(_xlpm.s3))</f>
        <v>palpitations (tb électrolytiques?)</v>
      </c>
      <c r="M165" t="str" cm="1">
        <f t="array" ref="M165">_xlfn.LET(_xlpm.base, " " &amp; LOWER(TRIM($L165)) &amp; " ", _xlpm.s1, SUBSTITUTE(_xlpm.base, " saos ", " syndrome d'apnees obstructives du sommeil "), _xlpm.s2, SUBSTITUTE(_xlpm.s1, " oacr ", " occlusion de l'artere centrale de la retine "), _xlpm.s3, SUBSTITUTE(_xlpm.s2, " hsd ", " hematome sous-dural "), TRIM(_xlpm.s3))</f>
        <v>palpitations (tb électrolytiques?)</v>
      </c>
      <c r="N165" t="str" cm="1">
        <f t="array" ref="N165">_xlfn.LET(_xlpm.base, " " &amp; LOWER(TRIM($M165))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palpitations (tb électrolytiques?)</v>
      </c>
      <c r="O165" t="str" cm="1">
        <f t="array" ref="O165">_xlfn.LET(_xlpm.base, " " &amp; LOWER(TRIM($N165))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palpitations (tb électrolytiques?)</v>
      </c>
    </row>
    <row r="166" spans="1:15" ht="54.75">
      <c r="A166" s="44" t="s">
        <v>1806</v>
      </c>
      <c r="B166" s="44">
        <v>2016</v>
      </c>
      <c r="C166" s="46" t="s">
        <v>1835</v>
      </c>
      <c r="D166" s="46" t="s">
        <v>1836</v>
      </c>
      <c r="E166" s="46" t="s">
        <v>1837</v>
      </c>
      <c r="F166" s="46" t="s">
        <v>1838</v>
      </c>
      <c r="G166" s="46" t="s">
        <v>1839</v>
      </c>
      <c r="H166" s="46" t="s">
        <v>1840</v>
      </c>
      <c r="I166" s="46" t="s">
        <v>1841</v>
      </c>
      <c r="J166" t="str" cm="1">
        <f t="array" ref="J166">_xlfn.LET(_xlpm.yr, B166, _xlpm.title, IFERROR(_xlfn.TEXTBEFORE(C166,"["), C166), _xlpm.base, TRIM(SUBSTITUTE(SUBSTITUTE(SUBSTITUTE(SUBSTITUTE(_xlpm.title,"•"," "),CHAR(160)," "),CHAR(10)," "),"  "," ")), LOWER(_xlpm.yr&amp;"|"&amp;_xlpm.base))</f>
        <v>2016|chute à vélo</v>
      </c>
      <c r="K166" t="str">
        <f>LOWER($B166 &amp; "|" &amp; $O166)</f>
        <v>2016|chute à vélo</v>
      </c>
      <c r="L166" t="str" cm="1">
        <f t="array" ref="L166">_xlfn.LET(_xlpm.base, " " &amp; LOWER(TRIM(IFERROR(_xlfn.TEXTBEFORE($C166,"["), $C166))) &amp; " ", _xlpm.s1, SUBSTITUTE(_xlpm.base, " fa ", " fibrillation auriculaire "), _xlpm.s2, SUBSTITUTE(_xlpm.s1, " ep ", " embolie pulmonaire "), _xlpm.s3, SUBSTITUTE(_xlpm.s2, " rgo ", " reflux gastro-oesophagien "), TRIM(_xlpm.s3))</f>
        <v>chute à vélo</v>
      </c>
      <c r="M166" t="str" cm="1">
        <f t="array" ref="M166">_xlfn.LET(_xlpm.base, " " &amp; LOWER(TRIM($L166)) &amp; " ", _xlpm.s1, SUBSTITUTE(_xlpm.base, " saos ", " syndrome d'apnees obstructives du sommeil "), _xlpm.s2, SUBSTITUTE(_xlpm.s1, " oacr ", " occlusion de l'artere centrale de la retine "), _xlpm.s3, SUBSTITUTE(_xlpm.s2, " hsd ", " hematome sous-dural "), TRIM(_xlpm.s3))</f>
        <v>chute à vélo</v>
      </c>
      <c r="N166" t="str" cm="1">
        <f t="array" ref="N166">_xlfn.LET(_xlpm.base, " " &amp; LOWER(TRIM($M166))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chute à vélo</v>
      </c>
      <c r="O166" t="str" cm="1">
        <f t="array" ref="O166">_xlfn.LET(_xlpm.base, " " &amp; LOWER(TRIM($N166))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chute à vélo</v>
      </c>
    </row>
    <row r="167" spans="1:15" ht="41.25">
      <c r="A167" s="44" t="s">
        <v>1806</v>
      </c>
      <c r="B167" s="44">
        <v>2017</v>
      </c>
      <c r="C167" s="46" t="s">
        <v>681</v>
      </c>
      <c r="D167" s="46" t="s">
        <v>1842</v>
      </c>
      <c r="E167" s="46" t="s">
        <v>1843</v>
      </c>
      <c r="F167" s="45" t="s">
        <v>684</v>
      </c>
      <c r="G167" s="45"/>
      <c r="H167" s="46" t="s">
        <v>1844</v>
      </c>
      <c r="I167" s="46" t="s">
        <v>685</v>
      </c>
      <c r="J167" t="str" cm="1">
        <f t="array" ref="J167">_xlfn.LET(_xlpm.yr, B167, _xlpm.title, IFERROR(_xlfn.TEXTBEFORE(C167,"["), C167), _xlpm.base, TRIM(SUBSTITUTE(SUBSTITUTE(SUBSTITUTE(SUBSTITUTE(_xlpm.title,"•"," "),CHAR(160)," "),CHAR(10)," "),"  "," ")), LOWER(_xlpm.yr&amp;"|"&amp;_xlpm.base))</f>
        <v>2017|choc septique</v>
      </c>
      <c r="K167" t="str">
        <f>LOWER($B167 &amp; "|" &amp; $O167)</f>
        <v>2017|choc septique</v>
      </c>
      <c r="L167" t="str" cm="1">
        <f t="array" ref="L167">_xlfn.LET(_xlpm.base, " " &amp; LOWER(TRIM(IFERROR(_xlfn.TEXTBEFORE($C167,"["), $C167))) &amp; " ", _xlpm.s1, SUBSTITUTE(_xlpm.base, " fa ", " fibrillation auriculaire "), _xlpm.s2, SUBSTITUTE(_xlpm.s1, " ep ", " embolie pulmonaire "), _xlpm.s3, SUBSTITUTE(_xlpm.s2, " rgo ", " reflux gastro-oesophagien "), TRIM(_xlpm.s3))</f>
        <v>choc septique</v>
      </c>
      <c r="M167" t="str" cm="1">
        <f t="array" ref="M167">_xlfn.LET(_xlpm.base, " " &amp; LOWER(TRIM($L167)) &amp; " ", _xlpm.s1, SUBSTITUTE(_xlpm.base, " saos ", " syndrome d'apnees obstructives du sommeil "), _xlpm.s2, SUBSTITUTE(_xlpm.s1, " oacr ", " occlusion de l'artere centrale de la retine "), _xlpm.s3, SUBSTITUTE(_xlpm.s2, " hsd ", " hematome sous-dural "), TRIM(_xlpm.s3))</f>
        <v>choc septique</v>
      </c>
      <c r="N167" t="str" cm="1">
        <f t="array" ref="N167">_xlfn.LET(_xlpm.base, " " &amp; LOWER(TRIM($M167))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choc septique</v>
      </c>
      <c r="O167" t="str" cm="1">
        <f t="array" ref="O167">_xlfn.LET(_xlpm.base, " " &amp; LOWER(TRIM($N167))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choc septique</v>
      </c>
    </row>
    <row r="168" spans="1:15" ht="96.75">
      <c r="A168" s="44" t="s">
        <v>1806</v>
      </c>
      <c r="B168" s="44">
        <v>2017</v>
      </c>
      <c r="C168" s="45" t="s">
        <v>729</v>
      </c>
      <c r="D168" s="45"/>
      <c r="E168" s="46" t="s">
        <v>731</v>
      </c>
      <c r="F168" s="46" t="s">
        <v>732</v>
      </c>
      <c r="G168" s="46" t="s">
        <v>730</v>
      </c>
      <c r="H168" s="46" t="s">
        <v>1845</v>
      </c>
      <c r="I168" s="46" t="s">
        <v>733</v>
      </c>
      <c r="J168" t="str" cm="1">
        <f t="array" ref="J168">_xlfn.LET(_xlpm.yr, B168, _xlpm.title, IFERROR(_xlfn.TEXTBEFORE(C168,"["), C168), _xlpm.base, TRIM(SUBSTITUTE(SUBSTITUTE(SUBSTITUTE(SUBSTITUTE(_xlpm.title,"•"," "),CHAR(160)," "),CHAR(10)," "),"  "," ")), LOWER(_xlpm.yr&amp;"|"&amp;_xlpm.base))</f>
        <v>2017|choc anaphylactique</v>
      </c>
      <c r="K168" t="str">
        <f>LOWER($B168 &amp; "|" &amp; $O168)</f>
        <v>2017|choc anaphylactique</v>
      </c>
      <c r="L168" t="str" cm="1">
        <f t="array" ref="L168">_xlfn.LET(_xlpm.base, " " &amp; LOWER(TRIM(IFERROR(_xlfn.TEXTBEFORE($C168,"["), $C168))) &amp; " ", _xlpm.s1, SUBSTITUTE(_xlpm.base, " fa ", " fibrillation auriculaire "), _xlpm.s2, SUBSTITUTE(_xlpm.s1, " ep ", " embolie pulmonaire "), _xlpm.s3, SUBSTITUTE(_xlpm.s2, " rgo ", " reflux gastro-oesophagien "), TRIM(_xlpm.s3))</f>
        <v>choc anaphylactique</v>
      </c>
      <c r="M168" t="str" cm="1">
        <f t="array" ref="M168">_xlfn.LET(_xlpm.base, " " &amp; LOWER(TRIM($L168)) &amp; " ", _xlpm.s1, SUBSTITUTE(_xlpm.base, " saos ", " syndrome d'apnees obstructives du sommeil "), _xlpm.s2, SUBSTITUTE(_xlpm.s1, " oacr ", " occlusion de l'artere centrale de la retine "), _xlpm.s3, SUBSTITUTE(_xlpm.s2, " hsd ", " hematome sous-dural "), TRIM(_xlpm.s3))</f>
        <v>choc anaphylactique</v>
      </c>
      <c r="N168" t="str" cm="1">
        <f t="array" ref="N168">_xlfn.LET(_xlpm.base, " " &amp; LOWER(TRIM($M168))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choc anaphylactique</v>
      </c>
      <c r="O168" t="str" cm="1">
        <f t="array" ref="O168">_xlfn.LET(_xlpm.base, " " &amp; LOWER(TRIM($N168))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choc anaphylactique</v>
      </c>
    </row>
    <row r="169" spans="1:15" ht="54.75">
      <c r="A169" s="44" t="s">
        <v>1806</v>
      </c>
      <c r="B169" s="44">
        <v>2017</v>
      </c>
      <c r="C169" s="45" t="s">
        <v>650</v>
      </c>
      <c r="D169" s="45"/>
      <c r="E169" s="46" t="s">
        <v>652</v>
      </c>
      <c r="F169" s="46" t="s">
        <v>653</v>
      </c>
      <c r="G169" s="46" t="s">
        <v>651</v>
      </c>
      <c r="H169" s="46" t="s">
        <v>1846</v>
      </c>
      <c r="I169" s="46" t="s">
        <v>654</v>
      </c>
      <c r="J169" t="str" cm="1">
        <f t="array" ref="J169">_xlfn.LET(_xlpm.yr, B169, _xlpm.title, IFERROR(_xlfn.TEXTBEFORE(C169,"["), C169), _xlpm.base, TRIM(SUBSTITUTE(SUBSTITUTE(SUBSTITUTE(SUBSTITUTE(_xlpm.title,"•"," "),CHAR(160)," "),CHAR(10)," "),"  "," ")), LOWER(_xlpm.yr&amp;"|"&amp;_xlpm.base))</f>
        <v>2017|dissection aortique</v>
      </c>
      <c r="K169" t="str">
        <f>LOWER($B169 &amp; "|" &amp; $O169)</f>
        <v>2017|dissection aortique</v>
      </c>
      <c r="L169" t="str" cm="1">
        <f t="array" ref="L169">_xlfn.LET(_xlpm.base, " " &amp; LOWER(TRIM(IFERROR(_xlfn.TEXTBEFORE($C169,"["), $C169))) &amp; " ", _xlpm.s1, SUBSTITUTE(_xlpm.base, " fa ", " fibrillation auriculaire "), _xlpm.s2, SUBSTITUTE(_xlpm.s1, " ep ", " embolie pulmonaire "), _xlpm.s3, SUBSTITUTE(_xlpm.s2, " rgo ", " reflux gastro-oesophagien "), TRIM(_xlpm.s3))</f>
        <v>dissection aortique</v>
      </c>
      <c r="M169" t="str" cm="1">
        <f t="array" ref="M169">_xlfn.LET(_xlpm.base, " " &amp; LOWER(TRIM($L169)) &amp; " ", _xlpm.s1, SUBSTITUTE(_xlpm.base, " saos ", " syndrome d'apnees obstructives du sommeil "), _xlpm.s2, SUBSTITUTE(_xlpm.s1, " oacr ", " occlusion de l'artere centrale de la retine "), _xlpm.s3, SUBSTITUTE(_xlpm.s2, " hsd ", " hematome sous-dural "), TRIM(_xlpm.s3))</f>
        <v>dissection aortique</v>
      </c>
      <c r="N169" t="str" cm="1">
        <f t="array" ref="N169">_xlfn.LET(_xlpm.base, " " &amp; LOWER(TRIM($M169))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dissection aortique</v>
      </c>
      <c r="O169" t="str" cm="1">
        <f t="array" ref="O169">_xlfn.LET(_xlpm.base, " " &amp; LOWER(TRIM($N169))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dissection aortique</v>
      </c>
    </row>
    <row r="170" spans="1:15" ht="68.25">
      <c r="A170" s="44" t="s">
        <v>1847</v>
      </c>
      <c r="B170" s="44">
        <v>2013</v>
      </c>
      <c r="C170" s="46" t="s">
        <v>1848</v>
      </c>
      <c r="D170" s="46" t="s">
        <v>1849</v>
      </c>
      <c r="E170" s="46" t="s">
        <v>1850</v>
      </c>
      <c r="F170" s="46" t="s">
        <v>1851</v>
      </c>
      <c r="G170" s="46" t="s">
        <v>1852</v>
      </c>
      <c r="H170" s="46" t="s">
        <v>1853</v>
      </c>
      <c r="I170" s="46" t="s">
        <v>1854</v>
      </c>
      <c r="J170" t="str" cm="1">
        <f t="array" ref="J170">_xlfn.LET(_xlpm.yr, B170, _xlpm.title, IFERROR(_xlfn.TEXTBEFORE(C170,"["), C170), _xlpm.base, TRIM(SUBSTITUTE(SUBSTITUTE(SUBSTITUTE(SUBSTITUTE(_xlpm.title,"•"," "),CHAR(160)," "),CHAR(10)," "),"  "," ")), LOWER(_xlpm.yr&amp;"|"&amp;_xlpm.base))</f>
        <v>2013|prostatisme?</v>
      </c>
      <c r="K170" t="str">
        <f>LOWER($B170 &amp; "|" &amp; $O170)</f>
        <v>2013|prostatisme?</v>
      </c>
      <c r="L170" t="str" cm="1">
        <f t="array" ref="L170">_xlfn.LET(_xlpm.base, " " &amp; LOWER(TRIM(IFERROR(_xlfn.TEXTBEFORE($C170,"["), $C170))) &amp; " ", _xlpm.s1, SUBSTITUTE(_xlpm.base, " fa ", " fibrillation auriculaire "), _xlpm.s2, SUBSTITUTE(_xlpm.s1, " ep ", " embolie pulmonaire "), _xlpm.s3, SUBSTITUTE(_xlpm.s2, " rgo ", " reflux gastro-oesophagien "), TRIM(_xlpm.s3))</f>
        <v>prostatisme?</v>
      </c>
      <c r="M170" t="str" cm="1">
        <f t="array" ref="M170">_xlfn.LET(_xlpm.base, " " &amp; LOWER(TRIM($L170)) &amp; " ", _xlpm.s1, SUBSTITUTE(_xlpm.base, " saos ", " syndrome d'apnees obstructives du sommeil "), _xlpm.s2, SUBSTITUTE(_xlpm.s1, " oacr ", " occlusion de l'artere centrale de la retine "), _xlpm.s3, SUBSTITUTE(_xlpm.s2, " hsd ", " hematome sous-dural "), TRIM(_xlpm.s3))</f>
        <v>prostatisme?</v>
      </c>
      <c r="N170" t="str" cm="1">
        <f t="array" ref="N170">_xlfn.LET(_xlpm.base, " " &amp; LOWER(TRIM($M170))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prostatisme?</v>
      </c>
      <c r="O170" t="str" cm="1">
        <f t="array" ref="O170">_xlfn.LET(_xlpm.base, " " &amp; LOWER(TRIM($N170))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prostatisme?</v>
      </c>
    </row>
    <row r="171" spans="1:15" ht="151.5">
      <c r="A171" s="44" t="s">
        <v>1847</v>
      </c>
      <c r="B171" s="44">
        <v>2014</v>
      </c>
      <c r="C171" s="45" t="s">
        <v>419</v>
      </c>
      <c r="D171" s="45"/>
      <c r="E171" s="46" t="s">
        <v>1855</v>
      </c>
      <c r="F171" s="46" t="s">
        <v>1856</v>
      </c>
      <c r="G171" s="48" t="s">
        <v>1857</v>
      </c>
      <c r="H171" s="46" t="s">
        <v>1858</v>
      </c>
      <c r="I171" s="48" t="s">
        <v>1859</v>
      </c>
      <c r="J171" t="str" cm="1">
        <f t="array" ref="J171">_xlfn.LET(_xlpm.yr, B171, _xlpm.title, IFERROR(_xlfn.TEXTBEFORE(C171,"["), C171), _xlpm.base, TRIM(SUBSTITUTE(SUBSTITUTE(SUBSTITUTE(SUBSTITUTE(_xlpm.title,"•"," "),CHAR(160)," "),CHAR(10)," "),"  "," ")), LOWER(_xlpm.yr&amp;"|"&amp;_xlpm.base))</f>
        <v>2014|pyélonéphrite</v>
      </c>
      <c r="K171" t="str">
        <f>LOWER($B171 &amp; "|" &amp; $O171)</f>
        <v>2014|pyélonéphrite</v>
      </c>
      <c r="L171" t="str" cm="1">
        <f t="array" ref="L171">_xlfn.LET(_xlpm.base, " " &amp; LOWER(TRIM(IFERROR(_xlfn.TEXTBEFORE($C171,"["), $C171))) &amp; " ", _xlpm.s1, SUBSTITUTE(_xlpm.base, " fa ", " fibrillation auriculaire "), _xlpm.s2, SUBSTITUTE(_xlpm.s1, " ep ", " embolie pulmonaire "), _xlpm.s3, SUBSTITUTE(_xlpm.s2, " rgo ", " reflux gastro-oesophagien "), TRIM(_xlpm.s3))</f>
        <v>pyélonéphrite</v>
      </c>
      <c r="M171" t="str" cm="1">
        <f t="array" ref="M171">_xlfn.LET(_xlpm.base, " " &amp; LOWER(TRIM($L171)) &amp; " ", _xlpm.s1, SUBSTITUTE(_xlpm.base, " saos ", " syndrome d'apnees obstructives du sommeil "), _xlpm.s2, SUBSTITUTE(_xlpm.s1, " oacr ", " occlusion de l'artere centrale de la retine "), _xlpm.s3, SUBSTITUTE(_xlpm.s2, " hsd ", " hematome sous-dural "), TRIM(_xlpm.s3))</f>
        <v>pyélonéphrite</v>
      </c>
      <c r="N171" t="str" cm="1">
        <f t="array" ref="N171">_xlfn.LET(_xlpm.base, " " &amp; LOWER(TRIM($M171))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pyélonéphrite</v>
      </c>
      <c r="O171" t="str" cm="1">
        <f t="array" ref="O171">_xlfn.LET(_xlpm.base, " " &amp; LOWER(TRIM($N171))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pyélonéphrite</v>
      </c>
    </row>
    <row r="172" spans="1:15" ht="179.25">
      <c r="A172" s="44" t="s">
        <v>1847</v>
      </c>
      <c r="B172" s="44">
        <v>2014</v>
      </c>
      <c r="C172" s="45" t="s">
        <v>414</v>
      </c>
      <c r="D172" s="45"/>
      <c r="E172" s="46" t="s">
        <v>416</v>
      </c>
      <c r="F172" s="46" t="s">
        <v>417</v>
      </c>
      <c r="G172" s="46" t="s">
        <v>415</v>
      </c>
      <c r="H172" s="46" t="s">
        <v>1860</v>
      </c>
      <c r="I172" s="46" t="s">
        <v>418</v>
      </c>
      <c r="J172" t="str" cm="1">
        <f t="array" ref="J172">_xlfn.LET(_xlpm.yr, B172, _xlpm.title, IFERROR(_xlfn.TEXTBEFORE(C172,"["), C172), _xlpm.base, TRIM(SUBSTITUTE(SUBSTITUTE(SUBSTITUTE(SUBSTITUTE(_xlpm.title,"•"," "),CHAR(160)," "),CHAR(10)," "),"  "," ")), LOWER(_xlpm.yr&amp;"|"&amp;_xlpm.base))</f>
        <v>2014|dysfonction érectile</v>
      </c>
      <c r="K172" t="str">
        <f>LOWER($B172 &amp; "|" &amp; $O172)</f>
        <v>2014|dysfonction érectile</v>
      </c>
      <c r="L172" t="str" cm="1">
        <f t="array" ref="L172">_xlfn.LET(_xlpm.base, " " &amp; LOWER(TRIM(IFERROR(_xlfn.TEXTBEFORE($C172,"["), $C172))) &amp; " ", _xlpm.s1, SUBSTITUTE(_xlpm.base, " fa ", " fibrillation auriculaire "), _xlpm.s2, SUBSTITUTE(_xlpm.s1, " ep ", " embolie pulmonaire "), _xlpm.s3, SUBSTITUTE(_xlpm.s2, " rgo ", " reflux gastro-oesophagien "), TRIM(_xlpm.s3))</f>
        <v>dysfonction érectile</v>
      </c>
      <c r="M172" t="str" cm="1">
        <f t="array" ref="M172">_xlfn.LET(_xlpm.base, " " &amp; LOWER(TRIM($L172)) &amp; " ", _xlpm.s1, SUBSTITUTE(_xlpm.base, " saos ", " syndrome d'apnees obstructives du sommeil "), _xlpm.s2, SUBSTITUTE(_xlpm.s1, " oacr ", " occlusion de l'artere centrale de la retine "), _xlpm.s3, SUBSTITUTE(_xlpm.s2, " hsd ", " hematome sous-dural "), TRIM(_xlpm.s3))</f>
        <v>dysfonction érectile</v>
      </c>
      <c r="N172" t="str" cm="1">
        <f t="array" ref="N172">_xlfn.LET(_xlpm.base, " " &amp; LOWER(TRIM($M172))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dysfonction érectile</v>
      </c>
      <c r="O172" t="str" cm="1">
        <f t="array" ref="O172">_xlfn.LET(_xlpm.base, " " &amp; LOWER(TRIM($N172))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dysfonction érectile</v>
      </c>
    </row>
    <row r="173" spans="1:15" ht="138">
      <c r="A173" s="44" t="s">
        <v>1847</v>
      </c>
      <c r="B173" s="44">
        <v>2016</v>
      </c>
      <c r="C173" s="46" t="s">
        <v>1861</v>
      </c>
      <c r="D173" s="46" t="s">
        <v>1862</v>
      </c>
      <c r="E173" s="46" t="s">
        <v>1863</v>
      </c>
      <c r="F173" s="46" t="s">
        <v>1864</v>
      </c>
      <c r="G173" s="46" t="s">
        <v>1865</v>
      </c>
      <c r="H173" s="46" t="s">
        <v>1866</v>
      </c>
      <c r="I173" s="46" t="s">
        <v>1867</v>
      </c>
      <c r="J173" t="str" cm="1">
        <f t="array" ref="J173">_xlfn.LET(_xlpm.yr, B173, _xlpm.title, IFERROR(_xlfn.TEXTBEFORE(C173,"["), C173), _xlpm.base, TRIM(SUBSTITUTE(SUBSTITUTE(SUBSTITUTE(SUBSTITUTE(_xlpm.title,"•"," "),CHAR(160)," "),CHAR(10)," "),"  "," ")), LOWER(_xlpm.yr&amp;"|"&amp;_xlpm.base))</f>
        <v>2016|cancer vésical cf cas 2 usmle</v>
      </c>
      <c r="K173" t="str">
        <f>LOWER($B173 &amp; "|" &amp; $O173)</f>
        <v>2016|cancer vésical • cf cas 2 usmle</v>
      </c>
      <c r="L173" t="str" cm="1">
        <f t="array" ref="L173">_xlfn.LET(_xlpm.base, " " &amp; LOWER(TRIM(IFERROR(_xlfn.TEXTBEFORE($C173,"["), $C173))) &amp; " ", _xlpm.s1, SUBSTITUTE(_xlpm.base, " fa ", " fibrillation auriculaire "), _xlpm.s2, SUBSTITUTE(_xlpm.s1, " ep ", " embolie pulmonaire "), _xlpm.s3, SUBSTITUTE(_xlpm.s2, " rgo ", " reflux gastro-oesophagien "), TRIM(_xlpm.s3))</f>
        <v>cancer vésical • cf cas 2 usmle</v>
      </c>
      <c r="M173" t="str" cm="1">
        <f t="array" ref="M173">_xlfn.LET(_xlpm.base, " " &amp; LOWER(TRIM($L173)) &amp; " ", _xlpm.s1, SUBSTITUTE(_xlpm.base, " saos ", " syndrome d'apnees obstructives du sommeil "), _xlpm.s2, SUBSTITUTE(_xlpm.s1, " oacr ", " occlusion de l'artere centrale de la retine "), _xlpm.s3, SUBSTITUTE(_xlpm.s2, " hsd ", " hematome sous-dural "), TRIM(_xlpm.s3))</f>
        <v>cancer vésical • cf cas 2 usmle</v>
      </c>
      <c r="N173" t="str" cm="1">
        <f t="array" ref="N173">_xlfn.LET(_xlpm.base, " " &amp; LOWER(TRIM($M173))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cancer vésical • cf cas 2 usmle</v>
      </c>
      <c r="O173" t="str" cm="1">
        <f t="array" ref="O173">_xlfn.LET(_xlpm.base, " " &amp; LOWER(TRIM($N173))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cancer vésical • cf cas 2 usmle</v>
      </c>
    </row>
    <row r="174" spans="1:15" ht="68.25">
      <c r="A174" s="44" t="s">
        <v>1847</v>
      </c>
      <c r="B174" s="44">
        <v>2017</v>
      </c>
      <c r="C174" s="46" t="s">
        <v>161</v>
      </c>
      <c r="D174" s="46" t="s">
        <v>1868</v>
      </c>
      <c r="E174" s="46" t="s">
        <v>1869</v>
      </c>
      <c r="F174" s="46" t="s">
        <v>749</v>
      </c>
      <c r="G174" s="46" t="s">
        <v>419</v>
      </c>
      <c r="H174" s="46" t="s">
        <v>1870</v>
      </c>
      <c r="I174" s="46" t="s">
        <v>750</v>
      </c>
      <c r="J174" t="str" cm="1">
        <f t="array" ref="J174">_xlfn.LET(_xlpm.yr, B174, _xlpm.title, IFERROR(_xlfn.TEXTBEFORE(C174,"["), C174), _xlpm.base, TRIM(SUBSTITUTE(SUBSTITUTE(SUBSTITUTE(SUBSTITUTE(_xlpm.title,"•"," "),CHAR(160)," "),CHAR(10)," "),"  "," ")), LOWER(_xlpm.yr&amp;"|"&amp;_xlpm.base))</f>
        <v>2017|prostatite</v>
      </c>
      <c r="K174" t="str">
        <f>LOWER($B174 &amp; "|" &amp; $O174)</f>
        <v>2017|prostatite</v>
      </c>
      <c r="L174" t="str" cm="1">
        <f t="array" ref="L174">_xlfn.LET(_xlpm.base, " " &amp; LOWER(TRIM(IFERROR(_xlfn.TEXTBEFORE($C174,"["), $C174))) &amp; " ", _xlpm.s1, SUBSTITUTE(_xlpm.base, " fa ", " fibrillation auriculaire "), _xlpm.s2, SUBSTITUTE(_xlpm.s1, " ep ", " embolie pulmonaire "), _xlpm.s3, SUBSTITUTE(_xlpm.s2, " rgo ", " reflux gastro-oesophagien "), TRIM(_xlpm.s3))</f>
        <v>prostatite</v>
      </c>
      <c r="M174" t="str" cm="1">
        <f t="array" ref="M174">_xlfn.LET(_xlpm.base, " " &amp; LOWER(TRIM($L174)) &amp; " ", _xlpm.s1, SUBSTITUTE(_xlpm.base, " saos ", " syndrome d'apnees obstructives du sommeil "), _xlpm.s2, SUBSTITUTE(_xlpm.s1, " oacr ", " occlusion de l'artere centrale de la retine "), _xlpm.s3, SUBSTITUTE(_xlpm.s2, " hsd ", " hematome sous-dural "), TRIM(_xlpm.s3))</f>
        <v>prostatite</v>
      </c>
      <c r="N174" t="str" cm="1">
        <f t="array" ref="N174">_xlfn.LET(_xlpm.base, " " &amp; LOWER(TRIM($M174))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prostatite</v>
      </c>
      <c r="O174" t="str" cm="1">
        <f t="array" ref="O174">_xlfn.LET(_xlpm.base, " " &amp; LOWER(TRIM($N174))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prostatite</v>
      </c>
    </row>
    <row r="175" spans="1:15" ht="179.25">
      <c r="A175" s="44" t="s">
        <v>1847</v>
      </c>
      <c r="B175" s="44">
        <v>2017</v>
      </c>
      <c r="C175" s="45" t="s">
        <v>152</v>
      </c>
      <c r="D175" s="45"/>
      <c r="E175" s="46" t="s">
        <v>744</v>
      </c>
      <c r="F175" s="46" t="s">
        <v>745</v>
      </c>
      <c r="G175" s="46"/>
      <c r="H175" s="46" t="s">
        <v>1871</v>
      </c>
      <c r="I175" s="46" t="s">
        <v>746</v>
      </c>
      <c r="J175" t="str" cm="1">
        <f t="array" ref="J175">_xlfn.LET(_xlpm.yr, B175, _xlpm.title, IFERROR(_xlfn.TEXTBEFORE(C175,"["), C175), _xlpm.base, TRIM(SUBSTITUTE(SUBSTITUTE(SUBSTITUTE(SUBSTITUTE(_xlpm.title,"•"," "),CHAR(160)," "),CHAR(10)," "),"  "," ")), LOWER(_xlpm.yr&amp;"|"&amp;_xlpm.base))</f>
        <v>2017|incontinence urinaire</v>
      </c>
      <c r="K175" t="str">
        <f>LOWER($B175 &amp; "|" &amp; $O175)</f>
        <v>2017|incontinence urinaire</v>
      </c>
      <c r="L175" t="str" cm="1">
        <f t="array" ref="L175">_xlfn.LET(_xlpm.base, " " &amp; LOWER(TRIM(IFERROR(_xlfn.TEXTBEFORE($C175,"["), $C175))) &amp; " ", _xlpm.s1, SUBSTITUTE(_xlpm.base, " fa ", " fibrillation auriculaire "), _xlpm.s2, SUBSTITUTE(_xlpm.s1, " ep ", " embolie pulmonaire "), _xlpm.s3, SUBSTITUTE(_xlpm.s2, " rgo ", " reflux gastro-oesophagien "), TRIM(_xlpm.s3))</f>
        <v>incontinence urinaire</v>
      </c>
      <c r="M175" t="str" cm="1">
        <f t="array" ref="M175">_xlfn.LET(_xlpm.base, " " &amp; LOWER(TRIM($L175)) &amp; " ", _xlpm.s1, SUBSTITUTE(_xlpm.base, " saos ", " syndrome d'apnees obstructives du sommeil "), _xlpm.s2, SUBSTITUTE(_xlpm.s1, " oacr ", " occlusion de l'artere centrale de la retine "), _xlpm.s3, SUBSTITUTE(_xlpm.s2, " hsd ", " hematome sous-dural "), TRIM(_xlpm.s3))</f>
        <v>incontinence urinaire</v>
      </c>
      <c r="N175" t="str" cm="1">
        <f t="array" ref="N175">_xlfn.LET(_xlpm.base, " " &amp; LOWER(TRIM($M175)) &amp; " ", _xlpm.s1, SUBSTITUTE(_xlpm.base, " ic ", " insuffisance cardiaque "), _xlpm.s2, SUBSTITUTE(_xlpm.s1, " avc ", " accident vasculaire cerebral "), _xlpm.s3, SUBSTITUTE(_xlpm.s2, " hsa ", " hemorragie sous-arachnoidienne "), _xlpm.s4, SUBSTITUTE(_xlpm.s3, " htp ", " hypertension pulmonaire "), _xlpm.s5, SUBSTITUTE(_xlpm.s4, " bpco ", " bronchopneumopathie chronique obstructive "), _xlpm.s6, SUBSTITUTE(_xlpm.s5, " dmla ", " degenerescence maculaire liee a l age "), TRIM(_xlpm.s6))</f>
        <v>incontinence urinaire</v>
      </c>
      <c r="O175" t="str" cm="1">
        <f t="array" ref="O175">_xlfn.LET(_xlpm.base, " " &amp; LOWER(TRIM($N175)) &amp; " ", _xlpm.s1, SUBSTITUTE(_xlpm.base, " omi ", " oedemes des membres inferieurs "), _xlpm.s2, SUBSTITUTE(_xlpm.s1, " idm ", " infarctus du myocarde "), _xlpm.s3, SUBSTITUTE(_xlpm.s2, " tvp ", " thrombose veineuse profonde "), _xlpm.s4, SUBSTITUTE(_xlpm.s3, " geu ", " grossesse extra-uterine "), _xlpm.s5, SUBSTITUTE(_xlpm.s4, " fuo ", " fievre d origine indeterminee "), TRIM(_xlpm.s5))</f>
        <v>incontinence urinaire</v>
      </c>
    </row>
  </sheetData>
  <mergeCells count="93">
    <mergeCell ref="C175:D175"/>
    <mergeCell ref="D164:F164"/>
    <mergeCell ref="F167:G167"/>
    <mergeCell ref="C168:D168"/>
    <mergeCell ref="C169:D169"/>
    <mergeCell ref="C171:D171"/>
    <mergeCell ref="C172:D172"/>
    <mergeCell ref="D153:I153"/>
    <mergeCell ref="D158:I158"/>
    <mergeCell ref="D159:I159"/>
    <mergeCell ref="D160:E160"/>
    <mergeCell ref="D162:G162"/>
    <mergeCell ref="D163:I163"/>
    <mergeCell ref="G142:H142"/>
    <mergeCell ref="C144:D144"/>
    <mergeCell ref="D145:G145"/>
    <mergeCell ref="F147:G147"/>
    <mergeCell ref="H148:I148"/>
    <mergeCell ref="E150:F150"/>
    <mergeCell ref="E135:F135"/>
    <mergeCell ref="C136:D136"/>
    <mergeCell ref="D137:E137"/>
    <mergeCell ref="E138:F138"/>
    <mergeCell ref="D139:H139"/>
    <mergeCell ref="F141:H141"/>
    <mergeCell ref="D115:F115"/>
    <mergeCell ref="D116:E116"/>
    <mergeCell ref="C131:D131"/>
    <mergeCell ref="C133:D133"/>
    <mergeCell ref="E133:H133"/>
    <mergeCell ref="C134:D134"/>
    <mergeCell ref="H134:I134"/>
    <mergeCell ref="F102:G102"/>
    <mergeCell ref="D104:E104"/>
    <mergeCell ref="C108:D108"/>
    <mergeCell ref="F109:H109"/>
    <mergeCell ref="C110:D110"/>
    <mergeCell ref="C111:D111"/>
    <mergeCell ref="F111:G111"/>
    <mergeCell ref="F92:G92"/>
    <mergeCell ref="F94:G94"/>
    <mergeCell ref="C97:D97"/>
    <mergeCell ref="F97:G97"/>
    <mergeCell ref="D99:I99"/>
    <mergeCell ref="F101:G101"/>
    <mergeCell ref="F79:G79"/>
    <mergeCell ref="D80:E80"/>
    <mergeCell ref="D87:E87"/>
    <mergeCell ref="D89:E89"/>
    <mergeCell ref="D90:I90"/>
    <mergeCell ref="D91:F91"/>
    <mergeCell ref="C62:D62"/>
    <mergeCell ref="D63:H63"/>
    <mergeCell ref="D69:I69"/>
    <mergeCell ref="D70:E70"/>
    <mergeCell ref="C71:D71"/>
    <mergeCell ref="D72:I72"/>
    <mergeCell ref="D54:G54"/>
    <mergeCell ref="D55:I55"/>
    <mergeCell ref="C57:E57"/>
    <mergeCell ref="D58:I58"/>
    <mergeCell ref="H59:I59"/>
    <mergeCell ref="D60:G60"/>
    <mergeCell ref="D38:F38"/>
    <mergeCell ref="E39:G39"/>
    <mergeCell ref="E43:F43"/>
    <mergeCell ref="C45:D45"/>
    <mergeCell ref="D48:I48"/>
    <mergeCell ref="D52:H52"/>
    <mergeCell ref="D32:I32"/>
    <mergeCell ref="E33:H33"/>
    <mergeCell ref="D34:F34"/>
    <mergeCell ref="E35:I35"/>
    <mergeCell ref="F36:I36"/>
    <mergeCell ref="D37:I37"/>
    <mergeCell ref="D14:E14"/>
    <mergeCell ref="D17:G17"/>
    <mergeCell ref="E19:F19"/>
    <mergeCell ref="F29:G29"/>
    <mergeCell ref="C30:D30"/>
    <mergeCell ref="F31:H31"/>
    <mergeCell ref="C8:D8"/>
    <mergeCell ref="D9:E9"/>
    <mergeCell ref="E10:F10"/>
    <mergeCell ref="D11:I11"/>
    <mergeCell ref="D12:E12"/>
    <mergeCell ref="F13:G13"/>
    <mergeCell ref="C2:D2"/>
    <mergeCell ref="F4:G4"/>
    <mergeCell ref="E5:F5"/>
    <mergeCell ref="C6:D6"/>
    <mergeCell ref="F6:G6"/>
    <mergeCell ref="F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D02B-A814-4E82-810B-82E83C3C683C}">
  <dimension ref="A1:L375"/>
  <sheetViews>
    <sheetView topLeftCell="C362" workbookViewId="0">
      <selection activeCell="E369" sqref="E369"/>
    </sheetView>
  </sheetViews>
  <sheetFormatPr defaultRowHeight="15"/>
  <cols>
    <col min="5" max="5" width="59.5703125" bestFit="1" customWidth="1"/>
    <col min="9" max="9" width="176.85546875" bestFit="1" customWidth="1"/>
    <col min="10" max="10" width="255.5703125" bestFit="1" customWidth="1"/>
  </cols>
  <sheetData>
    <row r="1" spans="1:12">
      <c r="A1" s="35" t="s">
        <v>0</v>
      </c>
      <c r="B1" s="36" t="s">
        <v>1</v>
      </c>
      <c r="C1" s="36" t="s">
        <v>1</v>
      </c>
      <c r="D1" s="35" t="s">
        <v>2</v>
      </c>
      <c r="E1" s="36" t="s">
        <v>4</v>
      </c>
      <c r="F1" s="37" t="s">
        <v>6</v>
      </c>
      <c r="G1" s="38" t="s">
        <v>7</v>
      </c>
      <c r="H1" s="38" t="s">
        <v>8</v>
      </c>
      <c r="I1" s="39" t="s">
        <v>9</v>
      </c>
      <c r="J1" s="40" t="s">
        <v>10</v>
      </c>
      <c r="K1" s="40" t="s">
        <v>11</v>
      </c>
      <c r="L1" s="40" t="s">
        <v>12</v>
      </c>
    </row>
    <row r="2" spans="1:12">
      <c r="A2" s="28">
        <v>2011</v>
      </c>
      <c r="B2" s="29" t="s">
        <v>1872</v>
      </c>
      <c r="C2" s="30" t="s">
        <v>32</v>
      </c>
      <c r="D2" s="28" t="s">
        <v>33</v>
      </c>
      <c r="E2" s="29" t="s">
        <v>1873</v>
      </c>
      <c r="F2" s="30" t="s">
        <v>35</v>
      </c>
      <c r="G2" s="34" t="s">
        <v>35</v>
      </c>
      <c r="H2" s="34" t="s">
        <v>33</v>
      </c>
      <c r="I2" s="31" t="s">
        <v>1874</v>
      </c>
      <c r="J2" s="32" t="s">
        <v>37</v>
      </c>
      <c r="K2" s="32" t="s">
        <v>33</v>
      </c>
      <c r="L2" s="32" t="s">
        <v>33</v>
      </c>
    </row>
    <row r="3" spans="1:12">
      <c r="A3" s="28">
        <v>2011</v>
      </c>
      <c r="B3" s="29" t="s">
        <v>1875</v>
      </c>
      <c r="C3" s="30" t="s">
        <v>32</v>
      </c>
      <c r="D3" s="28" t="s">
        <v>33</v>
      </c>
      <c r="E3" s="29" t="s">
        <v>289</v>
      </c>
      <c r="F3" s="30" t="s">
        <v>1876</v>
      </c>
      <c r="G3" s="34" t="s">
        <v>38</v>
      </c>
      <c r="H3" s="34" t="s">
        <v>33</v>
      </c>
      <c r="I3" s="31" t="s">
        <v>39</v>
      </c>
      <c r="J3" s="32" t="s">
        <v>1877</v>
      </c>
      <c r="K3" s="32" t="s">
        <v>33</v>
      </c>
      <c r="L3" s="32" t="s">
        <v>33</v>
      </c>
    </row>
    <row r="4" spans="1:12">
      <c r="A4" s="28">
        <v>2011</v>
      </c>
      <c r="B4" s="29" t="s">
        <v>1878</v>
      </c>
      <c r="C4" s="30" t="s">
        <v>141</v>
      </c>
      <c r="D4" s="28" t="s">
        <v>33</v>
      </c>
      <c r="E4" s="29" t="s">
        <v>148</v>
      </c>
      <c r="F4" s="30" t="s">
        <v>1879</v>
      </c>
      <c r="G4" s="34" t="s">
        <v>42</v>
      </c>
      <c r="H4" s="34" t="s">
        <v>43</v>
      </c>
      <c r="I4" s="31" t="s">
        <v>44</v>
      </c>
      <c r="J4" s="32" t="s">
        <v>45</v>
      </c>
      <c r="K4" s="32" t="s">
        <v>33</v>
      </c>
      <c r="L4" s="32" t="s">
        <v>33</v>
      </c>
    </row>
    <row r="5" spans="1:12">
      <c r="A5" s="28">
        <v>2011</v>
      </c>
      <c r="B5" s="29" t="s">
        <v>1875</v>
      </c>
      <c r="C5" s="30" t="s">
        <v>32</v>
      </c>
      <c r="D5" s="28" t="s">
        <v>33</v>
      </c>
      <c r="E5" s="29" t="s">
        <v>1880</v>
      </c>
      <c r="F5" s="30" t="s">
        <v>50</v>
      </c>
      <c r="G5" s="34" t="s">
        <v>50</v>
      </c>
      <c r="H5" s="34" t="s">
        <v>33</v>
      </c>
      <c r="I5" s="31" t="s">
        <v>48</v>
      </c>
      <c r="J5" s="32" t="s">
        <v>49</v>
      </c>
      <c r="K5" s="32" t="s">
        <v>33</v>
      </c>
      <c r="L5" s="32" t="s">
        <v>33</v>
      </c>
    </row>
    <row r="6" spans="1:12">
      <c r="A6" s="28">
        <v>2011</v>
      </c>
      <c r="B6" s="29" t="s">
        <v>1215</v>
      </c>
      <c r="C6" s="30" t="s">
        <v>51</v>
      </c>
      <c r="D6" s="28" t="s">
        <v>33</v>
      </c>
      <c r="E6" s="29" t="s">
        <v>1881</v>
      </c>
      <c r="F6" s="30" t="s">
        <v>52</v>
      </c>
      <c r="G6" s="34" t="s">
        <v>52</v>
      </c>
      <c r="H6" s="34" t="s">
        <v>33</v>
      </c>
      <c r="I6" s="31" t="s">
        <v>53</v>
      </c>
      <c r="J6" s="32" t="s">
        <v>54</v>
      </c>
      <c r="K6" s="32" t="s">
        <v>33</v>
      </c>
      <c r="L6" s="32" t="s">
        <v>33</v>
      </c>
    </row>
    <row r="7" spans="1:12">
      <c r="A7" s="28">
        <v>2011</v>
      </c>
      <c r="B7" s="29" t="s">
        <v>1882</v>
      </c>
      <c r="C7" s="30" t="s">
        <v>141</v>
      </c>
      <c r="D7" s="28" t="s">
        <v>55</v>
      </c>
      <c r="E7" s="29" t="s">
        <v>58</v>
      </c>
      <c r="F7" s="30" t="s">
        <v>57</v>
      </c>
      <c r="G7" s="34" t="s">
        <v>57</v>
      </c>
      <c r="H7" s="34" t="s">
        <v>33</v>
      </c>
      <c r="I7" s="31" t="s">
        <v>58</v>
      </c>
      <c r="J7" s="32" t="s">
        <v>59</v>
      </c>
      <c r="K7" s="32" t="s">
        <v>33</v>
      </c>
      <c r="L7" s="32" t="s">
        <v>33</v>
      </c>
    </row>
    <row r="8" spans="1:12">
      <c r="A8" s="28">
        <v>2011</v>
      </c>
      <c r="B8" s="29" t="s">
        <v>1297</v>
      </c>
      <c r="C8" s="30" t="s">
        <v>60</v>
      </c>
      <c r="D8" s="28" t="s">
        <v>33</v>
      </c>
      <c r="E8" s="29" t="s">
        <v>1883</v>
      </c>
      <c r="F8" s="30" t="s">
        <v>1884</v>
      </c>
      <c r="G8" s="34" t="s">
        <v>63</v>
      </c>
      <c r="H8" s="34" t="s">
        <v>33</v>
      </c>
      <c r="I8" s="31" t="s">
        <v>62</v>
      </c>
      <c r="J8" s="32" t="s">
        <v>33</v>
      </c>
      <c r="K8" s="32" t="s">
        <v>33</v>
      </c>
      <c r="L8" s="32" t="s">
        <v>33</v>
      </c>
    </row>
    <row r="9" spans="1:12">
      <c r="A9" s="28">
        <v>2011</v>
      </c>
      <c r="B9" s="29" t="s">
        <v>1885</v>
      </c>
      <c r="C9" s="30" t="s">
        <v>68</v>
      </c>
      <c r="D9" s="28" t="s">
        <v>33</v>
      </c>
      <c r="E9" s="29" t="s">
        <v>1886</v>
      </c>
      <c r="F9" s="30" t="s">
        <v>66</v>
      </c>
      <c r="G9" s="34" t="s">
        <v>66</v>
      </c>
      <c r="H9" s="34" t="s">
        <v>33</v>
      </c>
      <c r="I9" s="31" t="s">
        <v>67</v>
      </c>
      <c r="J9" s="32" t="s">
        <v>33</v>
      </c>
      <c r="K9" s="32" t="s">
        <v>33</v>
      </c>
      <c r="L9" s="32" t="s">
        <v>33</v>
      </c>
    </row>
    <row r="10" spans="1:12">
      <c r="A10" s="28">
        <v>2011</v>
      </c>
      <c r="B10" s="29" t="s">
        <v>1885</v>
      </c>
      <c r="C10" s="30" t="s">
        <v>68</v>
      </c>
      <c r="D10" s="28" t="s">
        <v>33</v>
      </c>
      <c r="E10" s="29" t="s">
        <v>1887</v>
      </c>
      <c r="F10" s="30" t="s">
        <v>1888</v>
      </c>
      <c r="G10" s="34" t="s">
        <v>70</v>
      </c>
      <c r="H10" s="34" t="s">
        <v>33</v>
      </c>
      <c r="I10" s="31" t="s">
        <v>71</v>
      </c>
      <c r="J10" s="32" t="s">
        <v>33</v>
      </c>
      <c r="K10" s="32" t="s">
        <v>33</v>
      </c>
      <c r="L10" s="32" t="s">
        <v>33</v>
      </c>
    </row>
    <row r="11" spans="1:12">
      <c r="A11" s="28">
        <v>2011</v>
      </c>
      <c r="B11" s="29" t="s">
        <v>1889</v>
      </c>
      <c r="C11" s="30" t="s">
        <v>91</v>
      </c>
      <c r="D11" s="28" t="s">
        <v>33</v>
      </c>
      <c r="E11" s="29" t="s">
        <v>1890</v>
      </c>
      <c r="F11" s="30" t="s">
        <v>1891</v>
      </c>
      <c r="G11" s="34" t="s">
        <v>73</v>
      </c>
      <c r="H11" s="34" t="s">
        <v>74</v>
      </c>
      <c r="I11" s="31" t="s">
        <v>75</v>
      </c>
      <c r="J11" s="32" t="s">
        <v>76</v>
      </c>
      <c r="K11" s="32" t="s">
        <v>33</v>
      </c>
      <c r="L11" s="32" t="s">
        <v>33</v>
      </c>
    </row>
    <row r="12" spans="1:12">
      <c r="A12" s="28">
        <v>2011</v>
      </c>
      <c r="B12" s="29" t="s">
        <v>1885</v>
      </c>
      <c r="C12" s="30" t="s">
        <v>91</v>
      </c>
      <c r="D12" s="28" t="s">
        <v>33</v>
      </c>
      <c r="E12" s="29" t="s">
        <v>1892</v>
      </c>
      <c r="F12" s="30" t="s">
        <v>1893</v>
      </c>
      <c r="G12" s="34" t="s">
        <v>81</v>
      </c>
      <c r="H12" s="34" t="s">
        <v>33</v>
      </c>
      <c r="I12" s="31" t="s">
        <v>79</v>
      </c>
      <c r="J12" s="32" t="s">
        <v>80</v>
      </c>
      <c r="K12" s="32" t="s">
        <v>33</v>
      </c>
      <c r="L12" s="32" t="s">
        <v>33</v>
      </c>
    </row>
    <row r="13" spans="1:12">
      <c r="A13" s="28">
        <v>2011</v>
      </c>
      <c r="B13" s="29" t="s">
        <v>1885</v>
      </c>
      <c r="C13" s="30" t="s">
        <v>68</v>
      </c>
      <c r="D13" s="28" t="s">
        <v>33</v>
      </c>
      <c r="E13" s="29" t="s">
        <v>1892</v>
      </c>
      <c r="F13" s="30" t="s">
        <v>84</v>
      </c>
      <c r="G13" s="34" t="s">
        <v>84</v>
      </c>
      <c r="H13" s="34" t="s">
        <v>33</v>
      </c>
      <c r="I13" s="31" t="s">
        <v>85</v>
      </c>
      <c r="J13" s="32" t="s">
        <v>86</v>
      </c>
      <c r="K13" s="32" t="s">
        <v>33</v>
      </c>
      <c r="L13" s="32" t="s">
        <v>33</v>
      </c>
    </row>
    <row r="14" spans="1:12">
      <c r="A14" s="28">
        <v>2011</v>
      </c>
      <c r="B14" s="29" t="s">
        <v>1894</v>
      </c>
      <c r="C14" s="30" t="s">
        <v>87</v>
      </c>
      <c r="D14" s="28" t="s">
        <v>33</v>
      </c>
      <c r="E14" s="29" t="s">
        <v>1892</v>
      </c>
      <c r="F14" s="30" t="s">
        <v>88</v>
      </c>
      <c r="G14" s="34" t="s">
        <v>88</v>
      </c>
      <c r="H14" s="34" t="s">
        <v>33</v>
      </c>
      <c r="I14" s="31" t="s">
        <v>89</v>
      </c>
      <c r="J14" s="32" t="s">
        <v>90</v>
      </c>
      <c r="K14" s="32" t="s">
        <v>33</v>
      </c>
      <c r="L14" s="32" t="s">
        <v>33</v>
      </c>
    </row>
    <row r="15" spans="1:12">
      <c r="A15" s="28">
        <v>2011</v>
      </c>
      <c r="B15" s="29" t="s">
        <v>1894</v>
      </c>
      <c r="C15" s="30" t="s">
        <v>91</v>
      </c>
      <c r="D15" s="28" t="s">
        <v>33</v>
      </c>
      <c r="E15" s="29" t="s">
        <v>1892</v>
      </c>
      <c r="F15" s="30" t="s">
        <v>1895</v>
      </c>
      <c r="G15" s="34" t="s">
        <v>93</v>
      </c>
      <c r="H15" s="34" t="s">
        <v>33</v>
      </c>
      <c r="I15" s="31" t="s">
        <v>94</v>
      </c>
      <c r="J15" s="32" t="s">
        <v>95</v>
      </c>
      <c r="K15" s="32" t="s">
        <v>33</v>
      </c>
      <c r="L15" s="32" t="s">
        <v>33</v>
      </c>
    </row>
    <row r="16" spans="1:12">
      <c r="A16" s="28">
        <v>2011</v>
      </c>
      <c r="B16" s="29" t="s">
        <v>1896</v>
      </c>
      <c r="C16" s="30" t="s">
        <v>91</v>
      </c>
      <c r="D16" s="28" t="s">
        <v>33</v>
      </c>
      <c r="E16" s="29" t="s">
        <v>1897</v>
      </c>
      <c r="F16" s="30" t="s">
        <v>1898</v>
      </c>
      <c r="G16" s="34" t="s">
        <v>97</v>
      </c>
      <c r="H16" s="34" t="s">
        <v>33</v>
      </c>
      <c r="I16" s="31" t="s">
        <v>98</v>
      </c>
      <c r="J16" s="32" t="s">
        <v>99</v>
      </c>
      <c r="K16" s="32" t="s">
        <v>33</v>
      </c>
      <c r="L16" s="32" t="s">
        <v>33</v>
      </c>
    </row>
    <row r="17" spans="1:12">
      <c r="A17" s="28">
        <v>2011</v>
      </c>
      <c r="B17" s="29" t="s">
        <v>1546</v>
      </c>
      <c r="C17" s="30" t="s">
        <v>100</v>
      </c>
      <c r="D17" s="28" t="s">
        <v>33</v>
      </c>
      <c r="E17" s="29" t="s">
        <v>1899</v>
      </c>
      <c r="F17" s="30" t="s">
        <v>105</v>
      </c>
      <c r="G17" s="34" t="s">
        <v>105</v>
      </c>
      <c r="H17" s="34" t="s">
        <v>33</v>
      </c>
      <c r="I17" s="31" t="s">
        <v>103</v>
      </c>
      <c r="J17" s="32" t="s">
        <v>104</v>
      </c>
      <c r="K17" s="32" t="s">
        <v>33</v>
      </c>
      <c r="L17" s="32" t="s">
        <v>33</v>
      </c>
    </row>
    <row r="18" spans="1:12">
      <c r="A18" s="28">
        <v>2011</v>
      </c>
      <c r="B18" s="29" t="s">
        <v>1546</v>
      </c>
      <c r="C18" s="30" t="s">
        <v>100</v>
      </c>
      <c r="D18" s="28" t="s">
        <v>33</v>
      </c>
      <c r="E18" s="29" t="s">
        <v>1900</v>
      </c>
      <c r="F18" s="30" t="s">
        <v>1901</v>
      </c>
      <c r="G18" s="34" t="s">
        <v>107</v>
      </c>
      <c r="H18" s="34" t="s">
        <v>33</v>
      </c>
      <c r="I18" s="31" t="s">
        <v>108</v>
      </c>
      <c r="J18" s="32" t="s">
        <v>33</v>
      </c>
      <c r="K18" s="32" t="s">
        <v>33</v>
      </c>
      <c r="L18" s="32" t="s">
        <v>33</v>
      </c>
    </row>
    <row r="19" spans="1:12">
      <c r="A19" s="28">
        <v>2011</v>
      </c>
      <c r="B19" s="29" t="s">
        <v>1546</v>
      </c>
      <c r="C19" s="30" t="s">
        <v>100</v>
      </c>
      <c r="D19" s="28" t="s">
        <v>33</v>
      </c>
      <c r="E19" s="29" t="s">
        <v>1902</v>
      </c>
      <c r="F19" s="30" t="s">
        <v>110</v>
      </c>
      <c r="G19" s="34" t="s">
        <v>110</v>
      </c>
      <c r="H19" s="34" t="s">
        <v>33</v>
      </c>
      <c r="I19" s="31" t="s">
        <v>111</v>
      </c>
      <c r="J19" s="32" t="s">
        <v>112</v>
      </c>
      <c r="K19" s="32" t="s">
        <v>33</v>
      </c>
      <c r="L19" s="32" t="s">
        <v>33</v>
      </c>
    </row>
    <row r="20" spans="1:12">
      <c r="A20" s="28">
        <v>2011</v>
      </c>
      <c r="B20" s="29" t="s">
        <v>1546</v>
      </c>
      <c r="C20" s="30" t="s">
        <v>100</v>
      </c>
      <c r="D20" s="28" t="s">
        <v>33</v>
      </c>
      <c r="E20" s="29" t="s">
        <v>1900</v>
      </c>
      <c r="F20" s="30" t="s">
        <v>1901</v>
      </c>
      <c r="G20" s="34" t="s">
        <v>113</v>
      </c>
      <c r="H20" s="34" t="s">
        <v>33</v>
      </c>
      <c r="I20" s="31" t="s">
        <v>108</v>
      </c>
      <c r="J20" s="42" t="s">
        <v>114</v>
      </c>
      <c r="K20" s="42"/>
      <c r="L20" s="42"/>
    </row>
    <row r="21" spans="1:12">
      <c r="A21" s="28">
        <v>2011</v>
      </c>
      <c r="B21" s="29" t="s">
        <v>1903</v>
      </c>
      <c r="C21" s="30" t="s">
        <v>82</v>
      </c>
      <c r="D21" s="28" t="s">
        <v>33</v>
      </c>
      <c r="E21" s="29" t="s">
        <v>1902</v>
      </c>
      <c r="F21" s="30" t="s">
        <v>1904</v>
      </c>
      <c r="G21" s="34" t="s">
        <v>120</v>
      </c>
      <c r="H21" s="34" t="s">
        <v>33</v>
      </c>
      <c r="I21" s="31" t="s">
        <v>118</v>
      </c>
      <c r="J21" s="32" t="s">
        <v>119</v>
      </c>
      <c r="K21" s="32" t="s">
        <v>33</v>
      </c>
      <c r="L21" s="32" t="s">
        <v>33</v>
      </c>
    </row>
    <row r="22" spans="1:12">
      <c r="A22" s="28">
        <v>2011</v>
      </c>
      <c r="B22" s="29" t="s">
        <v>1564</v>
      </c>
      <c r="C22" s="30" t="s">
        <v>91</v>
      </c>
      <c r="D22" s="28" t="s">
        <v>33</v>
      </c>
      <c r="E22" s="29" t="s">
        <v>945</v>
      </c>
      <c r="F22" s="30" t="s">
        <v>1905</v>
      </c>
      <c r="G22" s="34" t="s">
        <v>122</v>
      </c>
      <c r="H22" s="34" t="s">
        <v>33</v>
      </c>
      <c r="I22" s="31" t="s">
        <v>33</v>
      </c>
      <c r="J22" s="32" t="s">
        <v>33</v>
      </c>
      <c r="K22" s="32" t="s">
        <v>33</v>
      </c>
      <c r="L22" s="32" t="s">
        <v>33</v>
      </c>
    </row>
    <row r="23" spans="1:12">
      <c r="A23" s="28">
        <v>2011</v>
      </c>
      <c r="B23" s="29" t="s">
        <v>1906</v>
      </c>
      <c r="C23" s="30" t="s">
        <v>60</v>
      </c>
      <c r="D23" s="28" t="s">
        <v>33</v>
      </c>
      <c r="E23" s="29" t="s">
        <v>1883</v>
      </c>
      <c r="F23" s="30" t="s">
        <v>1907</v>
      </c>
      <c r="G23" s="34" t="s">
        <v>1908</v>
      </c>
      <c r="H23" s="34" t="s">
        <v>33</v>
      </c>
      <c r="I23" s="31" t="s">
        <v>125</v>
      </c>
      <c r="J23" s="32" t="s">
        <v>126</v>
      </c>
      <c r="K23" s="32" t="s">
        <v>33</v>
      </c>
      <c r="L23" s="32" t="s">
        <v>33</v>
      </c>
    </row>
    <row r="24" spans="1:12">
      <c r="A24" s="28">
        <v>2011</v>
      </c>
      <c r="B24" s="29" t="s">
        <v>1906</v>
      </c>
      <c r="C24" s="30" t="s">
        <v>82</v>
      </c>
      <c r="D24" s="28" t="s">
        <v>33</v>
      </c>
      <c r="E24" s="29" t="s">
        <v>834</v>
      </c>
      <c r="F24" s="30" t="s">
        <v>127</v>
      </c>
      <c r="G24" s="34" t="s">
        <v>127</v>
      </c>
      <c r="H24" s="34" t="s">
        <v>33</v>
      </c>
      <c r="I24" s="31" t="s">
        <v>128</v>
      </c>
      <c r="J24" s="32" t="s">
        <v>129</v>
      </c>
      <c r="K24" s="32" t="s">
        <v>33</v>
      </c>
      <c r="L24" s="32" t="s">
        <v>33</v>
      </c>
    </row>
    <row r="25" spans="1:12">
      <c r="A25" s="28">
        <v>2011</v>
      </c>
      <c r="B25" s="29" t="s">
        <v>1906</v>
      </c>
      <c r="C25" s="30" t="s">
        <v>87</v>
      </c>
      <c r="D25" s="28" t="s">
        <v>33</v>
      </c>
      <c r="E25" s="29" t="s">
        <v>1909</v>
      </c>
      <c r="F25" s="30" t="s">
        <v>130</v>
      </c>
      <c r="G25" s="34" t="s">
        <v>130</v>
      </c>
      <c r="H25" s="34" t="s">
        <v>33</v>
      </c>
      <c r="I25" s="31" t="s">
        <v>131</v>
      </c>
      <c r="J25" s="32" t="s">
        <v>132</v>
      </c>
      <c r="K25" s="32" t="s">
        <v>33</v>
      </c>
      <c r="L25" s="32" t="s">
        <v>33</v>
      </c>
    </row>
    <row r="26" spans="1:12">
      <c r="A26" s="28">
        <v>2011</v>
      </c>
      <c r="B26" s="29" t="s">
        <v>1910</v>
      </c>
      <c r="C26" s="30" t="s">
        <v>133</v>
      </c>
      <c r="D26" s="28" t="s">
        <v>33</v>
      </c>
      <c r="E26" s="29" t="s">
        <v>289</v>
      </c>
      <c r="F26" s="30" t="s">
        <v>134</v>
      </c>
      <c r="G26" s="34" t="s">
        <v>134</v>
      </c>
      <c r="H26" s="34" t="s">
        <v>33</v>
      </c>
      <c r="I26" s="31" t="s">
        <v>135</v>
      </c>
      <c r="J26" s="32" t="s">
        <v>136</v>
      </c>
      <c r="K26" s="32" t="s">
        <v>33</v>
      </c>
      <c r="L26" s="32" t="s">
        <v>33</v>
      </c>
    </row>
    <row r="27" spans="1:12">
      <c r="A27" s="28">
        <v>2011</v>
      </c>
      <c r="B27" s="29" t="s">
        <v>1910</v>
      </c>
      <c r="C27" s="30" t="s">
        <v>133</v>
      </c>
      <c r="D27" s="28" t="s">
        <v>33</v>
      </c>
      <c r="E27" s="29" t="s">
        <v>1883</v>
      </c>
      <c r="F27" s="30" t="s">
        <v>140</v>
      </c>
      <c r="G27" s="34" t="s">
        <v>140</v>
      </c>
      <c r="H27" s="34" t="s">
        <v>33</v>
      </c>
      <c r="I27" s="31" t="s">
        <v>139</v>
      </c>
      <c r="J27" s="32" t="s">
        <v>33</v>
      </c>
      <c r="K27" s="32" t="s">
        <v>33</v>
      </c>
      <c r="L27" s="32" t="s">
        <v>33</v>
      </c>
    </row>
    <row r="28" spans="1:12">
      <c r="A28" s="28">
        <v>2011</v>
      </c>
      <c r="B28" s="29" t="s">
        <v>1878</v>
      </c>
      <c r="C28" s="30" t="s">
        <v>141</v>
      </c>
      <c r="D28" s="28" t="s">
        <v>33</v>
      </c>
      <c r="E28" s="29" t="s">
        <v>1911</v>
      </c>
      <c r="F28" s="30" t="s">
        <v>142</v>
      </c>
      <c r="G28" s="34" t="s">
        <v>142</v>
      </c>
      <c r="H28" s="34" t="s">
        <v>33</v>
      </c>
      <c r="I28" s="31" t="s">
        <v>143</v>
      </c>
      <c r="J28" s="32" t="s">
        <v>144</v>
      </c>
      <c r="K28" s="32" t="s">
        <v>33</v>
      </c>
      <c r="L28" s="32" t="s">
        <v>33</v>
      </c>
    </row>
    <row r="29" spans="1:12">
      <c r="A29" s="28">
        <v>2011</v>
      </c>
      <c r="B29" s="29" t="s">
        <v>1878</v>
      </c>
      <c r="C29" s="30" t="s">
        <v>141</v>
      </c>
      <c r="D29" s="28" t="s">
        <v>33</v>
      </c>
      <c r="E29" s="29" t="s">
        <v>148</v>
      </c>
      <c r="F29" s="30" t="s">
        <v>1912</v>
      </c>
      <c r="G29" s="34" t="s">
        <v>146</v>
      </c>
      <c r="H29" s="34" t="s">
        <v>1913</v>
      </c>
      <c r="I29" s="31" t="s">
        <v>148</v>
      </c>
      <c r="J29" s="32" t="s">
        <v>33</v>
      </c>
      <c r="K29" s="32" t="s">
        <v>33</v>
      </c>
      <c r="L29" s="32" t="s">
        <v>33</v>
      </c>
    </row>
    <row r="30" spans="1:12">
      <c r="A30" s="28">
        <v>2011</v>
      </c>
      <c r="B30" s="29" t="s">
        <v>1889</v>
      </c>
      <c r="C30" s="30" t="s">
        <v>221</v>
      </c>
      <c r="D30" s="28" t="s">
        <v>33</v>
      </c>
      <c r="E30" s="29" t="s">
        <v>1890</v>
      </c>
      <c r="F30" s="30" t="s">
        <v>149</v>
      </c>
      <c r="G30" s="34" t="s">
        <v>149</v>
      </c>
      <c r="H30" s="34" t="s">
        <v>33</v>
      </c>
      <c r="I30" s="31" t="s">
        <v>150</v>
      </c>
      <c r="J30" s="42" t="s">
        <v>151</v>
      </c>
      <c r="K30" s="42"/>
      <c r="L30" s="32" t="s">
        <v>33</v>
      </c>
    </row>
    <row r="31" spans="1:12">
      <c r="A31" s="28">
        <v>2011</v>
      </c>
      <c r="B31" s="29" t="s">
        <v>1914</v>
      </c>
      <c r="C31" s="30" t="s">
        <v>87</v>
      </c>
      <c r="D31" s="28" t="s">
        <v>33</v>
      </c>
      <c r="E31" s="29" t="s">
        <v>1915</v>
      </c>
      <c r="F31" s="30" t="s">
        <v>1916</v>
      </c>
      <c r="G31" s="34" t="s">
        <v>153</v>
      </c>
      <c r="H31" s="34" t="s">
        <v>154</v>
      </c>
      <c r="I31" s="31" t="s">
        <v>155</v>
      </c>
      <c r="J31" s="32" t="s">
        <v>156</v>
      </c>
      <c r="K31" s="32" t="s">
        <v>33</v>
      </c>
      <c r="L31" s="32" t="s">
        <v>33</v>
      </c>
    </row>
    <row r="32" spans="1:12">
      <c r="A32" s="28">
        <v>2011</v>
      </c>
      <c r="B32" s="29" t="s">
        <v>1914</v>
      </c>
      <c r="C32" s="30" t="s">
        <v>87</v>
      </c>
      <c r="D32" s="28" t="s">
        <v>33</v>
      </c>
      <c r="E32" s="29" t="s">
        <v>1917</v>
      </c>
      <c r="F32" s="30" t="s">
        <v>159</v>
      </c>
      <c r="G32" s="34" t="s">
        <v>159</v>
      </c>
      <c r="H32" s="34" t="s">
        <v>33</v>
      </c>
      <c r="I32" s="31" t="s">
        <v>158</v>
      </c>
      <c r="J32" s="32" t="s">
        <v>33</v>
      </c>
      <c r="K32" s="32" t="s">
        <v>33</v>
      </c>
      <c r="L32" s="32" t="s">
        <v>33</v>
      </c>
    </row>
    <row r="33" spans="1:12">
      <c r="A33" s="28">
        <v>2011</v>
      </c>
      <c r="B33" s="29" t="s">
        <v>1914</v>
      </c>
      <c r="C33" s="30" t="s">
        <v>91</v>
      </c>
      <c r="D33" s="28" t="s">
        <v>33</v>
      </c>
      <c r="E33" s="29" t="s">
        <v>1918</v>
      </c>
      <c r="F33" s="30" t="s">
        <v>1919</v>
      </c>
      <c r="G33" s="34" t="s">
        <v>161</v>
      </c>
      <c r="H33" s="34" t="s">
        <v>33</v>
      </c>
      <c r="I33" s="31" t="s">
        <v>162</v>
      </c>
      <c r="J33" s="32" t="s">
        <v>33</v>
      </c>
      <c r="K33" s="32" t="s">
        <v>33</v>
      </c>
      <c r="L33" s="32" t="s">
        <v>33</v>
      </c>
    </row>
    <row r="34" spans="1:12">
      <c r="A34" s="28">
        <v>2013</v>
      </c>
      <c r="B34" s="29" t="s">
        <v>1875</v>
      </c>
      <c r="C34" s="30" t="s">
        <v>32</v>
      </c>
      <c r="D34" s="28" t="s">
        <v>33</v>
      </c>
      <c r="E34" s="29" t="s">
        <v>1920</v>
      </c>
      <c r="F34" s="30" t="s">
        <v>35</v>
      </c>
      <c r="G34" s="34" t="s">
        <v>35</v>
      </c>
      <c r="H34" s="34" t="s">
        <v>33</v>
      </c>
      <c r="I34" s="31" t="s">
        <v>163</v>
      </c>
      <c r="J34" s="32" t="s">
        <v>33</v>
      </c>
      <c r="K34" s="32" t="s">
        <v>33</v>
      </c>
      <c r="L34" s="32" t="s">
        <v>33</v>
      </c>
    </row>
    <row r="35" spans="1:12">
      <c r="A35" s="28">
        <v>2013</v>
      </c>
      <c r="B35" s="29" t="s">
        <v>1875</v>
      </c>
      <c r="C35" s="30" t="s">
        <v>32</v>
      </c>
      <c r="D35" s="28" t="s">
        <v>33</v>
      </c>
      <c r="E35" s="29" t="s">
        <v>1897</v>
      </c>
      <c r="F35" s="30" t="s">
        <v>164</v>
      </c>
      <c r="G35" s="34" t="s">
        <v>164</v>
      </c>
      <c r="H35" s="34" t="s">
        <v>33</v>
      </c>
      <c r="I35" s="33" t="s">
        <v>165</v>
      </c>
      <c r="J35" s="32" t="s">
        <v>33</v>
      </c>
      <c r="K35" s="32" t="s">
        <v>33</v>
      </c>
      <c r="L35" s="32" t="s">
        <v>33</v>
      </c>
    </row>
    <row r="36" spans="1:12">
      <c r="A36" s="28">
        <v>2013</v>
      </c>
      <c r="B36" s="29" t="s">
        <v>1875</v>
      </c>
      <c r="C36" s="30" t="s">
        <v>32</v>
      </c>
      <c r="D36" s="28" t="s">
        <v>33</v>
      </c>
      <c r="E36" s="29" t="s">
        <v>1921</v>
      </c>
      <c r="F36" s="30" t="s">
        <v>1922</v>
      </c>
      <c r="G36" s="34" t="s">
        <v>167</v>
      </c>
      <c r="H36" s="34" t="s">
        <v>33</v>
      </c>
      <c r="I36" s="31" t="s">
        <v>168</v>
      </c>
      <c r="J36" s="32" t="s">
        <v>169</v>
      </c>
      <c r="K36" s="32" t="s">
        <v>33</v>
      </c>
      <c r="L36" s="32" t="s">
        <v>33</v>
      </c>
    </row>
    <row r="37" spans="1:12">
      <c r="A37" s="28">
        <v>2013</v>
      </c>
      <c r="B37" s="29" t="s">
        <v>1875</v>
      </c>
      <c r="C37" s="30" t="s">
        <v>32</v>
      </c>
      <c r="D37" s="28" t="s">
        <v>33</v>
      </c>
      <c r="E37" s="29" t="s">
        <v>1883</v>
      </c>
      <c r="F37" s="30" t="s">
        <v>1923</v>
      </c>
      <c r="G37" s="34" t="s">
        <v>170</v>
      </c>
      <c r="H37" s="34" t="s">
        <v>33</v>
      </c>
      <c r="I37" s="31" t="s">
        <v>172</v>
      </c>
      <c r="J37" s="32" t="s">
        <v>173</v>
      </c>
      <c r="K37" s="32" t="s">
        <v>33</v>
      </c>
      <c r="L37" s="32" t="s">
        <v>33</v>
      </c>
    </row>
    <row r="38" spans="1:12">
      <c r="A38" s="28">
        <v>2013</v>
      </c>
      <c r="B38" s="29" t="s">
        <v>1215</v>
      </c>
      <c r="C38" s="30" t="s">
        <v>51</v>
      </c>
      <c r="D38" s="28" t="s">
        <v>33</v>
      </c>
      <c r="E38" s="29" t="s">
        <v>1873</v>
      </c>
      <c r="F38" s="30" t="s">
        <v>177</v>
      </c>
      <c r="G38" s="34" t="s">
        <v>177</v>
      </c>
      <c r="H38" s="34" t="s">
        <v>33</v>
      </c>
      <c r="I38" s="31" t="s">
        <v>179</v>
      </c>
      <c r="J38" s="32" t="s">
        <v>180</v>
      </c>
      <c r="K38" s="32" t="s">
        <v>33</v>
      </c>
      <c r="L38" s="32" t="s">
        <v>33</v>
      </c>
    </row>
    <row r="39" spans="1:12">
      <c r="A39" s="28">
        <v>2013</v>
      </c>
      <c r="B39" s="29" t="s">
        <v>1215</v>
      </c>
      <c r="C39" s="30" t="s">
        <v>51</v>
      </c>
      <c r="D39" s="28" t="s">
        <v>33</v>
      </c>
      <c r="E39" s="29" t="s">
        <v>1881</v>
      </c>
      <c r="F39" s="30" t="s">
        <v>1924</v>
      </c>
      <c r="G39" s="34" t="s">
        <v>184</v>
      </c>
      <c r="H39" s="34" t="s">
        <v>33</v>
      </c>
      <c r="I39" s="33" t="s">
        <v>165</v>
      </c>
      <c r="J39" s="32" t="s">
        <v>1925</v>
      </c>
      <c r="K39" s="32" t="s">
        <v>33</v>
      </c>
      <c r="L39" s="32" t="s">
        <v>33</v>
      </c>
    </row>
    <row r="40" spans="1:12">
      <c r="A40" s="28">
        <v>2013</v>
      </c>
      <c r="B40" s="29" t="s">
        <v>1215</v>
      </c>
      <c r="C40" s="30" t="s">
        <v>51</v>
      </c>
      <c r="D40" s="28" t="s">
        <v>33</v>
      </c>
      <c r="E40" s="29" t="s">
        <v>1926</v>
      </c>
      <c r="F40" s="30" t="s">
        <v>1927</v>
      </c>
      <c r="G40" s="34" t="s">
        <v>190</v>
      </c>
      <c r="H40" s="34" t="s">
        <v>184</v>
      </c>
      <c r="I40" s="31" t="s">
        <v>191</v>
      </c>
      <c r="J40" s="32" t="s">
        <v>192</v>
      </c>
      <c r="K40" s="32" t="s">
        <v>33</v>
      </c>
      <c r="L40" s="32" t="s">
        <v>33</v>
      </c>
    </row>
    <row r="41" spans="1:12">
      <c r="A41" s="28">
        <v>2013</v>
      </c>
      <c r="B41" s="29" t="s">
        <v>1882</v>
      </c>
      <c r="C41" s="30" t="s">
        <v>33</v>
      </c>
      <c r="D41" s="28" t="s">
        <v>55</v>
      </c>
      <c r="E41" s="29" t="s">
        <v>1890</v>
      </c>
      <c r="F41" s="30" t="s">
        <v>1907</v>
      </c>
      <c r="G41" s="34" t="s">
        <v>1928</v>
      </c>
      <c r="H41" s="34" t="s">
        <v>33</v>
      </c>
      <c r="I41" s="31" t="s">
        <v>193</v>
      </c>
      <c r="J41" s="32" t="s">
        <v>194</v>
      </c>
      <c r="K41" s="32" t="s">
        <v>33</v>
      </c>
      <c r="L41" s="32" t="s">
        <v>33</v>
      </c>
    </row>
    <row r="42" spans="1:12">
      <c r="A42" s="28">
        <v>2013</v>
      </c>
      <c r="B42" s="29" t="s">
        <v>1882</v>
      </c>
      <c r="C42" s="30" t="s">
        <v>33</v>
      </c>
      <c r="D42" s="28" t="s">
        <v>55</v>
      </c>
      <c r="E42" s="29" t="s">
        <v>1890</v>
      </c>
      <c r="F42" s="30" t="s">
        <v>57</v>
      </c>
      <c r="G42" s="34" t="s">
        <v>57</v>
      </c>
      <c r="H42" s="34" t="s">
        <v>33</v>
      </c>
      <c r="I42" s="31" t="s">
        <v>195</v>
      </c>
      <c r="J42" s="32" t="s">
        <v>33</v>
      </c>
      <c r="K42" s="32" t="s">
        <v>33</v>
      </c>
      <c r="L42" s="32" t="s">
        <v>33</v>
      </c>
    </row>
    <row r="43" spans="1:12">
      <c r="A43" s="28">
        <v>2013</v>
      </c>
      <c r="B43" s="29" t="s">
        <v>1297</v>
      </c>
      <c r="C43" s="30" t="s">
        <v>60</v>
      </c>
      <c r="D43" s="28" t="s">
        <v>33</v>
      </c>
      <c r="E43" s="29" t="s">
        <v>1883</v>
      </c>
      <c r="F43" s="30" t="s">
        <v>1884</v>
      </c>
      <c r="G43" s="34" t="s">
        <v>198</v>
      </c>
      <c r="H43" s="34" t="s">
        <v>33</v>
      </c>
      <c r="I43" s="31" t="s">
        <v>196</v>
      </c>
      <c r="J43" s="32" t="s">
        <v>197</v>
      </c>
      <c r="K43" s="32" t="s">
        <v>33</v>
      </c>
      <c r="L43" s="32" t="s">
        <v>33</v>
      </c>
    </row>
    <row r="44" spans="1:12">
      <c r="A44" s="28">
        <v>2013</v>
      </c>
      <c r="B44" s="29" t="s">
        <v>1885</v>
      </c>
      <c r="C44" s="30" t="s">
        <v>68</v>
      </c>
      <c r="D44" s="28" t="s">
        <v>33</v>
      </c>
      <c r="E44" s="29" t="s">
        <v>1892</v>
      </c>
      <c r="F44" s="30" t="s">
        <v>199</v>
      </c>
      <c r="G44" s="34" t="s">
        <v>199</v>
      </c>
      <c r="H44" s="34" t="s">
        <v>33</v>
      </c>
      <c r="I44" s="31" t="s">
        <v>200</v>
      </c>
      <c r="J44" s="32" t="s">
        <v>201</v>
      </c>
      <c r="K44" s="32" t="s">
        <v>33</v>
      </c>
      <c r="L44" s="32" t="s">
        <v>33</v>
      </c>
    </row>
    <row r="45" spans="1:12">
      <c r="A45" s="28">
        <v>2013</v>
      </c>
      <c r="B45" s="29" t="s">
        <v>1885</v>
      </c>
      <c r="C45" s="30" t="s">
        <v>68</v>
      </c>
      <c r="D45" s="28" t="s">
        <v>33</v>
      </c>
      <c r="E45" s="29" t="s">
        <v>1892</v>
      </c>
      <c r="F45" s="30" t="s">
        <v>1929</v>
      </c>
      <c r="G45" s="34" t="s">
        <v>203</v>
      </c>
      <c r="H45" s="34" t="s">
        <v>33</v>
      </c>
      <c r="I45" s="31" t="s">
        <v>204</v>
      </c>
      <c r="J45" s="32" t="s">
        <v>205</v>
      </c>
      <c r="K45" s="32" t="s">
        <v>33</v>
      </c>
      <c r="L45" s="32" t="s">
        <v>33</v>
      </c>
    </row>
    <row r="46" spans="1:12">
      <c r="A46" s="28">
        <v>2013</v>
      </c>
      <c r="B46" s="29" t="s">
        <v>1894</v>
      </c>
      <c r="C46" s="30" t="s">
        <v>87</v>
      </c>
      <c r="D46" s="28" t="s">
        <v>33</v>
      </c>
      <c r="E46" s="29" t="s">
        <v>462</v>
      </c>
      <c r="F46" s="30" t="s">
        <v>1930</v>
      </c>
      <c r="G46" s="34" t="s">
        <v>209</v>
      </c>
      <c r="H46" s="34" t="s">
        <v>33</v>
      </c>
      <c r="I46" s="31" t="s">
        <v>210</v>
      </c>
      <c r="J46" s="32" t="s">
        <v>211</v>
      </c>
      <c r="K46" s="32" t="s">
        <v>33</v>
      </c>
      <c r="L46" s="32" t="s">
        <v>33</v>
      </c>
    </row>
    <row r="47" spans="1:12">
      <c r="A47" s="28">
        <v>2013</v>
      </c>
      <c r="B47" s="29" t="s">
        <v>1894</v>
      </c>
      <c r="C47" s="30" t="s">
        <v>87</v>
      </c>
      <c r="D47" s="28" t="s">
        <v>33</v>
      </c>
      <c r="E47" s="29" t="s">
        <v>1900</v>
      </c>
      <c r="F47" s="30" t="s">
        <v>1930</v>
      </c>
      <c r="G47" s="34" t="s">
        <v>213</v>
      </c>
      <c r="H47" s="34" t="s">
        <v>33</v>
      </c>
      <c r="I47" s="31" t="s">
        <v>214</v>
      </c>
      <c r="J47" s="32" t="s">
        <v>33</v>
      </c>
      <c r="K47" s="32" t="s">
        <v>33</v>
      </c>
      <c r="L47" s="32" t="s">
        <v>33</v>
      </c>
    </row>
    <row r="48" spans="1:12">
      <c r="A48" s="28">
        <v>2013</v>
      </c>
      <c r="B48" s="29" t="s">
        <v>1896</v>
      </c>
      <c r="C48" s="30" t="s">
        <v>133</v>
      </c>
      <c r="D48" s="28" t="s">
        <v>33</v>
      </c>
      <c r="E48" s="29" t="s">
        <v>945</v>
      </c>
      <c r="F48" s="30" t="s">
        <v>1931</v>
      </c>
      <c r="G48" s="34" t="s">
        <v>215</v>
      </c>
      <c r="H48" s="34" t="s">
        <v>33</v>
      </c>
      <c r="I48" s="31" t="s">
        <v>216</v>
      </c>
      <c r="J48" s="32" t="s">
        <v>217</v>
      </c>
      <c r="K48" s="32" t="s">
        <v>33</v>
      </c>
      <c r="L48" s="32" t="s">
        <v>33</v>
      </c>
    </row>
    <row r="49" spans="1:12">
      <c r="A49" s="28">
        <v>2013</v>
      </c>
      <c r="B49" s="29" t="s">
        <v>1889</v>
      </c>
      <c r="C49" s="30" t="s">
        <v>64</v>
      </c>
      <c r="D49" s="28" t="s">
        <v>33</v>
      </c>
      <c r="E49" s="29" t="s">
        <v>1890</v>
      </c>
      <c r="F49" s="30" t="s">
        <v>1932</v>
      </c>
      <c r="G49" s="34" t="s">
        <v>218</v>
      </c>
      <c r="H49" s="34" t="s">
        <v>33</v>
      </c>
      <c r="I49" s="31" t="s">
        <v>219</v>
      </c>
      <c r="J49" s="32" t="s">
        <v>220</v>
      </c>
      <c r="K49" s="32" t="s">
        <v>33</v>
      </c>
      <c r="L49" s="32" t="s">
        <v>33</v>
      </c>
    </row>
    <row r="50" spans="1:12">
      <c r="A50" s="28">
        <v>2013</v>
      </c>
      <c r="B50" s="29" t="s">
        <v>1933</v>
      </c>
      <c r="C50" s="30" t="s">
        <v>221</v>
      </c>
      <c r="D50" s="28" t="s">
        <v>33</v>
      </c>
      <c r="E50" s="29" t="s">
        <v>1917</v>
      </c>
      <c r="F50" s="30" t="s">
        <v>1934</v>
      </c>
      <c r="G50" s="34" t="s">
        <v>223</v>
      </c>
      <c r="H50" s="34" t="s">
        <v>33</v>
      </c>
      <c r="I50" s="31" t="s">
        <v>224</v>
      </c>
      <c r="J50" s="32" t="s">
        <v>225</v>
      </c>
      <c r="K50" s="32" t="s">
        <v>33</v>
      </c>
      <c r="L50" s="32" t="s">
        <v>33</v>
      </c>
    </row>
    <row r="51" spans="1:12">
      <c r="A51" s="28">
        <v>2013</v>
      </c>
      <c r="B51" s="29" t="s">
        <v>1933</v>
      </c>
      <c r="C51" s="30" t="s">
        <v>221</v>
      </c>
      <c r="D51" s="28" t="s">
        <v>33</v>
      </c>
      <c r="E51" s="29" t="s">
        <v>1935</v>
      </c>
      <c r="F51" s="30" t="s">
        <v>1936</v>
      </c>
      <c r="G51" s="41" t="s">
        <v>227</v>
      </c>
      <c r="H51" s="41"/>
      <c r="I51" s="31" t="s">
        <v>228</v>
      </c>
      <c r="J51" s="32" t="s">
        <v>229</v>
      </c>
      <c r="K51" s="32" t="s">
        <v>33</v>
      </c>
      <c r="L51" s="32" t="s">
        <v>33</v>
      </c>
    </row>
    <row r="52" spans="1:12">
      <c r="A52" s="28">
        <v>2013</v>
      </c>
      <c r="B52" s="29" t="s">
        <v>1933</v>
      </c>
      <c r="C52" s="30" t="s">
        <v>133</v>
      </c>
      <c r="D52" s="28" t="s">
        <v>33</v>
      </c>
      <c r="E52" s="29" t="s">
        <v>289</v>
      </c>
      <c r="F52" s="30" t="s">
        <v>134</v>
      </c>
      <c r="G52" s="34" t="s">
        <v>230</v>
      </c>
      <c r="H52" s="34" t="s">
        <v>33</v>
      </c>
      <c r="I52" s="31" t="s">
        <v>231</v>
      </c>
      <c r="J52" s="32" t="s">
        <v>232</v>
      </c>
      <c r="K52" s="32" t="s">
        <v>33</v>
      </c>
      <c r="L52" s="32" t="s">
        <v>33</v>
      </c>
    </row>
    <row r="53" spans="1:12">
      <c r="A53" s="28">
        <v>2013</v>
      </c>
      <c r="B53" s="29" t="s">
        <v>1546</v>
      </c>
      <c r="C53" s="30" t="s">
        <v>100</v>
      </c>
      <c r="D53" s="28" t="s">
        <v>33</v>
      </c>
      <c r="E53" s="29" t="s">
        <v>1900</v>
      </c>
      <c r="F53" s="30" t="s">
        <v>1901</v>
      </c>
      <c r="G53" s="34" t="s">
        <v>234</v>
      </c>
      <c r="H53" s="34" t="s">
        <v>33</v>
      </c>
      <c r="I53" s="31" t="s">
        <v>235</v>
      </c>
      <c r="J53" s="32" t="s">
        <v>33</v>
      </c>
      <c r="K53" s="32" t="s">
        <v>33</v>
      </c>
      <c r="L53" s="32" t="s">
        <v>33</v>
      </c>
    </row>
    <row r="54" spans="1:12">
      <c r="A54" s="28">
        <v>2013</v>
      </c>
      <c r="B54" s="29" t="s">
        <v>1546</v>
      </c>
      <c r="C54" s="30" t="s">
        <v>100</v>
      </c>
      <c r="D54" s="28" t="s">
        <v>33</v>
      </c>
      <c r="E54" s="29" t="s">
        <v>1937</v>
      </c>
      <c r="F54" s="30" t="s">
        <v>1938</v>
      </c>
      <c r="G54" s="34" t="s">
        <v>239</v>
      </c>
      <c r="H54" s="34" t="s">
        <v>33</v>
      </c>
      <c r="I54" s="31" t="s">
        <v>1939</v>
      </c>
      <c r="J54" s="32" t="s">
        <v>238</v>
      </c>
      <c r="K54" s="32" t="s">
        <v>33</v>
      </c>
      <c r="L54" s="32" t="s">
        <v>33</v>
      </c>
    </row>
    <row r="55" spans="1:12">
      <c r="A55" s="28">
        <v>2013</v>
      </c>
      <c r="B55" s="29" t="s">
        <v>1903</v>
      </c>
      <c r="C55" s="30" t="s">
        <v>115</v>
      </c>
      <c r="D55" s="28" t="s">
        <v>33</v>
      </c>
      <c r="E55" s="29" t="s">
        <v>1902</v>
      </c>
      <c r="F55" s="30" t="s">
        <v>1940</v>
      </c>
      <c r="G55" s="34" t="s">
        <v>241</v>
      </c>
      <c r="H55" s="34" t="s">
        <v>33</v>
      </c>
      <c r="I55" s="31" t="s">
        <v>242</v>
      </c>
      <c r="J55" s="42" t="s">
        <v>1941</v>
      </c>
      <c r="K55" s="42"/>
      <c r="L55" s="42"/>
    </row>
    <row r="56" spans="1:12">
      <c r="A56" s="28">
        <v>2013</v>
      </c>
      <c r="B56" s="29" t="s">
        <v>1903</v>
      </c>
      <c r="C56" s="30" t="s">
        <v>32</v>
      </c>
      <c r="D56" s="28" t="s">
        <v>33</v>
      </c>
      <c r="E56" s="29" t="s">
        <v>1942</v>
      </c>
      <c r="F56" s="30" t="s">
        <v>50</v>
      </c>
      <c r="G56" s="34" t="s">
        <v>249</v>
      </c>
      <c r="H56" s="34" t="s">
        <v>33</v>
      </c>
      <c r="I56" s="31" t="s">
        <v>247</v>
      </c>
      <c r="J56" s="42" t="s">
        <v>248</v>
      </c>
      <c r="K56" s="42"/>
      <c r="L56" s="32" t="s">
        <v>33</v>
      </c>
    </row>
    <row r="57" spans="1:12">
      <c r="A57" s="28">
        <v>2013</v>
      </c>
      <c r="B57" s="29" t="s">
        <v>1564</v>
      </c>
      <c r="C57" s="30" t="s">
        <v>91</v>
      </c>
      <c r="D57" s="28" t="s">
        <v>33</v>
      </c>
      <c r="E57" s="29" t="s">
        <v>1943</v>
      </c>
      <c r="F57" s="30" t="s">
        <v>1891</v>
      </c>
      <c r="G57" s="34" t="s">
        <v>251</v>
      </c>
      <c r="H57" s="34" t="s">
        <v>33</v>
      </c>
      <c r="I57" s="31" t="s">
        <v>252</v>
      </c>
      <c r="J57" s="42" t="s">
        <v>1944</v>
      </c>
      <c r="K57" s="42"/>
      <c r="L57" s="42"/>
    </row>
    <row r="58" spans="1:12">
      <c r="A58" s="28">
        <v>2013</v>
      </c>
      <c r="B58" s="29" t="s">
        <v>1564</v>
      </c>
      <c r="C58" s="30" t="s">
        <v>115</v>
      </c>
      <c r="D58" s="28" t="s">
        <v>33</v>
      </c>
      <c r="E58" s="29" t="s">
        <v>1945</v>
      </c>
      <c r="F58" s="30" t="s">
        <v>1946</v>
      </c>
      <c r="G58" s="34" t="s">
        <v>1947</v>
      </c>
      <c r="H58" s="34" t="s">
        <v>33</v>
      </c>
      <c r="I58" s="31" t="s">
        <v>256</v>
      </c>
      <c r="J58" s="32" t="s">
        <v>33</v>
      </c>
      <c r="K58" s="32" t="s">
        <v>33</v>
      </c>
      <c r="L58" s="32" t="s">
        <v>33</v>
      </c>
    </row>
    <row r="59" spans="1:12">
      <c r="A59" s="28">
        <v>2013</v>
      </c>
      <c r="B59" s="29" t="s">
        <v>1906</v>
      </c>
      <c r="C59" s="30" t="s">
        <v>82</v>
      </c>
      <c r="D59" s="28" t="s">
        <v>33</v>
      </c>
      <c r="E59" s="29" t="s">
        <v>1455</v>
      </c>
      <c r="F59" s="30" t="s">
        <v>259</v>
      </c>
      <c r="G59" s="34" t="s">
        <v>259</v>
      </c>
      <c r="H59" s="34" t="s">
        <v>33</v>
      </c>
      <c r="I59" s="31" t="s">
        <v>260</v>
      </c>
      <c r="J59" s="32" t="s">
        <v>261</v>
      </c>
      <c r="K59" s="32" t="s">
        <v>33</v>
      </c>
      <c r="L59" s="32" t="s">
        <v>33</v>
      </c>
    </row>
    <row r="60" spans="1:12">
      <c r="A60" s="28">
        <v>2013</v>
      </c>
      <c r="B60" s="29" t="s">
        <v>1906</v>
      </c>
      <c r="C60" s="30" t="s">
        <v>91</v>
      </c>
      <c r="D60" s="28" t="s">
        <v>33</v>
      </c>
      <c r="E60" s="29" t="s">
        <v>1897</v>
      </c>
      <c r="F60" s="30" t="s">
        <v>1891</v>
      </c>
      <c r="G60" s="34" t="s">
        <v>262</v>
      </c>
      <c r="H60" s="34" t="s">
        <v>33</v>
      </c>
      <c r="I60" s="31" t="s">
        <v>263</v>
      </c>
      <c r="J60" s="32" t="s">
        <v>264</v>
      </c>
      <c r="K60" s="32" t="s">
        <v>33</v>
      </c>
      <c r="L60" s="32" t="s">
        <v>33</v>
      </c>
    </row>
    <row r="61" spans="1:12">
      <c r="A61" s="28">
        <v>2013</v>
      </c>
      <c r="B61" s="29" t="s">
        <v>1906</v>
      </c>
      <c r="C61" s="30" t="s">
        <v>82</v>
      </c>
      <c r="D61" s="28" t="s">
        <v>33</v>
      </c>
      <c r="E61" s="29" t="s">
        <v>1948</v>
      </c>
      <c r="F61" s="30" t="s">
        <v>265</v>
      </c>
      <c r="G61" s="34" t="s">
        <v>265</v>
      </c>
      <c r="H61" s="34" t="s">
        <v>33</v>
      </c>
      <c r="I61" s="31" t="s">
        <v>267</v>
      </c>
      <c r="J61" s="32" t="s">
        <v>268</v>
      </c>
      <c r="K61" s="32" t="s">
        <v>33</v>
      </c>
      <c r="L61" s="32" t="s">
        <v>33</v>
      </c>
    </row>
    <row r="62" spans="1:12">
      <c r="A62" s="28">
        <v>2013</v>
      </c>
      <c r="B62" s="29" t="s">
        <v>1910</v>
      </c>
      <c r="C62" s="30" t="s">
        <v>133</v>
      </c>
      <c r="D62" s="28" t="s">
        <v>33</v>
      </c>
      <c r="E62" s="29" t="s">
        <v>1455</v>
      </c>
      <c r="F62" s="30" t="s">
        <v>1949</v>
      </c>
      <c r="G62" s="34" t="s">
        <v>272</v>
      </c>
      <c r="H62" s="34" t="s">
        <v>33</v>
      </c>
      <c r="I62" s="31" t="s">
        <v>273</v>
      </c>
      <c r="J62" s="32" t="s">
        <v>274</v>
      </c>
      <c r="K62" s="32" t="s">
        <v>33</v>
      </c>
      <c r="L62" s="32" t="s">
        <v>33</v>
      </c>
    </row>
    <row r="63" spans="1:12">
      <c r="A63" s="28">
        <v>2013</v>
      </c>
      <c r="B63" s="29" t="s">
        <v>1910</v>
      </c>
      <c r="C63" s="30" t="s">
        <v>82</v>
      </c>
      <c r="D63" s="28" t="s">
        <v>33</v>
      </c>
      <c r="E63" s="29" t="s">
        <v>1455</v>
      </c>
      <c r="F63" s="30" t="s">
        <v>282</v>
      </c>
      <c r="G63" s="34" t="s">
        <v>282</v>
      </c>
      <c r="H63" s="34" t="s">
        <v>33</v>
      </c>
      <c r="I63" s="31" t="s">
        <v>278</v>
      </c>
      <c r="J63" s="32" t="s">
        <v>33</v>
      </c>
      <c r="K63" s="32" t="s">
        <v>33</v>
      </c>
      <c r="L63" s="32" t="s">
        <v>33</v>
      </c>
    </row>
    <row r="64" spans="1:12">
      <c r="A64" s="28">
        <v>2013</v>
      </c>
      <c r="B64" s="29" t="s">
        <v>1910</v>
      </c>
      <c r="C64" s="30" t="s">
        <v>33</v>
      </c>
      <c r="D64" s="28" t="s">
        <v>33</v>
      </c>
      <c r="E64" s="29" t="s">
        <v>945</v>
      </c>
      <c r="F64" s="30" t="s">
        <v>33</v>
      </c>
      <c r="G64" s="34" t="s">
        <v>33</v>
      </c>
      <c r="H64" s="34" t="s">
        <v>33</v>
      </c>
      <c r="I64" s="31" t="s">
        <v>283</v>
      </c>
      <c r="J64" s="32" t="s">
        <v>33</v>
      </c>
      <c r="K64" s="32" t="s">
        <v>33</v>
      </c>
      <c r="L64" s="32" t="s">
        <v>33</v>
      </c>
    </row>
    <row r="65" spans="1:12">
      <c r="A65" s="28">
        <v>2013</v>
      </c>
      <c r="B65" s="29" t="s">
        <v>1878</v>
      </c>
      <c r="C65" s="30" t="s">
        <v>141</v>
      </c>
      <c r="D65" s="28" t="s">
        <v>33</v>
      </c>
      <c r="E65" s="29" t="s">
        <v>639</v>
      </c>
      <c r="F65" s="30" t="s">
        <v>1950</v>
      </c>
      <c r="G65" s="34" t="s">
        <v>1951</v>
      </c>
      <c r="H65" s="34" t="s">
        <v>33</v>
      </c>
      <c r="I65" s="31" t="s">
        <v>285</v>
      </c>
      <c r="J65" s="32" t="s">
        <v>286</v>
      </c>
      <c r="K65" s="32" t="s">
        <v>33</v>
      </c>
      <c r="L65" s="32" t="s">
        <v>33</v>
      </c>
    </row>
    <row r="66" spans="1:12">
      <c r="A66" s="28">
        <v>2013</v>
      </c>
      <c r="B66" s="29" t="s">
        <v>1878</v>
      </c>
      <c r="C66" s="30" t="s">
        <v>141</v>
      </c>
      <c r="D66" s="28" t="s">
        <v>33</v>
      </c>
      <c r="E66" s="29" t="s">
        <v>289</v>
      </c>
      <c r="F66" s="30" t="s">
        <v>1912</v>
      </c>
      <c r="G66" s="34" t="s">
        <v>387</v>
      </c>
      <c r="H66" s="34" t="s">
        <v>33</v>
      </c>
      <c r="I66" s="31" t="s">
        <v>289</v>
      </c>
      <c r="J66" s="32" t="s">
        <v>1952</v>
      </c>
      <c r="K66" s="32" t="s">
        <v>33</v>
      </c>
      <c r="L66" s="32" t="s">
        <v>33</v>
      </c>
    </row>
    <row r="67" spans="1:12">
      <c r="A67" s="28">
        <v>2013</v>
      </c>
      <c r="B67" s="29" t="s">
        <v>1878</v>
      </c>
      <c r="C67" s="30" t="s">
        <v>141</v>
      </c>
      <c r="D67" s="28" t="s">
        <v>33</v>
      </c>
      <c r="E67" s="29" t="s">
        <v>1911</v>
      </c>
      <c r="F67" s="30" t="s">
        <v>384</v>
      </c>
      <c r="G67" s="34" t="s">
        <v>292</v>
      </c>
      <c r="H67" s="34" t="s">
        <v>33</v>
      </c>
      <c r="I67" s="31" t="s">
        <v>293</v>
      </c>
      <c r="J67" s="32" t="s">
        <v>294</v>
      </c>
      <c r="K67" s="32" t="s">
        <v>33</v>
      </c>
      <c r="L67" s="32" t="s">
        <v>33</v>
      </c>
    </row>
    <row r="68" spans="1:12">
      <c r="A68" s="28">
        <v>2013</v>
      </c>
      <c r="B68" s="29" t="s">
        <v>1546</v>
      </c>
      <c r="C68" s="30" t="s">
        <v>100</v>
      </c>
      <c r="D68" s="28" t="s">
        <v>33</v>
      </c>
      <c r="E68" s="29" t="s">
        <v>952</v>
      </c>
      <c r="F68" s="30" t="s">
        <v>1953</v>
      </c>
      <c r="G68" s="34" t="s">
        <v>296</v>
      </c>
      <c r="H68" s="34" t="s">
        <v>33</v>
      </c>
      <c r="I68" s="31" t="s">
        <v>297</v>
      </c>
      <c r="J68" s="32" t="s">
        <v>298</v>
      </c>
      <c r="K68" s="32" t="s">
        <v>33</v>
      </c>
      <c r="L68" s="32" t="s">
        <v>33</v>
      </c>
    </row>
    <row r="69" spans="1:12">
      <c r="A69" s="28">
        <v>2013</v>
      </c>
      <c r="B69" s="29" t="s">
        <v>1914</v>
      </c>
      <c r="C69" s="30" t="s">
        <v>82</v>
      </c>
      <c r="D69" s="28" t="s">
        <v>33</v>
      </c>
      <c r="E69" s="29" t="s">
        <v>1954</v>
      </c>
      <c r="F69" s="30" t="s">
        <v>300</v>
      </c>
      <c r="G69" s="34" t="s">
        <v>300</v>
      </c>
      <c r="H69" s="34" t="s">
        <v>33</v>
      </c>
      <c r="I69" s="31" t="s">
        <v>301</v>
      </c>
      <c r="J69" s="32" t="s">
        <v>302</v>
      </c>
      <c r="K69" s="32" t="s">
        <v>33</v>
      </c>
      <c r="L69" s="32" t="s">
        <v>33</v>
      </c>
    </row>
    <row r="70" spans="1:12">
      <c r="A70" s="28">
        <v>2014</v>
      </c>
      <c r="B70" s="29" t="s">
        <v>1875</v>
      </c>
      <c r="C70" s="30" t="s">
        <v>32</v>
      </c>
      <c r="D70" s="28" t="s">
        <v>33</v>
      </c>
      <c r="E70" s="29" t="s">
        <v>148</v>
      </c>
      <c r="F70" s="30" t="s">
        <v>310</v>
      </c>
      <c r="G70" s="34" t="s">
        <v>310</v>
      </c>
      <c r="H70" s="34" t="s">
        <v>33</v>
      </c>
      <c r="I70" s="31" t="s">
        <v>306</v>
      </c>
      <c r="J70" s="32" t="s">
        <v>33</v>
      </c>
      <c r="K70" s="32" t="s">
        <v>33</v>
      </c>
      <c r="L70" s="32" t="s">
        <v>33</v>
      </c>
    </row>
    <row r="71" spans="1:12">
      <c r="A71" s="28">
        <v>2014</v>
      </c>
      <c r="B71" s="29" t="s">
        <v>1875</v>
      </c>
      <c r="C71" s="30" t="s">
        <v>32</v>
      </c>
      <c r="D71" s="28" t="s">
        <v>33</v>
      </c>
      <c r="E71" s="29" t="s">
        <v>1455</v>
      </c>
      <c r="F71" s="30" t="s">
        <v>1923</v>
      </c>
      <c r="G71" s="34" t="s">
        <v>170</v>
      </c>
      <c r="H71" s="34" t="s">
        <v>33</v>
      </c>
      <c r="I71" s="31" t="s">
        <v>311</v>
      </c>
      <c r="J71" s="32" t="s">
        <v>33</v>
      </c>
      <c r="K71" s="32" t="s">
        <v>33</v>
      </c>
      <c r="L71" s="32" t="s">
        <v>33</v>
      </c>
    </row>
    <row r="72" spans="1:12">
      <c r="A72" s="28">
        <v>2014</v>
      </c>
      <c r="B72" s="29" t="s">
        <v>1875</v>
      </c>
      <c r="C72" s="30" t="s">
        <v>32</v>
      </c>
      <c r="D72" s="28" t="s">
        <v>33</v>
      </c>
      <c r="E72" s="29" t="s">
        <v>757</v>
      </c>
      <c r="F72" s="30" t="s">
        <v>313</v>
      </c>
      <c r="G72" s="34" t="s">
        <v>313</v>
      </c>
      <c r="H72" s="34" t="s">
        <v>33</v>
      </c>
      <c r="I72" s="31" t="s">
        <v>314</v>
      </c>
      <c r="J72" s="32" t="s">
        <v>33</v>
      </c>
      <c r="K72" s="32" t="s">
        <v>33</v>
      </c>
      <c r="L72" s="32" t="s">
        <v>33</v>
      </c>
    </row>
    <row r="73" spans="1:12">
      <c r="A73" s="28">
        <v>2014</v>
      </c>
      <c r="B73" s="29" t="s">
        <v>1882</v>
      </c>
      <c r="C73" s="30" t="s">
        <v>33</v>
      </c>
      <c r="D73" s="28" t="s">
        <v>55</v>
      </c>
      <c r="E73" s="29" t="s">
        <v>1890</v>
      </c>
      <c r="F73" s="30" t="s">
        <v>33</v>
      </c>
      <c r="G73" s="34" t="s">
        <v>33</v>
      </c>
      <c r="H73" s="34" t="s">
        <v>33</v>
      </c>
      <c r="I73" s="31" t="s">
        <v>315</v>
      </c>
      <c r="J73" s="32" t="s">
        <v>316</v>
      </c>
      <c r="K73" s="32" t="s">
        <v>33</v>
      </c>
      <c r="L73" s="32" t="s">
        <v>33</v>
      </c>
    </row>
    <row r="74" spans="1:12">
      <c r="A74" s="28">
        <v>2014</v>
      </c>
      <c r="B74" s="29" t="s">
        <v>1885</v>
      </c>
      <c r="C74" s="30" t="s">
        <v>91</v>
      </c>
      <c r="D74" s="28" t="s">
        <v>33</v>
      </c>
      <c r="E74" s="29" t="s">
        <v>1892</v>
      </c>
      <c r="F74" s="30" t="s">
        <v>1919</v>
      </c>
      <c r="G74" s="34" t="s">
        <v>317</v>
      </c>
      <c r="H74" s="34" t="s">
        <v>33</v>
      </c>
      <c r="I74" s="31" t="s">
        <v>318</v>
      </c>
      <c r="J74" s="32" t="s">
        <v>33</v>
      </c>
      <c r="K74" s="32" t="s">
        <v>33</v>
      </c>
      <c r="L74" s="32" t="s">
        <v>33</v>
      </c>
    </row>
    <row r="75" spans="1:12">
      <c r="A75" s="28">
        <v>2014</v>
      </c>
      <c r="B75" s="29" t="s">
        <v>1885</v>
      </c>
      <c r="C75" s="30" t="s">
        <v>91</v>
      </c>
      <c r="D75" s="28" t="s">
        <v>33</v>
      </c>
      <c r="E75" s="29" t="s">
        <v>1955</v>
      </c>
      <c r="F75" s="30" t="s">
        <v>1956</v>
      </c>
      <c r="G75" s="34" t="s">
        <v>319</v>
      </c>
      <c r="H75" s="34" t="s">
        <v>33</v>
      </c>
      <c r="I75" s="31" t="s">
        <v>320</v>
      </c>
      <c r="J75" s="32" t="s">
        <v>33</v>
      </c>
      <c r="K75" s="32" t="s">
        <v>33</v>
      </c>
      <c r="L75" s="32" t="s">
        <v>33</v>
      </c>
    </row>
    <row r="76" spans="1:12">
      <c r="A76" s="28">
        <v>2014</v>
      </c>
      <c r="B76" s="29" t="s">
        <v>1885</v>
      </c>
      <c r="C76" s="30" t="s">
        <v>68</v>
      </c>
      <c r="D76" s="28" t="s">
        <v>33</v>
      </c>
      <c r="E76" s="29" t="s">
        <v>1892</v>
      </c>
      <c r="F76" s="30" t="s">
        <v>1957</v>
      </c>
      <c r="G76" s="34" t="s">
        <v>322</v>
      </c>
      <c r="H76" s="34" t="s">
        <v>33</v>
      </c>
      <c r="I76" s="33" t="s">
        <v>165</v>
      </c>
      <c r="J76" s="32" t="s">
        <v>33</v>
      </c>
      <c r="K76" s="32" t="s">
        <v>33</v>
      </c>
      <c r="L76" s="32" t="s">
        <v>33</v>
      </c>
    </row>
    <row r="77" spans="1:12">
      <c r="A77" s="28">
        <v>2014</v>
      </c>
      <c r="B77" s="29" t="s">
        <v>1894</v>
      </c>
      <c r="C77" s="30" t="s">
        <v>87</v>
      </c>
      <c r="D77" s="28" t="s">
        <v>33</v>
      </c>
      <c r="E77" s="29" t="s">
        <v>1892</v>
      </c>
      <c r="F77" s="30" t="s">
        <v>1930</v>
      </c>
      <c r="G77" s="34" t="s">
        <v>324</v>
      </c>
      <c r="H77" s="34" t="s">
        <v>33</v>
      </c>
      <c r="I77" s="31" t="s">
        <v>325</v>
      </c>
      <c r="J77" s="32" t="s">
        <v>33</v>
      </c>
      <c r="K77" s="32" t="s">
        <v>33</v>
      </c>
      <c r="L77" s="32" t="s">
        <v>33</v>
      </c>
    </row>
    <row r="78" spans="1:12">
      <c r="A78" s="28">
        <v>2014</v>
      </c>
      <c r="B78" s="29" t="s">
        <v>1894</v>
      </c>
      <c r="C78" s="30" t="s">
        <v>87</v>
      </c>
      <c r="D78" s="28" t="s">
        <v>33</v>
      </c>
      <c r="E78" s="29" t="s">
        <v>1958</v>
      </c>
      <c r="F78" s="30" t="s">
        <v>1959</v>
      </c>
      <c r="G78" s="34" t="s">
        <v>327</v>
      </c>
      <c r="H78" s="34" t="s">
        <v>33</v>
      </c>
      <c r="I78" s="31" t="s">
        <v>328</v>
      </c>
      <c r="J78" s="32" t="s">
        <v>33</v>
      </c>
      <c r="K78" s="32" t="s">
        <v>33</v>
      </c>
      <c r="L78" s="32" t="s">
        <v>33</v>
      </c>
    </row>
    <row r="79" spans="1:12">
      <c r="A79" s="28">
        <v>2014</v>
      </c>
      <c r="B79" s="29" t="s">
        <v>1896</v>
      </c>
      <c r="C79" s="30" t="s">
        <v>91</v>
      </c>
      <c r="D79" s="28" t="s">
        <v>33</v>
      </c>
      <c r="E79" s="29" t="s">
        <v>1881</v>
      </c>
      <c r="F79" s="30" t="s">
        <v>1905</v>
      </c>
      <c r="G79" s="34" t="s">
        <v>329</v>
      </c>
      <c r="H79" s="34" t="s">
        <v>33</v>
      </c>
      <c r="I79" s="31" t="s">
        <v>330</v>
      </c>
      <c r="J79" s="32" t="s">
        <v>331</v>
      </c>
      <c r="K79" s="32" t="s">
        <v>33</v>
      </c>
      <c r="L79" s="32" t="s">
        <v>33</v>
      </c>
    </row>
    <row r="80" spans="1:12">
      <c r="A80" s="28">
        <v>2014</v>
      </c>
      <c r="B80" s="29" t="s">
        <v>1896</v>
      </c>
      <c r="C80" s="30" t="s">
        <v>91</v>
      </c>
      <c r="D80" s="28" t="s">
        <v>33</v>
      </c>
      <c r="E80" s="29" t="s">
        <v>1881</v>
      </c>
      <c r="F80" s="30" t="s">
        <v>1895</v>
      </c>
      <c r="G80" s="34" t="s">
        <v>332</v>
      </c>
      <c r="H80" s="34" t="s">
        <v>33</v>
      </c>
      <c r="I80" s="31" t="s">
        <v>333</v>
      </c>
      <c r="J80" s="32" t="s">
        <v>334</v>
      </c>
      <c r="K80" s="32" t="s">
        <v>33</v>
      </c>
      <c r="L80" s="32" t="s">
        <v>33</v>
      </c>
    </row>
    <row r="81" spans="1:12">
      <c r="A81" s="28">
        <v>2014</v>
      </c>
      <c r="B81" s="29" t="s">
        <v>1933</v>
      </c>
      <c r="C81" s="30" t="s">
        <v>221</v>
      </c>
      <c r="D81" s="28" t="s">
        <v>33</v>
      </c>
      <c r="E81" s="29" t="s">
        <v>1937</v>
      </c>
      <c r="F81" s="30" t="s">
        <v>1934</v>
      </c>
      <c r="G81" s="34" t="s">
        <v>335</v>
      </c>
      <c r="H81" s="34" t="s">
        <v>33</v>
      </c>
      <c r="I81" s="31" t="s">
        <v>336</v>
      </c>
      <c r="J81" s="32" t="s">
        <v>33</v>
      </c>
      <c r="K81" s="32" t="s">
        <v>33</v>
      </c>
      <c r="L81" s="32" t="s">
        <v>33</v>
      </c>
    </row>
    <row r="82" spans="1:12">
      <c r="A82" s="28">
        <v>2014</v>
      </c>
      <c r="B82" s="29" t="s">
        <v>1933</v>
      </c>
      <c r="C82" s="30" t="s">
        <v>221</v>
      </c>
      <c r="D82" s="28" t="s">
        <v>33</v>
      </c>
      <c r="E82" s="29" t="s">
        <v>1917</v>
      </c>
      <c r="F82" s="30" t="s">
        <v>149</v>
      </c>
      <c r="G82" s="34" t="s">
        <v>149</v>
      </c>
      <c r="H82" s="34" t="s">
        <v>33</v>
      </c>
      <c r="I82" s="31" t="s">
        <v>338</v>
      </c>
      <c r="J82" s="32" t="s">
        <v>33</v>
      </c>
      <c r="K82" s="32" t="s">
        <v>33</v>
      </c>
      <c r="L82" s="32" t="s">
        <v>33</v>
      </c>
    </row>
    <row r="83" spans="1:12">
      <c r="A83" s="28">
        <v>2014</v>
      </c>
      <c r="B83" s="29" t="s">
        <v>1933</v>
      </c>
      <c r="C83" s="30" t="s">
        <v>221</v>
      </c>
      <c r="D83" s="28" t="s">
        <v>33</v>
      </c>
      <c r="E83" s="29" t="s">
        <v>1960</v>
      </c>
      <c r="F83" s="30" t="s">
        <v>343</v>
      </c>
      <c r="G83" s="34" t="s">
        <v>343</v>
      </c>
      <c r="H83" s="34" t="s">
        <v>33</v>
      </c>
      <c r="I83" s="31" t="s">
        <v>344</v>
      </c>
      <c r="J83" s="32" t="s">
        <v>33</v>
      </c>
      <c r="K83" s="32" t="s">
        <v>33</v>
      </c>
      <c r="L83" s="32" t="s">
        <v>33</v>
      </c>
    </row>
    <row r="84" spans="1:12">
      <c r="A84" s="28">
        <v>2014</v>
      </c>
      <c r="B84" s="29" t="s">
        <v>1546</v>
      </c>
      <c r="C84" s="30" t="s">
        <v>100</v>
      </c>
      <c r="D84" s="28" t="s">
        <v>33</v>
      </c>
      <c r="E84" s="29" t="s">
        <v>1961</v>
      </c>
      <c r="F84" s="30" t="s">
        <v>351</v>
      </c>
      <c r="G84" s="34" t="s">
        <v>351</v>
      </c>
      <c r="H84" s="34" t="s">
        <v>33</v>
      </c>
      <c r="I84" s="31" t="s">
        <v>347</v>
      </c>
      <c r="J84" s="32" t="s">
        <v>33</v>
      </c>
      <c r="K84" s="32" t="s">
        <v>33</v>
      </c>
      <c r="L84" s="32" t="s">
        <v>33</v>
      </c>
    </row>
    <row r="85" spans="1:12">
      <c r="A85" s="28">
        <v>2014</v>
      </c>
      <c r="B85" s="29" t="s">
        <v>1546</v>
      </c>
      <c r="C85" s="30" t="s">
        <v>100</v>
      </c>
      <c r="D85" s="28" t="s">
        <v>352</v>
      </c>
      <c r="E85" s="29" t="s">
        <v>1900</v>
      </c>
      <c r="F85" s="30" t="s">
        <v>354</v>
      </c>
      <c r="G85" s="34" t="s">
        <v>354</v>
      </c>
      <c r="H85" s="34" t="s">
        <v>33</v>
      </c>
      <c r="I85" s="31" t="s">
        <v>355</v>
      </c>
      <c r="J85" s="32" t="s">
        <v>33</v>
      </c>
      <c r="K85" s="32" t="s">
        <v>33</v>
      </c>
      <c r="L85" s="32" t="s">
        <v>33</v>
      </c>
    </row>
    <row r="86" spans="1:12">
      <c r="A86" s="28">
        <v>2014</v>
      </c>
      <c r="B86" s="29" t="s">
        <v>1903</v>
      </c>
      <c r="C86" s="30" t="s">
        <v>115</v>
      </c>
      <c r="D86" s="28" t="s">
        <v>33</v>
      </c>
      <c r="E86" s="29" t="s">
        <v>1962</v>
      </c>
      <c r="F86" s="30" t="s">
        <v>1940</v>
      </c>
      <c r="G86" s="34" t="s">
        <v>356</v>
      </c>
      <c r="H86" s="34" t="s">
        <v>33</v>
      </c>
      <c r="I86" s="31" t="s">
        <v>1963</v>
      </c>
      <c r="J86" s="32" t="s">
        <v>358</v>
      </c>
      <c r="K86" s="32" t="s">
        <v>33</v>
      </c>
      <c r="L86" s="32" t="s">
        <v>33</v>
      </c>
    </row>
    <row r="87" spans="1:12">
      <c r="A87" s="28">
        <v>2014</v>
      </c>
      <c r="B87" s="29" t="s">
        <v>1903</v>
      </c>
      <c r="C87" s="30" t="s">
        <v>115</v>
      </c>
      <c r="D87" s="28" t="s">
        <v>33</v>
      </c>
      <c r="E87" s="29" t="s">
        <v>1942</v>
      </c>
      <c r="F87" s="30" t="s">
        <v>1940</v>
      </c>
      <c r="G87" s="34" t="s">
        <v>362</v>
      </c>
      <c r="H87" s="34" t="s">
        <v>33</v>
      </c>
      <c r="I87" s="31" t="s">
        <v>361</v>
      </c>
      <c r="J87" s="32" t="s">
        <v>33</v>
      </c>
      <c r="K87" s="32" t="s">
        <v>33</v>
      </c>
      <c r="L87" s="32" t="s">
        <v>33</v>
      </c>
    </row>
    <row r="88" spans="1:12">
      <c r="A88" s="28">
        <v>2014</v>
      </c>
      <c r="B88" s="29" t="s">
        <v>1903</v>
      </c>
      <c r="C88" s="30" t="s">
        <v>82</v>
      </c>
      <c r="D88" s="28" t="s">
        <v>33</v>
      </c>
      <c r="E88" s="29" t="s">
        <v>1962</v>
      </c>
      <c r="F88" s="30" t="s">
        <v>364</v>
      </c>
      <c r="G88" s="34" t="s">
        <v>364</v>
      </c>
      <c r="H88" s="34" t="s">
        <v>33</v>
      </c>
      <c r="I88" s="31" t="s">
        <v>1963</v>
      </c>
      <c r="J88" s="32" t="s">
        <v>33</v>
      </c>
      <c r="K88" s="32" t="s">
        <v>33</v>
      </c>
      <c r="L88" s="32" t="s">
        <v>33</v>
      </c>
    </row>
    <row r="89" spans="1:12">
      <c r="A89" s="28">
        <v>2014</v>
      </c>
      <c r="B89" s="29" t="s">
        <v>1564</v>
      </c>
      <c r="C89" s="30" t="s">
        <v>82</v>
      </c>
      <c r="D89" s="28" t="s">
        <v>33</v>
      </c>
      <c r="E89" s="29" t="s">
        <v>1897</v>
      </c>
      <c r="F89" s="30" t="s">
        <v>365</v>
      </c>
      <c r="G89" s="34" t="s">
        <v>365</v>
      </c>
      <c r="H89" s="34" t="s">
        <v>33</v>
      </c>
      <c r="I89" s="33" t="s">
        <v>165</v>
      </c>
      <c r="J89" s="32" t="s">
        <v>33</v>
      </c>
      <c r="K89" s="32" t="s">
        <v>33</v>
      </c>
      <c r="L89" s="32" t="s">
        <v>33</v>
      </c>
    </row>
    <row r="90" spans="1:12">
      <c r="A90" s="28">
        <v>2014</v>
      </c>
      <c r="B90" s="29" t="s">
        <v>1906</v>
      </c>
      <c r="C90" s="30" t="s">
        <v>82</v>
      </c>
      <c r="D90" s="28" t="s">
        <v>33</v>
      </c>
      <c r="E90" s="29" t="s">
        <v>1897</v>
      </c>
      <c r="F90" s="30" t="s">
        <v>369</v>
      </c>
      <c r="G90" s="34" t="s">
        <v>369</v>
      </c>
      <c r="H90" s="34" t="s">
        <v>33</v>
      </c>
      <c r="I90" s="31" t="s">
        <v>370</v>
      </c>
      <c r="J90" s="32" t="s">
        <v>371</v>
      </c>
      <c r="K90" s="32" t="s">
        <v>33</v>
      </c>
      <c r="L90" s="32" t="s">
        <v>33</v>
      </c>
    </row>
    <row r="91" spans="1:12">
      <c r="A91" s="28">
        <v>2014</v>
      </c>
      <c r="B91" s="29" t="s">
        <v>1906</v>
      </c>
      <c r="C91" s="30" t="s">
        <v>87</v>
      </c>
      <c r="D91" s="28" t="s">
        <v>33</v>
      </c>
      <c r="E91" s="29" t="s">
        <v>1886</v>
      </c>
      <c r="F91" s="30" t="s">
        <v>373</v>
      </c>
      <c r="G91" s="34" t="s">
        <v>373</v>
      </c>
      <c r="H91" s="34" t="s">
        <v>33</v>
      </c>
      <c r="I91" s="31" t="s">
        <v>370</v>
      </c>
      <c r="J91" s="32" t="s">
        <v>374</v>
      </c>
      <c r="K91" s="32" t="s">
        <v>33</v>
      </c>
      <c r="L91" s="32" t="s">
        <v>33</v>
      </c>
    </row>
    <row r="92" spans="1:12">
      <c r="A92" s="28">
        <v>2014</v>
      </c>
      <c r="B92" s="29" t="s">
        <v>1910</v>
      </c>
      <c r="C92" s="30" t="s">
        <v>133</v>
      </c>
      <c r="D92" s="28" t="s">
        <v>33</v>
      </c>
      <c r="E92" s="29" t="s">
        <v>945</v>
      </c>
      <c r="F92" s="30" t="s">
        <v>375</v>
      </c>
      <c r="G92" s="34" t="s">
        <v>375</v>
      </c>
      <c r="H92" s="34" t="s">
        <v>33</v>
      </c>
      <c r="I92" s="31" t="s">
        <v>377</v>
      </c>
      <c r="J92" s="32" t="s">
        <v>33</v>
      </c>
      <c r="K92" s="32" t="s">
        <v>33</v>
      </c>
      <c r="L92" s="32" t="s">
        <v>33</v>
      </c>
    </row>
    <row r="93" spans="1:12">
      <c r="A93" s="28">
        <v>2014</v>
      </c>
      <c r="B93" s="29" t="s">
        <v>1910</v>
      </c>
      <c r="C93" s="30" t="s">
        <v>133</v>
      </c>
      <c r="D93" s="28" t="s">
        <v>33</v>
      </c>
      <c r="E93" s="29" t="s">
        <v>945</v>
      </c>
      <c r="F93" s="30" t="s">
        <v>1964</v>
      </c>
      <c r="G93" s="34" t="s">
        <v>382</v>
      </c>
      <c r="H93" s="34" t="s">
        <v>33</v>
      </c>
      <c r="I93" s="31" t="s">
        <v>383</v>
      </c>
      <c r="J93" s="32" t="s">
        <v>33</v>
      </c>
      <c r="K93" s="32" t="s">
        <v>33</v>
      </c>
      <c r="L93" s="32" t="s">
        <v>33</v>
      </c>
    </row>
    <row r="94" spans="1:12">
      <c r="A94" s="28">
        <v>2014</v>
      </c>
      <c r="B94" s="29" t="s">
        <v>1878</v>
      </c>
      <c r="C94" s="30" t="s">
        <v>141</v>
      </c>
      <c r="D94" s="28" t="s">
        <v>33</v>
      </c>
      <c r="E94" s="29" t="s">
        <v>1965</v>
      </c>
      <c r="F94" s="30" t="s">
        <v>384</v>
      </c>
      <c r="G94" s="34" t="s">
        <v>384</v>
      </c>
      <c r="H94" s="34" t="s">
        <v>33</v>
      </c>
      <c r="I94" s="31" t="s">
        <v>385</v>
      </c>
      <c r="J94" s="32" t="s">
        <v>386</v>
      </c>
      <c r="K94" s="32" t="s">
        <v>33</v>
      </c>
      <c r="L94" s="32" t="s">
        <v>33</v>
      </c>
    </row>
    <row r="95" spans="1:12">
      <c r="A95" s="28">
        <v>2014</v>
      </c>
      <c r="B95" s="29" t="s">
        <v>1878</v>
      </c>
      <c r="C95" s="30" t="s">
        <v>141</v>
      </c>
      <c r="D95" s="28" t="s">
        <v>33</v>
      </c>
      <c r="E95" s="29" t="s">
        <v>1966</v>
      </c>
      <c r="F95" s="30" t="s">
        <v>1912</v>
      </c>
      <c r="G95" s="34" t="s">
        <v>387</v>
      </c>
      <c r="H95" s="34" t="s">
        <v>33</v>
      </c>
      <c r="I95" s="31" t="s">
        <v>33</v>
      </c>
      <c r="J95" s="32" t="s">
        <v>33</v>
      </c>
      <c r="K95" s="32" t="s">
        <v>33</v>
      </c>
      <c r="L95" s="32" t="s">
        <v>33</v>
      </c>
    </row>
    <row r="96" spans="1:12">
      <c r="A96" s="28">
        <v>2014</v>
      </c>
      <c r="B96" s="29" t="s">
        <v>1878</v>
      </c>
      <c r="C96" s="30" t="s">
        <v>141</v>
      </c>
      <c r="D96" s="28" t="s">
        <v>33</v>
      </c>
      <c r="E96" s="29" t="s">
        <v>392</v>
      </c>
      <c r="F96" s="30" t="s">
        <v>1967</v>
      </c>
      <c r="G96" s="34" t="s">
        <v>392</v>
      </c>
      <c r="H96" s="34" t="s">
        <v>33</v>
      </c>
      <c r="I96" s="31" t="s">
        <v>392</v>
      </c>
      <c r="J96" s="32" t="s">
        <v>393</v>
      </c>
      <c r="K96" s="32" t="s">
        <v>33</v>
      </c>
      <c r="L96" s="32" t="s">
        <v>33</v>
      </c>
    </row>
    <row r="97" spans="1:12">
      <c r="A97" s="28">
        <v>2014</v>
      </c>
      <c r="B97" s="29" t="s">
        <v>1968</v>
      </c>
      <c r="C97" s="30" t="s">
        <v>51</v>
      </c>
      <c r="D97" s="28" t="s">
        <v>33</v>
      </c>
      <c r="E97" s="29" t="s">
        <v>1883</v>
      </c>
      <c r="F97" s="30" t="s">
        <v>1969</v>
      </c>
      <c r="G97" s="34" t="s">
        <v>395</v>
      </c>
      <c r="H97" s="34" t="s">
        <v>33</v>
      </c>
      <c r="I97" s="31" t="s">
        <v>396</v>
      </c>
      <c r="J97" s="32" t="s">
        <v>397</v>
      </c>
      <c r="K97" s="32" t="s">
        <v>33</v>
      </c>
      <c r="L97" s="32" t="s">
        <v>33</v>
      </c>
    </row>
    <row r="98" spans="1:12">
      <c r="A98" s="28">
        <v>2014</v>
      </c>
      <c r="B98" s="29" t="s">
        <v>1968</v>
      </c>
      <c r="C98" s="30" t="s">
        <v>82</v>
      </c>
      <c r="D98" s="28" t="s">
        <v>33</v>
      </c>
      <c r="E98" s="29" t="s">
        <v>1897</v>
      </c>
      <c r="F98" s="30" t="s">
        <v>398</v>
      </c>
      <c r="G98" s="34" t="s">
        <v>398</v>
      </c>
      <c r="H98" s="34" t="s">
        <v>33</v>
      </c>
      <c r="I98" s="31" t="s">
        <v>400</v>
      </c>
      <c r="J98" s="32" t="s">
        <v>401</v>
      </c>
      <c r="K98" s="32" t="s">
        <v>33</v>
      </c>
      <c r="L98" s="32" t="s">
        <v>33</v>
      </c>
    </row>
    <row r="99" spans="1:12">
      <c r="A99" s="28">
        <v>2014</v>
      </c>
      <c r="B99" s="29" t="s">
        <v>1968</v>
      </c>
      <c r="C99" s="30" t="s">
        <v>221</v>
      </c>
      <c r="D99" s="28" t="s">
        <v>33</v>
      </c>
      <c r="E99" s="29" t="s">
        <v>1917</v>
      </c>
      <c r="F99" s="30" t="s">
        <v>957</v>
      </c>
      <c r="G99" s="34" t="s">
        <v>404</v>
      </c>
      <c r="H99" s="34" t="s">
        <v>33</v>
      </c>
      <c r="I99" s="31" t="s">
        <v>406</v>
      </c>
      <c r="J99" s="32" t="s">
        <v>407</v>
      </c>
      <c r="K99" s="32" t="s">
        <v>33</v>
      </c>
      <c r="L99" s="32" t="s">
        <v>33</v>
      </c>
    </row>
    <row r="100" spans="1:12">
      <c r="A100" s="28">
        <v>2014</v>
      </c>
      <c r="B100" s="29" t="s">
        <v>1970</v>
      </c>
      <c r="C100" s="30" t="s">
        <v>221</v>
      </c>
      <c r="D100" s="28" t="s">
        <v>352</v>
      </c>
      <c r="E100" s="29" t="s">
        <v>1937</v>
      </c>
      <c r="F100" s="30" t="s">
        <v>1934</v>
      </c>
      <c r="G100" s="34" t="s">
        <v>412</v>
      </c>
      <c r="H100" s="34" t="s">
        <v>33</v>
      </c>
      <c r="I100" s="31" t="s">
        <v>411</v>
      </c>
      <c r="J100" s="32" t="s">
        <v>33</v>
      </c>
      <c r="K100" s="32" t="s">
        <v>33</v>
      </c>
      <c r="L100" s="32" t="s">
        <v>33</v>
      </c>
    </row>
    <row r="101" spans="1:12">
      <c r="A101" s="28">
        <v>2014</v>
      </c>
      <c r="B101" s="29" t="s">
        <v>1914</v>
      </c>
      <c r="C101" s="30" t="s">
        <v>87</v>
      </c>
      <c r="D101" s="28" t="s">
        <v>33</v>
      </c>
      <c r="E101" s="29" t="s">
        <v>413</v>
      </c>
      <c r="F101" s="30" t="s">
        <v>414</v>
      </c>
      <c r="G101" s="34" t="s">
        <v>414</v>
      </c>
      <c r="H101" s="34" t="s">
        <v>33</v>
      </c>
      <c r="I101" s="33" t="s">
        <v>165</v>
      </c>
      <c r="J101" s="32" t="s">
        <v>33</v>
      </c>
      <c r="K101" s="32" t="s">
        <v>33</v>
      </c>
      <c r="L101" s="32" t="s">
        <v>33</v>
      </c>
    </row>
    <row r="102" spans="1:12">
      <c r="A102" s="28">
        <v>2014</v>
      </c>
      <c r="B102" s="29" t="s">
        <v>1914</v>
      </c>
      <c r="C102" s="30" t="s">
        <v>91</v>
      </c>
      <c r="D102" s="28" t="s">
        <v>33</v>
      </c>
      <c r="E102" s="29" t="s">
        <v>1917</v>
      </c>
      <c r="F102" s="30" t="s">
        <v>1919</v>
      </c>
      <c r="G102" s="34" t="s">
        <v>420</v>
      </c>
      <c r="H102" s="34" t="s">
        <v>33</v>
      </c>
      <c r="I102" s="33" t="s">
        <v>165</v>
      </c>
      <c r="J102" s="32" t="s">
        <v>33</v>
      </c>
      <c r="K102" s="32" t="s">
        <v>33</v>
      </c>
      <c r="L102" s="32" t="s">
        <v>33</v>
      </c>
    </row>
    <row r="103" spans="1:12">
      <c r="A103" s="28">
        <v>2015</v>
      </c>
      <c r="B103" s="29" t="s">
        <v>1971</v>
      </c>
      <c r="C103" s="30" t="s">
        <v>82</v>
      </c>
      <c r="D103" s="28" t="s">
        <v>33</v>
      </c>
      <c r="E103" s="29" t="s">
        <v>289</v>
      </c>
      <c r="F103" s="30" t="s">
        <v>1972</v>
      </c>
      <c r="G103" s="34" t="s">
        <v>1972</v>
      </c>
      <c r="H103" s="34" t="s">
        <v>33</v>
      </c>
      <c r="I103" s="31" t="s">
        <v>422</v>
      </c>
      <c r="J103" s="32" t="s">
        <v>1973</v>
      </c>
      <c r="K103" s="32" t="s">
        <v>33</v>
      </c>
      <c r="L103" s="32" t="s">
        <v>33</v>
      </c>
    </row>
    <row r="104" spans="1:12">
      <c r="A104" s="28">
        <v>2015</v>
      </c>
      <c r="B104" s="29" t="s">
        <v>1875</v>
      </c>
      <c r="C104" s="30" t="s">
        <v>32</v>
      </c>
      <c r="D104" s="28" t="s">
        <v>33</v>
      </c>
      <c r="E104" s="29" t="s">
        <v>1880</v>
      </c>
      <c r="F104" s="30" t="s">
        <v>50</v>
      </c>
      <c r="G104" s="34" t="s">
        <v>427</v>
      </c>
      <c r="H104" s="34" t="s">
        <v>33</v>
      </c>
      <c r="I104" s="31" t="s">
        <v>425</v>
      </c>
      <c r="J104" s="32" t="s">
        <v>426</v>
      </c>
      <c r="K104" s="32" t="s">
        <v>33</v>
      </c>
      <c r="L104" s="32" t="s">
        <v>33</v>
      </c>
    </row>
    <row r="105" spans="1:12">
      <c r="A105" s="28">
        <v>2015</v>
      </c>
      <c r="B105" s="29" t="s">
        <v>1875</v>
      </c>
      <c r="C105" s="30" t="s">
        <v>32</v>
      </c>
      <c r="D105" s="28" t="s">
        <v>33</v>
      </c>
      <c r="E105" s="29" t="s">
        <v>1455</v>
      </c>
      <c r="F105" s="30" t="s">
        <v>1879</v>
      </c>
      <c r="G105" s="34" t="s">
        <v>429</v>
      </c>
      <c r="H105" s="34" t="s">
        <v>33</v>
      </c>
      <c r="I105" s="31" t="s">
        <v>430</v>
      </c>
      <c r="J105" s="32" t="s">
        <v>33</v>
      </c>
      <c r="K105" s="32" t="s">
        <v>33</v>
      </c>
      <c r="L105" s="32" t="s">
        <v>33</v>
      </c>
    </row>
    <row r="106" spans="1:12">
      <c r="A106" s="28">
        <v>2015</v>
      </c>
      <c r="B106" s="29" t="s">
        <v>1215</v>
      </c>
      <c r="C106" s="30" t="s">
        <v>51</v>
      </c>
      <c r="D106" s="28" t="s">
        <v>33</v>
      </c>
      <c r="E106" s="29" t="s">
        <v>432</v>
      </c>
      <c r="F106" s="30" t="s">
        <v>432</v>
      </c>
      <c r="G106" s="34" t="s">
        <v>432</v>
      </c>
      <c r="H106" s="34" t="s">
        <v>33</v>
      </c>
      <c r="I106" s="33" t="s">
        <v>165</v>
      </c>
      <c r="J106" s="32" t="s">
        <v>1974</v>
      </c>
      <c r="K106" s="32" t="s">
        <v>33</v>
      </c>
      <c r="L106" s="32" t="s">
        <v>33</v>
      </c>
    </row>
    <row r="107" spans="1:12">
      <c r="A107" s="28">
        <v>2015</v>
      </c>
      <c r="B107" s="29" t="s">
        <v>1215</v>
      </c>
      <c r="C107" s="30" t="s">
        <v>51</v>
      </c>
      <c r="D107" s="28" t="s">
        <v>33</v>
      </c>
      <c r="E107" s="29" t="s">
        <v>1926</v>
      </c>
      <c r="F107" s="30" t="s">
        <v>1924</v>
      </c>
      <c r="G107" s="34" t="s">
        <v>437</v>
      </c>
      <c r="H107" s="34" t="s">
        <v>33</v>
      </c>
      <c r="I107" s="33" t="s">
        <v>165</v>
      </c>
      <c r="J107" s="32" t="s">
        <v>439</v>
      </c>
      <c r="K107" s="32" t="s">
        <v>33</v>
      </c>
      <c r="L107" s="32" t="s">
        <v>33</v>
      </c>
    </row>
    <row r="108" spans="1:12">
      <c r="A108" s="28">
        <v>2015</v>
      </c>
      <c r="B108" s="29" t="s">
        <v>1215</v>
      </c>
      <c r="C108" s="30" t="s">
        <v>91</v>
      </c>
      <c r="D108" s="28" t="s">
        <v>33</v>
      </c>
      <c r="E108" s="29" t="s">
        <v>1975</v>
      </c>
      <c r="F108" s="30" t="s">
        <v>1976</v>
      </c>
      <c r="G108" s="34" t="s">
        <v>443</v>
      </c>
      <c r="H108" s="34" t="s">
        <v>33</v>
      </c>
      <c r="I108" s="31" t="s">
        <v>444</v>
      </c>
      <c r="J108" s="32" t="s">
        <v>445</v>
      </c>
      <c r="K108" s="32" t="s">
        <v>33</v>
      </c>
      <c r="L108" s="32" t="s">
        <v>33</v>
      </c>
    </row>
    <row r="109" spans="1:12">
      <c r="A109" s="28">
        <v>2015</v>
      </c>
      <c r="B109" s="29" t="s">
        <v>1885</v>
      </c>
      <c r="C109" s="30" t="s">
        <v>68</v>
      </c>
      <c r="D109" s="28" t="s">
        <v>33</v>
      </c>
      <c r="E109" s="29" t="s">
        <v>1892</v>
      </c>
      <c r="F109" s="30" t="s">
        <v>446</v>
      </c>
      <c r="G109" s="34" t="s">
        <v>448</v>
      </c>
      <c r="H109" s="34" t="s">
        <v>33</v>
      </c>
      <c r="I109" s="31" t="s">
        <v>447</v>
      </c>
      <c r="J109" s="32" t="s">
        <v>33</v>
      </c>
      <c r="K109" s="32" t="s">
        <v>33</v>
      </c>
      <c r="L109" s="32" t="s">
        <v>33</v>
      </c>
    </row>
    <row r="110" spans="1:12">
      <c r="A110" s="28">
        <v>2015</v>
      </c>
      <c r="B110" s="29" t="s">
        <v>1885</v>
      </c>
      <c r="C110" s="30" t="s">
        <v>68</v>
      </c>
      <c r="D110" s="28" t="s">
        <v>33</v>
      </c>
      <c r="E110" s="29" t="s">
        <v>945</v>
      </c>
      <c r="F110" s="30" t="s">
        <v>1977</v>
      </c>
      <c r="G110" s="34" t="s">
        <v>449</v>
      </c>
      <c r="H110" s="34" t="s">
        <v>33</v>
      </c>
      <c r="I110" s="31" t="s">
        <v>450</v>
      </c>
      <c r="J110" s="32" t="s">
        <v>33</v>
      </c>
      <c r="K110" s="32" t="s">
        <v>33</v>
      </c>
      <c r="L110" s="32" t="s">
        <v>33</v>
      </c>
    </row>
    <row r="111" spans="1:12">
      <c r="A111" s="28">
        <v>2015</v>
      </c>
      <c r="B111" s="29" t="s">
        <v>1885</v>
      </c>
      <c r="C111" s="30" t="s">
        <v>68</v>
      </c>
      <c r="D111" s="28" t="s">
        <v>451</v>
      </c>
      <c r="E111" s="29" t="s">
        <v>1892</v>
      </c>
      <c r="F111" s="30" t="s">
        <v>453</v>
      </c>
      <c r="G111" s="34" t="s">
        <v>453</v>
      </c>
      <c r="H111" s="34" t="s">
        <v>33</v>
      </c>
      <c r="I111" s="31" t="s">
        <v>454</v>
      </c>
      <c r="J111" s="32" t="s">
        <v>455</v>
      </c>
      <c r="K111" s="32" t="s">
        <v>33</v>
      </c>
      <c r="L111" s="32" t="s">
        <v>33</v>
      </c>
    </row>
    <row r="112" spans="1:12">
      <c r="A112" s="28">
        <v>2015</v>
      </c>
      <c r="B112" s="29" t="s">
        <v>1894</v>
      </c>
      <c r="C112" s="30" t="s">
        <v>64</v>
      </c>
      <c r="D112" s="28" t="s">
        <v>33</v>
      </c>
      <c r="E112" s="29" t="s">
        <v>1978</v>
      </c>
      <c r="F112" s="30" t="s">
        <v>456</v>
      </c>
      <c r="G112" s="34" t="s">
        <v>456</v>
      </c>
      <c r="H112" s="34" t="s">
        <v>33</v>
      </c>
      <c r="I112" s="31" t="s">
        <v>458</v>
      </c>
      <c r="J112" s="32" t="s">
        <v>459</v>
      </c>
      <c r="K112" s="32" t="s">
        <v>33</v>
      </c>
      <c r="L112" s="32" t="s">
        <v>33</v>
      </c>
    </row>
    <row r="113" spans="1:12">
      <c r="A113" s="28">
        <v>2015</v>
      </c>
      <c r="B113" s="29" t="s">
        <v>1894</v>
      </c>
      <c r="C113" s="30" t="s">
        <v>87</v>
      </c>
      <c r="D113" s="28" t="s">
        <v>33</v>
      </c>
      <c r="E113" s="29" t="s">
        <v>462</v>
      </c>
      <c r="F113" s="30" t="s">
        <v>462</v>
      </c>
      <c r="G113" s="34" t="s">
        <v>462</v>
      </c>
      <c r="H113" s="34" t="s">
        <v>33</v>
      </c>
      <c r="I113" s="31" t="s">
        <v>463</v>
      </c>
      <c r="J113" s="32" t="s">
        <v>464</v>
      </c>
      <c r="K113" s="32" t="s">
        <v>33</v>
      </c>
      <c r="L113" s="32" t="s">
        <v>33</v>
      </c>
    </row>
    <row r="114" spans="1:12">
      <c r="A114" s="28">
        <v>2015</v>
      </c>
      <c r="B114" s="29" t="s">
        <v>1894</v>
      </c>
      <c r="C114" s="30" t="s">
        <v>91</v>
      </c>
      <c r="D114" s="28" t="s">
        <v>33</v>
      </c>
      <c r="E114" s="29" t="s">
        <v>1892</v>
      </c>
      <c r="F114" s="30" t="s">
        <v>1895</v>
      </c>
      <c r="G114" s="34" t="s">
        <v>466</v>
      </c>
      <c r="H114" s="34" t="s">
        <v>33</v>
      </c>
      <c r="I114" s="31" t="s">
        <v>467</v>
      </c>
      <c r="J114" s="32" t="s">
        <v>33</v>
      </c>
      <c r="K114" s="32" t="s">
        <v>33</v>
      </c>
      <c r="L114" s="32" t="s">
        <v>33</v>
      </c>
    </row>
    <row r="115" spans="1:12">
      <c r="A115" s="28">
        <v>2015</v>
      </c>
      <c r="B115" s="29" t="s">
        <v>1933</v>
      </c>
      <c r="C115" s="30" t="s">
        <v>221</v>
      </c>
      <c r="D115" s="28" t="s">
        <v>33</v>
      </c>
      <c r="E115" s="29" t="s">
        <v>1873</v>
      </c>
      <c r="F115" s="30" t="s">
        <v>1934</v>
      </c>
      <c r="G115" s="34" t="s">
        <v>468</v>
      </c>
      <c r="H115" s="34" t="s">
        <v>33</v>
      </c>
      <c r="I115" s="31" t="s">
        <v>469</v>
      </c>
      <c r="J115" s="32" t="s">
        <v>33</v>
      </c>
      <c r="K115" s="32" t="s">
        <v>33</v>
      </c>
      <c r="L115" s="32" t="s">
        <v>33</v>
      </c>
    </row>
    <row r="116" spans="1:12">
      <c r="A116" s="28">
        <v>2015</v>
      </c>
      <c r="B116" s="29" t="s">
        <v>1933</v>
      </c>
      <c r="C116" s="30" t="s">
        <v>32</v>
      </c>
      <c r="D116" s="28" t="s">
        <v>33</v>
      </c>
      <c r="E116" s="29" t="s">
        <v>1920</v>
      </c>
      <c r="F116" s="30" t="s">
        <v>1922</v>
      </c>
      <c r="G116" s="34" t="s">
        <v>471</v>
      </c>
      <c r="H116" s="34" t="s">
        <v>33</v>
      </c>
      <c r="I116" s="31" t="s">
        <v>472</v>
      </c>
      <c r="J116" s="32" t="s">
        <v>33</v>
      </c>
      <c r="K116" s="32" t="s">
        <v>33</v>
      </c>
      <c r="L116" s="32" t="s">
        <v>33</v>
      </c>
    </row>
    <row r="117" spans="1:12">
      <c r="A117" s="28">
        <v>2015</v>
      </c>
      <c r="B117" s="29" t="s">
        <v>1546</v>
      </c>
      <c r="C117" s="30" t="s">
        <v>100</v>
      </c>
      <c r="D117" s="28" t="s">
        <v>33</v>
      </c>
      <c r="E117" s="29" t="s">
        <v>1900</v>
      </c>
      <c r="F117" s="30" t="s">
        <v>1938</v>
      </c>
      <c r="G117" s="34" t="s">
        <v>480</v>
      </c>
      <c r="H117" s="34" t="s">
        <v>33</v>
      </c>
      <c r="I117" s="31" t="s">
        <v>476</v>
      </c>
      <c r="J117" s="32" t="s">
        <v>33</v>
      </c>
      <c r="K117" s="32" t="s">
        <v>33</v>
      </c>
      <c r="L117" s="32" t="s">
        <v>33</v>
      </c>
    </row>
    <row r="118" spans="1:12">
      <c r="A118" s="28">
        <v>2015</v>
      </c>
      <c r="B118" s="29" t="s">
        <v>1546</v>
      </c>
      <c r="C118" s="30" t="s">
        <v>82</v>
      </c>
      <c r="D118" s="28" t="s">
        <v>33</v>
      </c>
      <c r="E118" s="29" t="s">
        <v>1979</v>
      </c>
      <c r="F118" s="30" t="s">
        <v>486</v>
      </c>
      <c r="G118" s="34" t="s">
        <v>486</v>
      </c>
      <c r="H118" s="34" t="s">
        <v>33</v>
      </c>
      <c r="I118" s="31" t="s">
        <v>484</v>
      </c>
      <c r="J118" s="32" t="s">
        <v>485</v>
      </c>
      <c r="K118" s="32" t="s">
        <v>33</v>
      </c>
      <c r="L118" s="32" t="s">
        <v>33</v>
      </c>
    </row>
    <row r="119" spans="1:12">
      <c r="A119" s="28">
        <v>2015</v>
      </c>
      <c r="B119" s="29" t="s">
        <v>1903</v>
      </c>
      <c r="C119" s="30" t="s">
        <v>115</v>
      </c>
      <c r="D119" s="28" t="s">
        <v>33</v>
      </c>
      <c r="E119" s="29" t="s">
        <v>1942</v>
      </c>
      <c r="F119" s="30" t="s">
        <v>1980</v>
      </c>
      <c r="G119" s="34" t="s">
        <v>488</v>
      </c>
      <c r="H119" s="34" t="s">
        <v>33</v>
      </c>
      <c r="I119" s="31" t="s">
        <v>489</v>
      </c>
      <c r="J119" s="32" t="s">
        <v>490</v>
      </c>
      <c r="K119" s="32" t="s">
        <v>33</v>
      </c>
      <c r="L119" s="32" t="s">
        <v>33</v>
      </c>
    </row>
    <row r="120" spans="1:12">
      <c r="A120" s="28">
        <v>2015</v>
      </c>
      <c r="B120" s="29" t="s">
        <v>1564</v>
      </c>
      <c r="C120" s="30" t="s">
        <v>82</v>
      </c>
      <c r="D120" s="28" t="s">
        <v>33</v>
      </c>
      <c r="E120" s="29" t="s">
        <v>492</v>
      </c>
      <c r="F120" s="30" t="s">
        <v>491</v>
      </c>
      <c r="G120" s="34" t="s">
        <v>491</v>
      </c>
      <c r="H120" s="34" t="s">
        <v>33</v>
      </c>
      <c r="I120" s="31" t="s">
        <v>492</v>
      </c>
      <c r="J120" s="32" t="s">
        <v>33</v>
      </c>
      <c r="K120" s="32" t="s">
        <v>33</v>
      </c>
      <c r="L120" s="32" t="s">
        <v>33</v>
      </c>
    </row>
    <row r="121" spans="1:12">
      <c r="A121" s="28">
        <v>2015</v>
      </c>
      <c r="B121" s="29" t="s">
        <v>1564</v>
      </c>
      <c r="C121" s="30" t="s">
        <v>100</v>
      </c>
      <c r="D121" s="28" t="s">
        <v>33</v>
      </c>
      <c r="E121" s="29" t="s">
        <v>611</v>
      </c>
      <c r="F121" s="30" t="s">
        <v>1981</v>
      </c>
      <c r="G121" s="34" t="s">
        <v>1982</v>
      </c>
      <c r="H121" s="34" t="s">
        <v>33</v>
      </c>
      <c r="I121" s="31" t="s">
        <v>495</v>
      </c>
      <c r="J121" s="32" t="s">
        <v>496</v>
      </c>
      <c r="K121" s="32" t="s">
        <v>33</v>
      </c>
      <c r="L121" s="32" t="s">
        <v>33</v>
      </c>
    </row>
    <row r="122" spans="1:12">
      <c r="A122" s="28">
        <v>2015</v>
      </c>
      <c r="B122" s="29" t="s">
        <v>1564</v>
      </c>
      <c r="C122" s="30" t="s">
        <v>82</v>
      </c>
      <c r="D122" s="28" t="s">
        <v>33</v>
      </c>
      <c r="E122" s="29" t="s">
        <v>1455</v>
      </c>
      <c r="F122" s="30" t="s">
        <v>499</v>
      </c>
      <c r="G122" s="34" t="s">
        <v>499</v>
      </c>
      <c r="H122" s="34" t="s">
        <v>33</v>
      </c>
      <c r="I122" s="31" t="s">
        <v>500</v>
      </c>
      <c r="J122" s="32" t="s">
        <v>33</v>
      </c>
      <c r="K122" s="32" t="s">
        <v>33</v>
      </c>
      <c r="L122" s="32" t="s">
        <v>33</v>
      </c>
    </row>
    <row r="123" spans="1:12">
      <c r="A123" s="28">
        <v>2015</v>
      </c>
      <c r="B123" s="29" t="s">
        <v>1906</v>
      </c>
      <c r="C123" s="30" t="s">
        <v>100</v>
      </c>
      <c r="D123" s="28" t="s">
        <v>33</v>
      </c>
      <c r="E123" s="29" t="s">
        <v>1983</v>
      </c>
      <c r="F123" s="30" t="s">
        <v>1984</v>
      </c>
      <c r="G123" s="34" t="s">
        <v>502</v>
      </c>
      <c r="H123" s="34" t="s">
        <v>33</v>
      </c>
      <c r="I123" s="31" t="s">
        <v>503</v>
      </c>
      <c r="J123" s="32" t="s">
        <v>504</v>
      </c>
      <c r="K123" s="32" t="s">
        <v>33</v>
      </c>
      <c r="L123" s="32" t="s">
        <v>33</v>
      </c>
    </row>
    <row r="124" spans="1:12">
      <c r="A124" s="28">
        <v>2015</v>
      </c>
      <c r="B124" s="29" t="s">
        <v>1906</v>
      </c>
      <c r="C124" s="30" t="s">
        <v>133</v>
      </c>
      <c r="D124" s="28" t="s">
        <v>33</v>
      </c>
      <c r="E124" s="29" t="s">
        <v>1897</v>
      </c>
      <c r="F124" s="30" t="s">
        <v>505</v>
      </c>
      <c r="G124" s="34" t="s">
        <v>505</v>
      </c>
      <c r="H124" s="34" t="s">
        <v>33</v>
      </c>
      <c r="I124" s="31" t="s">
        <v>506</v>
      </c>
      <c r="J124" s="32" t="s">
        <v>507</v>
      </c>
      <c r="K124" s="32" t="s">
        <v>33</v>
      </c>
      <c r="L124" s="32" t="s">
        <v>33</v>
      </c>
    </row>
    <row r="125" spans="1:12">
      <c r="A125" s="28">
        <v>2015</v>
      </c>
      <c r="B125" s="29" t="s">
        <v>1906</v>
      </c>
      <c r="C125" s="30" t="s">
        <v>82</v>
      </c>
      <c r="D125" s="28" t="s">
        <v>33</v>
      </c>
      <c r="E125" s="29" t="s">
        <v>1985</v>
      </c>
      <c r="F125" s="30" t="s">
        <v>508</v>
      </c>
      <c r="G125" s="34" t="s">
        <v>508</v>
      </c>
      <c r="H125" s="34" t="s">
        <v>33</v>
      </c>
      <c r="I125" s="31" t="s">
        <v>509</v>
      </c>
      <c r="J125" s="32" t="s">
        <v>510</v>
      </c>
      <c r="K125" s="32" t="s">
        <v>33</v>
      </c>
      <c r="L125" s="32" t="s">
        <v>33</v>
      </c>
    </row>
    <row r="126" spans="1:12">
      <c r="A126" s="28">
        <v>2015</v>
      </c>
      <c r="B126" s="29" t="s">
        <v>1910</v>
      </c>
      <c r="C126" s="30" t="s">
        <v>133</v>
      </c>
      <c r="D126" s="28" t="s">
        <v>33</v>
      </c>
      <c r="E126" s="29" t="s">
        <v>1455</v>
      </c>
      <c r="F126" s="30" t="s">
        <v>1949</v>
      </c>
      <c r="G126" s="34" t="s">
        <v>271</v>
      </c>
      <c r="H126" s="34" t="s">
        <v>33</v>
      </c>
      <c r="I126" s="31" t="s">
        <v>512</v>
      </c>
      <c r="J126" s="32" t="s">
        <v>513</v>
      </c>
      <c r="K126" s="32" t="s">
        <v>33</v>
      </c>
      <c r="L126" s="32" t="s">
        <v>33</v>
      </c>
    </row>
    <row r="127" spans="1:12">
      <c r="A127" s="28">
        <v>2015</v>
      </c>
      <c r="B127" s="29" t="s">
        <v>1910</v>
      </c>
      <c r="C127" s="30" t="s">
        <v>133</v>
      </c>
      <c r="D127" s="28" t="s">
        <v>33</v>
      </c>
      <c r="E127" s="29" t="s">
        <v>1897</v>
      </c>
      <c r="F127" s="30" t="s">
        <v>1986</v>
      </c>
      <c r="G127" s="34" t="s">
        <v>514</v>
      </c>
      <c r="H127" s="34" t="s">
        <v>33</v>
      </c>
      <c r="I127" s="31" t="s">
        <v>515</v>
      </c>
      <c r="J127" s="32" t="s">
        <v>516</v>
      </c>
      <c r="K127" s="32" t="s">
        <v>33</v>
      </c>
      <c r="L127" s="32" t="s">
        <v>33</v>
      </c>
    </row>
    <row r="128" spans="1:12">
      <c r="A128" s="28">
        <v>2015</v>
      </c>
      <c r="B128" s="29" t="s">
        <v>1878</v>
      </c>
      <c r="C128" s="30" t="s">
        <v>141</v>
      </c>
      <c r="D128" s="28" t="s">
        <v>33</v>
      </c>
      <c r="E128" s="29" t="s">
        <v>1987</v>
      </c>
      <c r="F128" s="30" t="s">
        <v>1988</v>
      </c>
      <c r="G128" s="34" t="s">
        <v>518</v>
      </c>
      <c r="H128" s="34" t="s">
        <v>33</v>
      </c>
      <c r="I128" s="31" t="s">
        <v>519</v>
      </c>
      <c r="J128" s="32" t="s">
        <v>33</v>
      </c>
      <c r="K128" s="32" t="s">
        <v>33</v>
      </c>
      <c r="L128" s="32" t="s">
        <v>33</v>
      </c>
    </row>
    <row r="129" spans="1:12">
      <c r="A129" s="28">
        <v>2015</v>
      </c>
      <c r="B129" s="29" t="s">
        <v>1970</v>
      </c>
      <c r="C129" s="30" t="s">
        <v>60</v>
      </c>
      <c r="D129" s="28" t="s">
        <v>352</v>
      </c>
      <c r="E129" s="29" t="s">
        <v>1989</v>
      </c>
      <c r="F129" s="30" t="s">
        <v>520</v>
      </c>
      <c r="G129" s="34" t="s">
        <v>520</v>
      </c>
      <c r="H129" s="34" t="s">
        <v>33</v>
      </c>
      <c r="I129" s="31" t="s">
        <v>521</v>
      </c>
      <c r="J129" s="32" t="s">
        <v>33</v>
      </c>
      <c r="K129" s="32" t="s">
        <v>33</v>
      </c>
      <c r="L129" s="32" t="s">
        <v>33</v>
      </c>
    </row>
    <row r="130" spans="1:12">
      <c r="A130" s="28">
        <v>2015</v>
      </c>
      <c r="B130" s="29" t="s">
        <v>1914</v>
      </c>
      <c r="C130" s="30" t="s">
        <v>91</v>
      </c>
      <c r="D130" s="28" t="s">
        <v>33</v>
      </c>
      <c r="E130" s="29" t="s">
        <v>1954</v>
      </c>
      <c r="F130" s="30" t="s">
        <v>1895</v>
      </c>
      <c r="G130" s="34" t="s">
        <v>524</v>
      </c>
      <c r="H130" s="34" t="s">
        <v>33</v>
      </c>
      <c r="I130" s="31" t="s">
        <v>523</v>
      </c>
      <c r="J130" s="32" t="s">
        <v>33</v>
      </c>
      <c r="K130" s="32" t="s">
        <v>33</v>
      </c>
      <c r="L130" s="32" t="s">
        <v>33</v>
      </c>
    </row>
    <row r="131" spans="1:12">
      <c r="A131" s="28">
        <v>2016</v>
      </c>
      <c r="B131" s="29" t="s">
        <v>1875</v>
      </c>
      <c r="C131" s="30" t="s">
        <v>32</v>
      </c>
      <c r="D131" s="28" t="s">
        <v>33</v>
      </c>
      <c r="E131" s="29" t="s">
        <v>1455</v>
      </c>
      <c r="F131" s="30" t="s">
        <v>1923</v>
      </c>
      <c r="G131" s="34" t="s">
        <v>525</v>
      </c>
      <c r="H131" s="34" t="s">
        <v>33</v>
      </c>
      <c r="I131" s="31" t="s">
        <v>526</v>
      </c>
      <c r="J131" s="32" t="s">
        <v>527</v>
      </c>
      <c r="K131" s="32" t="s">
        <v>33</v>
      </c>
      <c r="L131" s="32" t="s">
        <v>33</v>
      </c>
    </row>
    <row r="132" spans="1:12">
      <c r="A132" s="28">
        <v>2016</v>
      </c>
      <c r="B132" s="29" t="s">
        <v>1875</v>
      </c>
      <c r="C132" s="30" t="s">
        <v>32</v>
      </c>
      <c r="D132" s="28" t="s">
        <v>33</v>
      </c>
      <c r="E132" s="29" t="s">
        <v>1892</v>
      </c>
      <c r="F132" s="30" t="s">
        <v>1922</v>
      </c>
      <c r="G132" s="34" t="s">
        <v>528</v>
      </c>
      <c r="H132" s="34" t="s">
        <v>33</v>
      </c>
      <c r="I132" s="31" t="s">
        <v>529</v>
      </c>
      <c r="J132" s="32" t="s">
        <v>530</v>
      </c>
      <c r="K132" s="32" t="s">
        <v>33</v>
      </c>
      <c r="L132" s="32" t="s">
        <v>33</v>
      </c>
    </row>
    <row r="133" spans="1:12">
      <c r="A133" s="28">
        <v>2016</v>
      </c>
      <c r="B133" s="29" t="s">
        <v>1875</v>
      </c>
      <c r="C133" s="30" t="s">
        <v>32</v>
      </c>
      <c r="D133" s="28" t="s">
        <v>33</v>
      </c>
      <c r="E133" s="29" t="s">
        <v>148</v>
      </c>
      <c r="F133" s="30" t="s">
        <v>1879</v>
      </c>
      <c r="G133" s="34" t="s">
        <v>531</v>
      </c>
      <c r="H133" s="34" t="s">
        <v>33</v>
      </c>
      <c r="I133" s="31" t="s">
        <v>532</v>
      </c>
      <c r="J133" s="32" t="s">
        <v>533</v>
      </c>
      <c r="K133" s="32" t="s">
        <v>33</v>
      </c>
      <c r="L133" s="32" t="s">
        <v>33</v>
      </c>
    </row>
    <row r="134" spans="1:12">
      <c r="A134" s="28">
        <v>2016</v>
      </c>
      <c r="B134" s="29" t="s">
        <v>1215</v>
      </c>
      <c r="C134" s="30" t="s">
        <v>91</v>
      </c>
      <c r="D134" s="28" t="s">
        <v>33</v>
      </c>
      <c r="E134" s="29" t="s">
        <v>1990</v>
      </c>
      <c r="F134" s="30" t="s">
        <v>1991</v>
      </c>
      <c r="G134" s="34" t="s">
        <v>537</v>
      </c>
      <c r="H134" s="34" t="s">
        <v>33</v>
      </c>
      <c r="I134" s="31" t="s">
        <v>1992</v>
      </c>
      <c r="J134" s="32" t="s">
        <v>536</v>
      </c>
      <c r="K134" s="32" t="s">
        <v>33</v>
      </c>
      <c r="L134" s="32" t="s">
        <v>33</v>
      </c>
    </row>
    <row r="135" spans="1:12">
      <c r="A135" s="28">
        <v>2016</v>
      </c>
      <c r="B135" s="29" t="s">
        <v>1215</v>
      </c>
      <c r="C135" s="30" t="s">
        <v>51</v>
      </c>
      <c r="D135" s="28" t="s">
        <v>33</v>
      </c>
      <c r="E135" s="29" t="s">
        <v>1881</v>
      </c>
      <c r="F135" s="30" t="s">
        <v>1993</v>
      </c>
      <c r="G135" s="34" t="s">
        <v>539</v>
      </c>
      <c r="H135" s="34" t="s">
        <v>33</v>
      </c>
      <c r="I135" s="31" t="s">
        <v>540</v>
      </c>
      <c r="J135" s="32" t="s">
        <v>541</v>
      </c>
      <c r="K135" s="32" t="s">
        <v>33</v>
      </c>
      <c r="L135" s="32" t="s">
        <v>33</v>
      </c>
    </row>
    <row r="136" spans="1:12">
      <c r="A136" s="28">
        <v>2016</v>
      </c>
      <c r="B136" s="29" t="s">
        <v>1215</v>
      </c>
      <c r="C136" s="30" t="s">
        <v>68</v>
      </c>
      <c r="D136" s="28" t="s">
        <v>33</v>
      </c>
      <c r="E136" s="29" t="s">
        <v>1994</v>
      </c>
      <c r="F136" s="30" t="s">
        <v>1957</v>
      </c>
      <c r="G136" s="34" t="s">
        <v>543</v>
      </c>
      <c r="H136" s="34" t="s">
        <v>33</v>
      </c>
      <c r="I136" s="31" t="s">
        <v>544</v>
      </c>
      <c r="J136" s="32" t="s">
        <v>545</v>
      </c>
      <c r="K136" s="32" t="s">
        <v>33</v>
      </c>
      <c r="L136" s="32" t="s">
        <v>33</v>
      </c>
    </row>
    <row r="137" spans="1:12">
      <c r="A137" s="28">
        <v>2016</v>
      </c>
      <c r="B137" s="29" t="s">
        <v>1882</v>
      </c>
      <c r="C137" s="30" t="s">
        <v>33</v>
      </c>
      <c r="D137" s="28" t="s">
        <v>55</v>
      </c>
      <c r="E137" s="29" t="s">
        <v>1890</v>
      </c>
      <c r="F137" s="30" t="s">
        <v>33</v>
      </c>
      <c r="G137" s="34" t="s">
        <v>33</v>
      </c>
      <c r="H137" s="34" t="s">
        <v>33</v>
      </c>
      <c r="I137" s="31" t="s">
        <v>546</v>
      </c>
      <c r="J137" s="32" t="s">
        <v>547</v>
      </c>
      <c r="K137" s="32" t="s">
        <v>33</v>
      </c>
      <c r="L137" s="32" t="s">
        <v>33</v>
      </c>
    </row>
    <row r="138" spans="1:12">
      <c r="A138" s="28">
        <v>2016</v>
      </c>
      <c r="B138" s="29" t="s">
        <v>1885</v>
      </c>
      <c r="C138" s="30" t="s">
        <v>91</v>
      </c>
      <c r="D138" s="28" t="s">
        <v>33</v>
      </c>
      <c r="E138" s="29" t="s">
        <v>1887</v>
      </c>
      <c r="F138" s="30" t="s">
        <v>1995</v>
      </c>
      <c r="G138" s="34" t="s">
        <v>549</v>
      </c>
      <c r="H138" s="34" t="s">
        <v>33</v>
      </c>
      <c r="I138" s="31" t="s">
        <v>550</v>
      </c>
      <c r="J138" s="32" t="s">
        <v>551</v>
      </c>
      <c r="K138" s="32" t="s">
        <v>33</v>
      </c>
      <c r="L138" s="32" t="s">
        <v>33</v>
      </c>
    </row>
    <row r="139" spans="1:12">
      <c r="A139" s="28">
        <v>2016</v>
      </c>
      <c r="B139" s="29" t="s">
        <v>1885</v>
      </c>
      <c r="C139" s="30" t="s">
        <v>68</v>
      </c>
      <c r="D139" s="28" t="s">
        <v>33</v>
      </c>
      <c r="E139" s="29" t="s">
        <v>1887</v>
      </c>
      <c r="F139" s="30" t="s">
        <v>1888</v>
      </c>
      <c r="G139" s="34" t="s">
        <v>552</v>
      </c>
      <c r="H139" s="34" t="s">
        <v>33</v>
      </c>
      <c r="I139" s="31" t="s">
        <v>553</v>
      </c>
      <c r="J139" s="32" t="s">
        <v>33</v>
      </c>
      <c r="K139" s="32" t="s">
        <v>33</v>
      </c>
      <c r="L139" s="32" t="s">
        <v>33</v>
      </c>
    </row>
    <row r="140" spans="1:12">
      <c r="A140" s="28">
        <v>2016</v>
      </c>
      <c r="B140" s="29" t="s">
        <v>1885</v>
      </c>
      <c r="C140" s="30" t="s">
        <v>64</v>
      </c>
      <c r="D140" s="28" t="s">
        <v>33</v>
      </c>
      <c r="E140" s="29" t="s">
        <v>1883</v>
      </c>
      <c r="F140" s="30" t="s">
        <v>1996</v>
      </c>
      <c r="G140" s="34" t="s">
        <v>557</v>
      </c>
      <c r="H140" s="34" t="s">
        <v>33</v>
      </c>
      <c r="I140" s="31" t="s">
        <v>556</v>
      </c>
      <c r="J140" s="32" t="s">
        <v>551</v>
      </c>
      <c r="K140" s="32" t="s">
        <v>33</v>
      </c>
      <c r="L140" s="32" t="s">
        <v>33</v>
      </c>
    </row>
    <row r="141" spans="1:12">
      <c r="A141" s="28">
        <v>2016</v>
      </c>
      <c r="B141" s="29" t="s">
        <v>1885</v>
      </c>
      <c r="C141" s="30" t="s">
        <v>32</v>
      </c>
      <c r="D141" s="28" t="s">
        <v>33</v>
      </c>
      <c r="E141" s="29" t="s">
        <v>1892</v>
      </c>
      <c r="F141" s="30" t="s">
        <v>1922</v>
      </c>
      <c r="G141" s="41" t="s">
        <v>558</v>
      </c>
      <c r="H141" s="41"/>
      <c r="I141" s="31" t="s">
        <v>559</v>
      </c>
      <c r="J141" s="32" t="s">
        <v>560</v>
      </c>
      <c r="K141" s="32" t="s">
        <v>33</v>
      </c>
      <c r="L141" s="32" t="s">
        <v>33</v>
      </c>
    </row>
    <row r="142" spans="1:12">
      <c r="A142" s="28">
        <v>2016</v>
      </c>
      <c r="B142" s="29" t="s">
        <v>1894</v>
      </c>
      <c r="C142" s="30" t="s">
        <v>91</v>
      </c>
      <c r="D142" s="28" t="s">
        <v>33</v>
      </c>
      <c r="E142" s="29" t="s">
        <v>1997</v>
      </c>
      <c r="F142" s="30" t="s">
        <v>1919</v>
      </c>
      <c r="G142" s="34" t="s">
        <v>561</v>
      </c>
      <c r="H142" s="34" t="s">
        <v>33</v>
      </c>
      <c r="I142" s="31" t="s">
        <v>562</v>
      </c>
      <c r="J142" s="32" t="s">
        <v>563</v>
      </c>
      <c r="K142" s="32" t="s">
        <v>33</v>
      </c>
      <c r="L142" s="32" t="s">
        <v>33</v>
      </c>
    </row>
    <row r="143" spans="1:12">
      <c r="A143" s="28">
        <v>2016</v>
      </c>
      <c r="B143" s="29" t="s">
        <v>1894</v>
      </c>
      <c r="C143" s="30" t="s">
        <v>87</v>
      </c>
      <c r="D143" s="28" t="s">
        <v>33</v>
      </c>
      <c r="E143" s="29" t="s">
        <v>1998</v>
      </c>
      <c r="F143" s="30" t="s">
        <v>564</v>
      </c>
      <c r="G143" s="34" t="s">
        <v>564</v>
      </c>
      <c r="H143" s="34" t="s">
        <v>33</v>
      </c>
      <c r="I143" s="31" t="s">
        <v>565</v>
      </c>
      <c r="J143" s="32" t="s">
        <v>566</v>
      </c>
      <c r="K143" s="32" t="s">
        <v>33</v>
      </c>
      <c r="L143" s="32" t="s">
        <v>33</v>
      </c>
    </row>
    <row r="144" spans="1:12">
      <c r="A144" s="28">
        <v>2016</v>
      </c>
      <c r="B144" s="29" t="s">
        <v>1896</v>
      </c>
      <c r="C144" s="30" t="s">
        <v>91</v>
      </c>
      <c r="D144" s="28" t="s">
        <v>33</v>
      </c>
      <c r="E144" s="29" t="s">
        <v>1897</v>
      </c>
      <c r="F144" s="30" t="s">
        <v>568</v>
      </c>
      <c r="G144" s="34" t="s">
        <v>568</v>
      </c>
      <c r="H144" s="34" t="s">
        <v>33</v>
      </c>
      <c r="I144" s="31" t="s">
        <v>570</v>
      </c>
      <c r="J144" s="32" t="s">
        <v>33</v>
      </c>
      <c r="K144" s="32" t="s">
        <v>33</v>
      </c>
      <c r="L144" s="32" t="s">
        <v>33</v>
      </c>
    </row>
    <row r="145" spans="1:12">
      <c r="A145" s="28">
        <v>2016</v>
      </c>
      <c r="B145" s="29" t="s">
        <v>1933</v>
      </c>
      <c r="C145" s="30" t="s">
        <v>221</v>
      </c>
      <c r="D145" s="28" t="s">
        <v>33</v>
      </c>
      <c r="E145" s="29" t="s">
        <v>1948</v>
      </c>
      <c r="F145" s="30" t="s">
        <v>574</v>
      </c>
      <c r="G145" s="34" t="s">
        <v>574</v>
      </c>
      <c r="H145" s="34" t="s">
        <v>33</v>
      </c>
      <c r="I145" s="31" t="s">
        <v>576</v>
      </c>
      <c r="J145" s="32" t="s">
        <v>33</v>
      </c>
      <c r="K145" s="32" t="s">
        <v>33</v>
      </c>
      <c r="L145" s="32" t="s">
        <v>33</v>
      </c>
    </row>
    <row r="146" spans="1:12">
      <c r="A146" s="28">
        <v>2016</v>
      </c>
      <c r="B146" s="29" t="s">
        <v>1933</v>
      </c>
      <c r="C146" s="30" t="s">
        <v>82</v>
      </c>
      <c r="D146" s="28" t="s">
        <v>33</v>
      </c>
      <c r="E146" s="29" t="s">
        <v>1948</v>
      </c>
      <c r="F146" s="30" t="s">
        <v>583</v>
      </c>
      <c r="G146" s="34" t="s">
        <v>583</v>
      </c>
      <c r="H146" s="34" t="s">
        <v>33</v>
      </c>
      <c r="I146" s="31" t="s">
        <v>582</v>
      </c>
      <c r="J146" s="32" t="s">
        <v>33</v>
      </c>
      <c r="K146" s="32" t="s">
        <v>33</v>
      </c>
      <c r="L146" s="32" t="s">
        <v>33</v>
      </c>
    </row>
    <row r="147" spans="1:12">
      <c r="A147" s="28">
        <v>2016</v>
      </c>
      <c r="B147" s="29" t="s">
        <v>1933</v>
      </c>
      <c r="C147" s="30" t="s">
        <v>221</v>
      </c>
      <c r="D147" s="28" t="s">
        <v>33</v>
      </c>
      <c r="E147" s="29" t="s">
        <v>1999</v>
      </c>
      <c r="F147" s="30" t="s">
        <v>2000</v>
      </c>
      <c r="G147" s="34" t="s">
        <v>587</v>
      </c>
      <c r="H147" s="34" t="s">
        <v>33</v>
      </c>
      <c r="I147" s="31" t="s">
        <v>586</v>
      </c>
      <c r="J147" s="32" t="s">
        <v>33</v>
      </c>
      <c r="K147" s="32" t="s">
        <v>33</v>
      </c>
      <c r="L147" s="32" t="s">
        <v>33</v>
      </c>
    </row>
    <row r="148" spans="1:12">
      <c r="A148" s="28">
        <v>2016</v>
      </c>
      <c r="B148" s="29" t="s">
        <v>1933</v>
      </c>
      <c r="C148" s="30" t="s">
        <v>32</v>
      </c>
      <c r="D148" s="28" t="s">
        <v>33</v>
      </c>
      <c r="E148" s="29" t="s">
        <v>1917</v>
      </c>
      <c r="F148" s="30" t="s">
        <v>1922</v>
      </c>
      <c r="G148" s="34" t="s">
        <v>588</v>
      </c>
      <c r="H148" s="34" t="s">
        <v>33</v>
      </c>
      <c r="I148" s="31" t="s">
        <v>589</v>
      </c>
      <c r="J148" s="32" t="s">
        <v>590</v>
      </c>
      <c r="K148" s="32" t="s">
        <v>33</v>
      </c>
      <c r="L148" s="32" t="s">
        <v>33</v>
      </c>
    </row>
    <row r="149" spans="1:12">
      <c r="A149" s="28">
        <v>2016</v>
      </c>
      <c r="B149" s="29" t="s">
        <v>1933</v>
      </c>
      <c r="C149" s="30" t="s">
        <v>133</v>
      </c>
      <c r="D149" s="28" t="s">
        <v>33</v>
      </c>
      <c r="E149" s="29" t="s">
        <v>1937</v>
      </c>
      <c r="F149" s="30" t="s">
        <v>134</v>
      </c>
      <c r="G149" s="34" t="s">
        <v>591</v>
      </c>
      <c r="H149" s="34" t="s">
        <v>33</v>
      </c>
      <c r="I149" s="31" t="s">
        <v>592</v>
      </c>
      <c r="J149" s="32" t="s">
        <v>33</v>
      </c>
      <c r="K149" s="32" t="s">
        <v>33</v>
      </c>
      <c r="L149" s="32" t="s">
        <v>33</v>
      </c>
    </row>
    <row r="150" spans="1:12">
      <c r="A150" s="28">
        <v>2016</v>
      </c>
      <c r="B150" s="29" t="s">
        <v>1933</v>
      </c>
      <c r="C150" s="30" t="s">
        <v>221</v>
      </c>
      <c r="D150" s="28" t="s">
        <v>33</v>
      </c>
      <c r="E150" s="29" t="s">
        <v>1873</v>
      </c>
      <c r="F150" s="30" t="s">
        <v>593</v>
      </c>
      <c r="G150" s="34" t="s">
        <v>593</v>
      </c>
      <c r="H150" s="34" t="s">
        <v>33</v>
      </c>
      <c r="I150" s="31" t="s">
        <v>595</v>
      </c>
      <c r="J150" s="32" t="s">
        <v>596</v>
      </c>
      <c r="K150" s="32" t="s">
        <v>33</v>
      </c>
      <c r="L150" s="32" t="s">
        <v>33</v>
      </c>
    </row>
    <row r="151" spans="1:12">
      <c r="A151" s="28">
        <v>2016</v>
      </c>
      <c r="B151" s="29" t="s">
        <v>1546</v>
      </c>
      <c r="C151" s="30" t="s">
        <v>100</v>
      </c>
      <c r="D151" s="28" t="s">
        <v>33</v>
      </c>
      <c r="E151" s="29" t="s">
        <v>1899</v>
      </c>
      <c r="F151" s="30" t="s">
        <v>996</v>
      </c>
      <c r="G151" s="34" t="s">
        <v>605</v>
      </c>
      <c r="H151" s="34" t="s">
        <v>33</v>
      </c>
      <c r="I151" s="31" t="s">
        <v>601</v>
      </c>
      <c r="J151" s="32" t="s">
        <v>602</v>
      </c>
      <c r="K151" s="32" t="s">
        <v>33</v>
      </c>
      <c r="L151" s="32" t="s">
        <v>33</v>
      </c>
    </row>
    <row r="152" spans="1:12">
      <c r="A152" s="28">
        <v>2016</v>
      </c>
      <c r="B152" s="29" t="s">
        <v>1546</v>
      </c>
      <c r="C152" s="30" t="s">
        <v>100</v>
      </c>
      <c r="D152" s="28" t="s">
        <v>33</v>
      </c>
      <c r="E152" s="29" t="s">
        <v>2001</v>
      </c>
      <c r="F152" s="30" t="s">
        <v>606</v>
      </c>
      <c r="G152" s="34" t="s">
        <v>2002</v>
      </c>
      <c r="H152" s="34" t="s">
        <v>33</v>
      </c>
      <c r="I152" s="31" t="s">
        <v>607</v>
      </c>
      <c r="J152" s="32" t="s">
        <v>33</v>
      </c>
      <c r="K152" s="32" t="s">
        <v>33</v>
      </c>
      <c r="L152" s="32" t="s">
        <v>33</v>
      </c>
    </row>
    <row r="153" spans="1:12">
      <c r="A153" s="28">
        <v>2016</v>
      </c>
      <c r="B153" s="29" t="s">
        <v>1546</v>
      </c>
      <c r="C153" s="30" t="s">
        <v>82</v>
      </c>
      <c r="D153" s="28" t="s">
        <v>33</v>
      </c>
      <c r="E153" s="29" t="s">
        <v>611</v>
      </c>
      <c r="F153" s="30" t="s">
        <v>613</v>
      </c>
      <c r="G153" s="34" t="s">
        <v>613</v>
      </c>
      <c r="H153" s="34" t="s">
        <v>33</v>
      </c>
      <c r="I153" s="31" t="s">
        <v>611</v>
      </c>
      <c r="J153" s="42" t="s">
        <v>2003</v>
      </c>
      <c r="K153" s="42"/>
      <c r="L153" s="42"/>
    </row>
    <row r="154" spans="1:12">
      <c r="A154" s="28">
        <v>2016</v>
      </c>
      <c r="B154" s="29" t="s">
        <v>1546</v>
      </c>
      <c r="C154" s="30" t="s">
        <v>100</v>
      </c>
      <c r="D154" s="28" t="s">
        <v>33</v>
      </c>
      <c r="E154" s="29" t="s">
        <v>1989</v>
      </c>
      <c r="F154" s="30" t="s">
        <v>354</v>
      </c>
      <c r="G154" s="34" t="s">
        <v>354</v>
      </c>
      <c r="H154" s="34" t="s">
        <v>33</v>
      </c>
      <c r="I154" s="31" t="s">
        <v>614</v>
      </c>
      <c r="J154" s="32" t="s">
        <v>615</v>
      </c>
      <c r="K154" s="32" t="s">
        <v>33</v>
      </c>
      <c r="L154" s="32" t="s">
        <v>33</v>
      </c>
    </row>
    <row r="155" spans="1:12">
      <c r="A155" s="28">
        <v>2016</v>
      </c>
      <c r="B155" s="29" t="s">
        <v>1546</v>
      </c>
      <c r="C155" s="30" t="s">
        <v>100</v>
      </c>
      <c r="D155" s="28" t="s">
        <v>33</v>
      </c>
      <c r="E155" s="29" t="s">
        <v>1900</v>
      </c>
      <c r="F155" s="30" t="s">
        <v>2004</v>
      </c>
      <c r="G155" s="34" t="s">
        <v>616</v>
      </c>
      <c r="H155" s="34" t="s">
        <v>33</v>
      </c>
      <c r="I155" s="31" t="s">
        <v>617</v>
      </c>
      <c r="J155" s="32" t="s">
        <v>2005</v>
      </c>
      <c r="K155" s="32" t="s">
        <v>33</v>
      </c>
      <c r="L155" s="32" t="s">
        <v>33</v>
      </c>
    </row>
    <row r="156" spans="1:12">
      <c r="A156" s="28">
        <v>2016</v>
      </c>
      <c r="B156" s="29" t="s">
        <v>1903</v>
      </c>
      <c r="C156" s="30" t="s">
        <v>82</v>
      </c>
      <c r="D156" s="28" t="s">
        <v>33</v>
      </c>
      <c r="E156" s="29" t="s">
        <v>1962</v>
      </c>
      <c r="F156" s="30" t="s">
        <v>619</v>
      </c>
      <c r="G156" s="34" t="s">
        <v>619</v>
      </c>
      <c r="H156" s="34" t="s">
        <v>33</v>
      </c>
      <c r="I156" s="31" t="s">
        <v>620</v>
      </c>
      <c r="J156" s="32" t="s">
        <v>621</v>
      </c>
      <c r="K156" s="32" t="s">
        <v>33</v>
      </c>
      <c r="L156" s="32" t="s">
        <v>33</v>
      </c>
    </row>
    <row r="157" spans="1:12">
      <c r="A157" s="28">
        <v>2016</v>
      </c>
      <c r="B157" s="29" t="s">
        <v>1564</v>
      </c>
      <c r="C157" s="30" t="s">
        <v>115</v>
      </c>
      <c r="D157" s="28" t="s">
        <v>33</v>
      </c>
      <c r="E157" s="29" t="s">
        <v>1945</v>
      </c>
      <c r="F157" s="30" t="s">
        <v>1946</v>
      </c>
      <c r="G157" s="34" t="s">
        <v>1947</v>
      </c>
      <c r="H157" s="34" t="s">
        <v>33</v>
      </c>
      <c r="I157" s="31" t="s">
        <v>622</v>
      </c>
      <c r="J157" s="32" t="s">
        <v>623</v>
      </c>
      <c r="K157" s="32" t="s">
        <v>33</v>
      </c>
      <c r="L157" s="32" t="s">
        <v>33</v>
      </c>
    </row>
    <row r="158" spans="1:12">
      <c r="A158" s="28">
        <v>2016</v>
      </c>
      <c r="B158" s="29" t="s">
        <v>1906</v>
      </c>
      <c r="C158" s="30" t="s">
        <v>60</v>
      </c>
      <c r="D158" s="28" t="s">
        <v>33</v>
      </c>
      <c r="E158" s="29" t="s">
        <v>2006</v>
      </c>
      <c r="F158" s="30" t="s">
        <v>2007</v>
      </c>
      <c r="G158" s="34" t="s">
        <v>124</v>
      </c>
      <c r="H158" s="34" t="s">
        <v>33</v>
      </c>
      <c r="I158" s="31" t="s">
        <v>624</v>
      </c>
      <c r="J158" s="32" t="s">
        <v>625</v>
      </c>
      <c r="K158" s="32" t="s">
        <v>33</v>
      </c>
      <c r="L158" s="32" t="s">
        <v>33</v>
      </c>
    </row>
    <row r="159" spans="1:12">
      <c r="A159" s="28">
        <v>2016</v>
      </c>
      <c r="B159" s="29" t="s">
        <v>1910</v>
      </c>
      <c r="C159" s="30" t="s">
        <v>133</v>
      </c>
      <c r="D159" s="28" t="s">
        <v>33</v>
      </c>
      <c r="E159" s="29" t="s">
        <v>945</v>
      </c>
      <c r="F159" s="30" t="s">
        <v>375</v>
      </c>
      <c r="G159" s="34" t="s">
        <v>629</v>
      </c>
      <c r="H159" s="34" t="s">
        <v>33</v>
      </c>
      <c r="I159" s="31" t="s">
        <v>628</v>
      </c>
      <c r="J159" s="32" t="s">
        <v>33</v>
      </c>
      <c r="K159" s="32" t="s">
        <v>33</v>
      </c>
      <c r="L159" s="32" t="s">
        <v>33</v>
      </c>
    </row>
    <row r="160" spans="1:12">
      <c r="A160" s="28">
        <v>2016</v>
      </c>
      <c r="B160" s="29" t="s">
        <v>1878</v>
      </c>
      <c r="C160" s="30" t="s">
        <v>82</v>
      </c>
      <c r="D160" s="28" t="s">
        <v>33</v>
      </c>
      <c r="E160" s="29" t="s">
        <v>1890</v>
      </c>
      <c r="F160" s="30" t="s">
        <v>2008</v>
      </c>
      <c r="G160" s="34" t="s">
        <v>631</v>
      </c>
      <c r="H160" s="34" t="s">
        <v>33</v>
      </c>
      <c r="I160" s="31" t="s">
        <v>632</v>
      </c>
      <c r="J160" s="32" t="s">
        <v>633</v>
      </c>
      <c r="K160" s="32" t="s">
        <v>33</v>
      </c>
      <c r="L160" s="32" t="s">
        <v>33</v>
      </c>
    </row>
    <row r="161" spans="1:12">
      <c r="A161" s="28">
        <v>2016</v>
      </c>
      <c r="B161" s="29" t="s">
        <v>1878</v>
      </c>
      <c r="C161" s="30" t="s">
        <v>82</v>
      </c>
      <c r="D161" s="28" t="s">
        <v>33</v>
      </c>
      <c r="E161" s="29" t="s">
        <v>1381</v>
      </c>
      <c r="F161" s="30" t="s">
        <v>638</v>
      </c>
      <c r="G161" s="34" t="s">
        <v>638</v>
      </c>
      <c r="H161" s="34" t="s">
        <v>33</v>
      </c>
      <c r="I161" s="31" t="s">
        <v>636</v>
      </c>
      <c r="J161" s="32" t="s">
        <v>637</v>
      </c>
      <c r="K161" s="32" t="s">
        <v>33</v>
      </c>
      <c r="L161" s="32" t="s">
        <v>33</v>
      </c>
    </row>
    <row r="162" spans="1:12">
      <c r="A162" s="28">
        <v>2016</v>
      </c>
      <c r="B162" s="29" t="s">
        <v>1878</v>
      </c>
      <c r="C162" s="30" t="s">
        <v>141</v>
      </c>
      <c r="D162" s="28" t="s">
        <v>33</v>
      </c>
      <c r="E162" s="29" t="s">
        <v>639</v>
      </c>
      <c r="F162" s="30" t="s">
        <v>384</v>
      </c>
      <c r="G162" s="34" t="s">
        <v>640</v>
      </c>
      <c r="H162" s="34" t="s">
        <v>33</v>
      </c>
      <c r="I162" s="31" t="s">
        <v>641</v>
      </c>
      <c r="J162" s="32" t="s">
        <v>642</v>
      </c>
      <c r="K162" s="32" t="s">
        <v>33</v>
      </c>
      <c r="L162" s="32" t="s">
        <v>33</v>
      </c>
    </row>
    <row r="163" spans="1:12">
      <c r="A163" s="28">
        <v>2016</v>
      </c>
      <c r="B163" s="29" t="s">
        <v>1878</v>
      </c>
      <c r="C163" s="30" t="s">
        <v>141</v>
      </c>
      <c r="D163" s="28" t="s">
        <v>33</v>
      </c>
      <c r="E163" s="29" t="s">
        <v>644</v>
      </c>
      <c r="F163" s="30" t="s">
        <v>643</v>
      </c>
      <c r="G163" s="34" t="s">
        <v>643</v>
      </c>
      <c r="H163" s="34" t="s">
        <v>33</v>
      </c>
      <c r="I163" s="31" t="s">
        <v>644</v>
      </c>
      <c r="J163" s="32" t="s">
        <v>645</v>
      </c>
      <c r="K163" s="32" t="s">
        <v>33</v>
      </c>
      <c r="L163" s="32" t="s">
        <v>33</v>
      </c>
    </row>
    <row r="164" spans="1:12">
      <c r="A164" s="28">
        <v>2016</v>
      </c>
      <c r="B164" s="29" t="s">
        <v>1914</v>
      </c>
      <c r="C164" s="30" t="s">
        <v>64</v>
      </c>
      <c r="D164" s="28" t="s">
        <v>33</v>
      </c>
      <c r="E164" s="29" t="s">
        <v>2009</v>
      </c>
      <c r="F164" s="30" t="s">
        <v>646</v>
      </c>
      <c r="G164" s="34" t="s">
        <v>646</v>
      </c>
      <c r="H164" s="34" t="s">
        <v>33</v>
      </c>
      <c r="I164" s="31" t="s">
        <v>647</v>
      </c>
      <c r="J164" s="32" t="s">
        <v>648</v>
      </c>
      <c r="K164" s="32" t="s">
        <v>33</v>
      </c>
      <c r="L164" s="32" t="s">
        <v>33</v>
      </c>
    </row>
    <row r="165" spans="1:12">
      <c r="A165" s="28">
        <v>2017</v>
      </c>
      <c r="B165" s="29" t="s">
        <v>1875</v>
      </c>
      <c r="C165" s="30" t="s">
        <v>32</v>
      </c>
      <c r="D165" s="28" t="s">
        <v>33</v>
      </c>
      <c r="E165" s="29" t="s">
        <v>289</v>
      </c>
      <c r="F165" s="30" t="s">
        <v>650</v>
      </c>
      <c r="G165" s="34" t="s">
        <v>650</v>
      </c>
      <c r="H165" s="34" t="s">
        <v>33</v>
      </c>
      <c r="I165" s="33" t="s">
        <v>165</v>
      </c>
      <c r="J165" s="32" t="s">
        <v>33</v>
      </c>
      <c r="K165" s="32" t="s">
        <v>33</v>
      </c>
      <c r="L165" s="32" t="s">
        <v>33</v>
      </c>
    </row>
    <row r="166" spans="1:12">
      <c r="A166" s="28">
        <v>2017</v>
      </c>
      <c r="B166" s="29" t="s">
        <v>1875</v>
      </c>
      <c r="C166" s="30" t="s">
        <v>32</v>
      </c>
      <c r="D166" s="28" t="s">
        <v>33</v>
      </c>
      <c r="E166" s="29" t="s">
        <v>289</v>
      </c>
      <c r="F166" s="30" t="s">
        <v>1922</v>
      </c>
      <c r="G166" s="34" t="s">
        <v>528</v>
      </c>
      <c r="H166" s="34" t="s">
        <v>33</v>
      </c>
      <c r="I166" s="31" t="s">
        <v>655</v>
      </c>
      <c r="J166" s="32" t="s">
        <v>33</v>
      </c>
      <c r="K166" s="32" t="s">
        <v>33</v>
      </c>
      <c r="L166" s="32" t="s">
        <v>33</v>
      </c>
    </row>
    <row r="167" spans="1:12">
      <c r="A167" s="28">
        <v>2017</v>
      </c>
      <c r="B167" s="29" t="s">
        <v>1875</v>
      </c>
      <c r="C167" s="30" t="s">
        <v>32</v>
      </c>
      <c r="D167" s="28" t="s">
        <v>33</v>
      </c>
      <c r="E167" s="29" t="s">
        <v>289</v>
      </c>
      <c r="F167" s="30" t="s">
        <v>1876</v>
      </c>
      <c r="G167" s="34" t="s">
        <v>38</v>
      </c>
      <c r="H167" s="34" t="s">
        <v>33</v>
      </c>
      <c r="I167" s="33" t="s">
        <v>165</v>
      </c>
      <c r="J167" s="32" t="s">
        <v>33</v>
      </c>
      <c r="K167" s="32" t="s">
        <v>33</v>
      </c>
      <c r="L167" s="32" t="s">
        <v>33</v>
      </c>
    </row>
    <row r="168" spans="1:12">
      <c r="A168" s="28">
        <v>2017</v>
      </c>
      <c r="B168" s="29" t="s">
        <v>1215</v>
      </c>
      <c r="C168" s="30" t="s">
        <v>51</v>
      </c>
      <c r="D168" s="28" t="s">
        <v>33</v>
      </c>
      <c r="E168" s="29" t="s">
        <v>1881</v>
      </c>
      <c r="F168" s="30" t="s">
        <v>1924</v>
      </c>
      <c r="G168" s="34" t="s">
        <v>662</v>
      </c>
      <c r="H168" s="34" t="s">
        <v>33</v>
      </c>
      <c r="I168" s="33" t="s">
        <v>165</v>
      </c>
      <c r="J168" s="32" t="s">
        <v>661</v>
      </c>
      <c r="K168" s="32" t="s">
        <v>33</v>
      </c>
      <c r="L168" s="32" t="s">
        <v>33</v>
      </c>
    </row>
    <row r="169" spans="1:12">
      <c r="A169" s="28">
        <v>2017</v>
      </c>
      <c r="B169" s="29" t="s">
        <v>1882</v>
      </c>
      <c r="C169" s="30" t="s">
        <v>33</v>
      </c>
      <c r="D169" s="28" t="s">
        <v>55</v>
      </c>
      <c r="E169" s="29" t="s">
        <v>1890</v>
      </c>
      <c r="F169" s="30" t="s">
        <v>33</v>
      </c>
      <c r="G169" s="34" t="s">
        <v>33</v>
      </c>
      <c r="H169" s="34" t="s">
        <v>33</v>
      </c>
      <c r="I169" s="31" t="s">
        <v>663</v>
      </c>
      <c r="J169" s="32" t="s">
        <v>664</v>
      </c>
      <c r="K169" s="32" t="s">
        <v>33</v>
      </c>
      <c r="L169" s="32" t="s">
        <v>33</v>
      </c>
    </row>
    <row r="170" spans="1:12">
      <c r="A170" s="28">
        <v>2017</v>
      </c>
      <c r="B170" s="29" t="s">
        <v>1885</v>
      </c>
      <c r="C170" s="30" t="s">
        <v>68</v>
      </c>
      <c r="D170" s="28" t="s">
        <v>33</v>
      </c>
      <c r="E170" s="29" t="s">
        <v>1892</v>
      </c>
      <c r="F170" s="30" t="s">
        <v>1977</v>
      </c>
      <c r="G170" s="34" t="s">
        <v>669</v>
      </c>
      <c r="H170" s="34" t="s">
        <v>33</v>
      </c>
      <c r="I170" s="31" t="s">
        <v>667</v>
      </c>
      <c r="J170" s="32" t="s">
        <v>668</v>
      </c>
      <c r="K170" s="32" t="s">
        <v>33</v>
      </c>
      <c r="L170" s="32" t="s">
        <v>33</v>
      </c>
    </row>
    <row r="171" spans="1:12">
      <c r="A171" s="28">
        <v>2017</v>
      </c>
      <c r="B171" s="29" t="s">
        <v>1885</v>
      </c>
      <c r="C171" s="30" t="s">
        <v>68</v>
      </c>
      <c r="D171" s="28" t="s">
        <v>33</v>
      </c>
      <c r="E171" s="29" t="s">
        <v>1887</v>
      </c>
      <c r="F171" s="30" t="s">
        <v>2010</v>
      </c>
      <c r="G171" s="34" t="s">
        <v>671</v>
      </c>
      <c r="H171" s="34" t="s">
        <v>33</v>
      </c>
      <c r="I171" s="31" t="s">
        <v>672</v>
      </c>
      <c r="J171" s="32" t="s">
        <v>33</v>
      </c>
      <c r="K171" s="32" t="s">
        <v>33</v>
      </c>
      <c r="L171" s="32" t="s">
        <v>33</v>
      </c>
    </row>
    <row r="172" spans="1:12">
      <c r="A172" s="28">
        <v>2017</v>
      </c>
      <c r="B172" s="29" t="s">
        <v>1885</v>
      </c>
      <c r="C172" s="30" t="s">
        <v>68</v>
      </c>
      <c r="D172" s="28" t="s">
        <v>33</v>
      </c>
      <c r="E172" s="29" t="s">
        <v>1892</v>
      </c>
      <c r="F172" s="30" t="s">
        <v>1929</v>
      </c>
      <c r="G172" s="34" t="s">
        <v>202</v>
      </c>
      <c r="H172" s="34" t="s">
        <v>33</v>
      </c>
      <c r="I172" s="33" t="s">
        <v>165</v>
      </c>
      <c r="J172" s="32" t="s">
        <v>33</v>
      </c>
      <c r="K172" s="32" t="s">
        <v>33</v>
      </c>
      <c r="L172" s="32" t="s">
        <v>33</v>
      </c>
    </row>
    <row r="173" spans="1:12">
      <c r="A173" s="28">
        <v>2017</v>
      </c>
      <c r="B173" s="29" t="s">
        <v>1894</v>
      </c>
      <c r="C173" s="30" t="s">
        <v>100</v>
      </c>
      <c r="D173" s="28" t="s">
        <v>33</v>
      </c>
      <c r="E173" s="29" t="s">
        <v>1900</v>
      </c>
      <c r="F173" s="30" t="s">
        <v>1901</v>
      </c>
      <c r="G173" s="34" t="s">
        <v>680</v>
      </c>
      <c r="H173" s="34" t="s">
        <v>33</v>
      </c>
      <c r="I173" s="31" t="s">
        <v>678</v>
      </c>
      <c r="J173" s="32" t="s">
        <v>679</v>
      </c>
      <c r="K173" s="32" t="s">
        <v>33</v>
      </c>
      <c r="L173" s="32" t="s">
        <v>33</v>
      </c>
    </row>
    <row r="174" spans="1:12">
      <c r="A174" s="28">
        <v>2017</v>
      </c>
      <c r="B174" s="29" t="s">
        <v>1970</v>
      </c>
      <c r="C174" s="30" t="s">
        <v>91</v>
      </c>
      <c r="D174" s="28" t="s">
        <v>33</v>
      </c>
      <c r="E174" s="29" t="s">
        <v>2011</v>
      </c>
      <c r="F174" s="30" t="s">
        <v>2012</v>
      </c>
      <c r="G174" s="34" t="s">
        <v>681</v>
      </c>
      <c r="H174" s="34" t="s">
        <v>33</v>
      </c>
      <c r="I174" s="31" t="s">
        <v>2013</v>
      </c>
      <c r="J174" s="32" t="s">
        <v>683</v>
      </c>
      <c r="K174" s="32" t="s">
        <v>33</v>
      </c>
      <c r="L174" s="32" t="s">
        <v>33</v>
      </c>
    </row>
    <row r="175" spans="1:12">
      <c r="A175" s="28">
        <v>2017</v>
      </c>
      <c r="B175" s="29" t="s">
        <v>1896</v>
      </c>
      <c r="C175" s="30" t="s">
        <v>133</v>
      </c>
      <c r="D175" s="28" t="s">
        <v>33</v>
      </c>
      <c r="E175" s="29" t="s">
        <v>1897</v>
      </c>
      <c r="F175" s="30" t="s">
        <v>1931</v>
      </c>
      <c r="G175" s="34" t="s">
        <v>686</v>
      </c>
      <c r="H175" s="34" t="s">
        <v>33</v>
      </c>
      <c r="I175" s="33" t="s">
        <v>165</v>
      </c>
      <c r="J175" s="32" t="s">
        <v>687</v>
      </c>
      <c r="K175" s="32" t="s">
        <v>33</v>
      </c>
      <c r="L175" s="32" t="s">
        <v>33</v>
      </c>
    </row>
    <row r="176" spans="1:12">
      <c r="A176" s="28">
        <v>2017</v>
      </c>
      <c r="B176" s="29" t="s">
        <v>1933</v>
      </c>
      <c r="C176" s="30" t="s">
        <v>82</v>
      </c>
      <c r="D176" s="28" t="s">
        <v>33</v>
      </c>
      <c r="E176" s="29" t="s">
        <v>1948</v>
      </c>
      <c r="F176" s="30" t="s">
        <v>689</v>
      </c>
      <c r="G176" s="34" t="s">
        <v>689</v>
      </c>
      <c r="H176" s="34" t="s">
        <v>33</v>
      </c>
      <c r="I176" s="33" t="s">
        <v>165</v>
      </c>
      <c r="J176" s="32" t="s">
        <v>33</v>
      </c>
      <c r="K176" s="32" t="s">
        <v>33</v>
      </c>
      <c r="L176" s="32" t="s">
        <v>33</v>
      </c>
    </row>
    <row r="177" spans="1:12">
      <c r="A177" s="28">
        <v>2017</v>
      </c>
      <c r="B177" s="29" t="s">
        <v>1933</v>
      </c>
      <c r="C177" s="30" t="s">
        <v>221</v>
      </c>
      <c r="D177" s="28" t="s">
        <v>33</v>
      </c>
      <c r="E177" s="29" t="s">
        <v>1935</v>
      </c>
      <c r="F177" s="30" t="s">
        <v>1936</v>
      </c>
      <c r="G177" s="34" t="s">
        <v>690</v>
      </c>
      <c r="H177" s="34" t="s">
        <v>33</v>
      </c>
      <c r="I177" s="33" t="s">
        <v>165</v>
      </c>
      <c r="J177" s="32" t="s">
        <v>33</v>
      </c>
      <c r="K177" s="32" t="s">
        <v>33</v>
      </c>
      <c r="L177" s="32" t="s">
        <v>33</v>
      </c>
    </row>
    <row r="178" spans="1:12">
      <c r="A178" s="28">
        <v>2017</v>
      </c>
      <c r="B178" s="29" t="s">
        <v>1933</v>
      </c>
      <c r="C178" s="30" t="s">
        <v>82</v>
      </c>
      <c r="D178" s="28" t="s">
        <v>33</v>
      </c>
      <c r="E178" s="29" t="s">
        <v>1994</v>
      </c>
      <c r="F178" s="30" t="s">
        <v>692</v>
      </c>
      <c r="G178" s="34" t="s">
        <v>692</v>
      </c>
      <c r="H178" s="34" t="s">
        <v>33</v>
      </c>
      <c r="I178" s="33" t="s">
        <v>165</v>
      </c>
      <c r="J178" s="32" t="s">
        <v>33</v>
      </c>
      <c r="K178" s="32" t="s">
        <v>33</v>
      </c>
      <c r="L178" s="32" t="s">
        <v>33</v>
      </c>
    </row>
    <row r="179" spans="1:12">
      <c r="A179" s="28">
        <v>2017</v>
      </c>
      <c r="B179" s="29" t="s">
        <v>1546</v>
      </c>
      <c r="C179" s="30" t="s">
        <v>100</v>
      </c>
      <c r="D179" s="28" t="s">
        <v>33</v>
      </c>
      <c r="E179" s="29" t="s">
        <v>1899</v>
      </c>
      <c r="F179" s="30" t="s">
        <v>105</v>
      </c>
      <c r="G179" s="34" t="s">
        <v>105</v>
      </c>
      <c r="H179" s="34" t="s">
        <v>33</v>
      </c>
      <c r="I179" s="31" t="s">
        <v>2014</v>
      </c>
      <c r="J179" s="32" t="s">
        <v>695</v>
      </c>
      <c r="K179" s="32" t="s">
        <v>33</v>
      </c>
      <c r="L179" s="32" t="s">
        <v>33</v>
      </c>
    </row>
    <row r="180" spans="1:12">
      <c r="A180" s="28">
        <v>2017</v>
      </c>
      <c r="B180" s="29" t="s">
        <v>1546</v>
      </c>
      <c r="C180" s="30" t="s">
        <v>221</v>
      </c>
      <c r="D180" s="28" t="s">
        <v>33</v>
      </c>
      <c r="E180" s="29" t="s">
        <v>1917</v>
      </c>
      <c r="F180" s="30" t="s">
        <v>2015</v>
      </c>
      <c r="G180" s="34" t="s">
        <v>698</v>
      </c>
      <c r="H180" s="34" t="s">
        <v>33</v>
      </c>
      <c r="I180" s="31" t="s">
        <v>33</v>
      </c>
      <c r="J180" s="32" t="s">
        <v>33</v>
      </c>
      <c r="K180" s="32" t="s">
        <v>33</v>
      </c>
      <c r="L180" s="32" t="s">
        <v>33</v>
      </c>
    </row>
    <row r="181" spans="1:12">
      <c r="A181" s="28">
        <v>2017</v>
      </c>
      <c r="B181" s="29" t="s">
        <v>1546</v>
      </c>
      <c r="C181" s="30" t="s">
        <v>100</v>
      </c>
      <c r="D181" s="28" t="s">
        <v>33</v>
      </c>
      <c r="E181" s="29" t="s">
        <v>952</v>
      </c>
      <c r="F181" s="30" t="s">
        <v>1953</v>
      </c>
      <c r="G181" s="34" t="s">
        <v>700</v>
      </c>
      <c r="H181" s="34" t="s">
        <v>33</v>
      </c>
      <c r="I181" s="31" t="s">
        <v>701</v>
      </c>
      <c r="J181" s="32" t="s">
        <v>33</v>
      </c>
      <c r="K181" s="32" t="s">
        <v>33</v>
      </c>
      <c r="L181" s="32" t="s">
        <v>33</v>
      </c>
    </row>
    <row r="182" spans="1:12">
      <c r="A182" s="28">
        <v>2017</v>
      </c>
      <c r="B182" s="29" t="s">
        <v>1546</v>
      </c>
      <c r="C182" s="30" t="s">
        <v>100</v>
      </c>
      <c r="D182" s="28" t="s">
        <v>33</v>
      </c>
      <c r="E182" s="29" t="s">
        <v>1937</v>
      </c>
      <c r="F182" s="30" t="s">
        <v>1938</v>
      </c>
      <c r="G182" s="34" t="s">
        <v>480</v>
      </c>
      <c r="H182" s="34" t="s">
        <v>33</v>
      </c>
      <c r="I182" s="31" t="s">
        <v>33</v>
      </c>
      <c r="J182" s="32" t="s">
        <v>702</v>
      </c>
      <c r="K182" s="32" t="s">
        <v>33</v>
      </c>
      <c r="L182" s="32" t="s">
        <v>33</v>
      </c>
    </row>
    <row r="183" spans="1:12">
      <c r="A183" s="28">
        <v>2017</v>
      </c>
      <c r="B183" s="29" t="s">
        <v>1546</v>
      </c>
      <c r="C183" s="30" t="s">
        <v>100</v>
      </c>
      <c r="D183" s="28" t="s">
        <v>33</v>
      </c>
      <c r="E183" s="29" t="s">
        <v>1900</v>
      </c>
      <c r="F183" s="30" t="s">
        <v>1901</v>
      </c>
      <c r="G183" s="34" t="s">
        <v>113</v>
      </c>
      <c r="H183" s="34" t="s">
        <v>33</v>
      </c>
      <c r="I183" s="31" t="s">
        <v>33</v>
      </c>
      <c r="J183" s="32" t="s">
        <v>33</v>
      </c>
      <c r="K183" s="32" t="s">
        <v>33</v>
      </c>
      <c r="L183" s="32" t="s">
        <v>33</v>
      </c>
    </row>
    <row r="184" spans="1:12">
      <c r="A184" s="28">
        <v>2017</v>
      </c>
      <c r="B184" s="29" t="s">
        <v>1903</v>
      </c>
      <c r="C184" s="30" t="s">
        <v>115</v>
      </c>
      <c r="D184" s="28" t="s">
        <v>33</v>
      </c>
      <c r="E184" s="29" t="s">
        <v>1962</v>
      </c>
      <c r="F184" s="30" t="s">
        <v>1940</v>
      </c>
      <c r="G184" s="34" t="s">
        <v>710</v>
      </c>
      <c r="H184" s="34" t="s">
        <v>33</v>
      </c>
      <c r="I184" s="31" t="s">
        <v>33</v>
      </c>
      <c r="J184" s="32" t="s">
        <v>709</v>
      </c>
      <c r="K184" s="32" t="s">
        <v>33</v>
      </c>
      <c r="L184" s="32" t="s">
        <v>33</v>
      </c>
    </row>
    <row r="185" spans="1:12">
      <c r="A185" s="28">
        <v>2017</v>
      </c>
      <c r="B185" s="29" t="s">
        <v>1903</v>
      </c>
      <c r="C185" s="30" t="s">
        <v>60</v>
      </c>
      <c r="D185" s="28" t="s">
        <v>33</v>
      </c>
      <c r="E185" s="29" t="s">
        <v>1962</v>
      </c>
      <c r="F185" s="30" t="s">
        <v>2016</v>
      </c>
      <c r="G185" s="34" t="s">
        <v>718</v>
      </c>
      <c r="H185" s="34" t="s">
        <v>33</v>
      </c>
      <c r="I185" s="31" t="s">
        <v>714</v>
      </c>
      <c r="J185" s="32" t="s">
        <v>33</v>
      </c>
      <c r="K185" s="32" t="s">
        <v>33</v>
      </c>
      <c r="L185" s="32" t="s">
        <v>33</v>
      </c>
    </row>
    <row r="186" spans="1:12">
      <c r="A186" s="28">
        <v>2017</v>
      </c>
      <c r="B186" s="29" t="s">
        <v>1564</v>
      </c>
      <c r="C186" s="30" t="s">
        <v>100</v>
      </c>
      <c r="D186" s="28" t="s">
        <v>33</v>
      </c>
      <c r="E186" s="29" t="s">
        <v>611</v>
      </c>
      <c r="F186" s="30" t="s">
        <v>1981</v>
      </c>
      <c r="G186" s="34" t="s">
        <v>720</v>
      </c>
      <c r="H186" s="34" t="s">
        <v>33</v>
      </c>
      <c r="I186" s="31" t="s">
        <v>495</v>
      </c>
      <c r="J186" s="32" t="s">
        <v>33</v>
      </c>
      <c r="K186" s="32" t="s">
        <v>33</v>
      </c>
      <c r="L186" s="32" t="s">
        <v>33</v>
      </c>
    </row>
    <row r="187" spans="1:12">
      <c r="A187" s="28">
        <v>2017</v>
      </c>
      <c r="B187" s="29" t="s">
        <v>1906</v>
      </c>
      <c r="C187" s="30" t="s">
        <v>82</v>
      </c>
      <c r="D187" s="28" t="s">
        <v>33</v>
      </c>
      <c r="E187" s="29" t="s">
        <v>2017</v>
      </c>
      <c r="F187" s="30" t="s">
        <v>721</v>
      </c>
      <c r="G187" s="34" t="s">
        <v>721</v>
      </c>
      <c r="H187" s="34" t="s">
        <v>33</v>
      </c>
      <c r="I187" s="31" t="s">
        <v>722</v>
      </c>
      <c r="J187" s="32" t="s">
        <v>723</v>
      </c>
      <c r="K187" s="32" t="s">
        <v>33</v>
      </c>
      <c r="L187" s="32" t="s">
        <v>33</v>
      </c>
    </row>
    <row r="188" spans="1:12">
      <c r="A188" s="28">
        <v>2017</v>
      </c>
      <c r="B188" s="29" t="s">
        <v>1906</v>
      </c>
      <c r="C188" s="30" t="s">
        <v>87</v>
      </c>
      <c r="D188" s="28" t="s">
        <v>33</v>
      </c>
      <c r="E188" s="29" t="s">
        <v>1886</v>
      </c>
      <c r="F188" s="30" t="s">
        <v>373</v>
      </c>
      <c r="G188" s="34" t="s">
        <v>373</v>
      </c>
      <c r="H188" s="34" t="s">
        <v>33</v>
      </c>
      <c r="I188" s="33" t="s">
        <v>165</v>
      </c>
      <c r="J188" s="32" t="s">
        <v>724</v>
      </c>
      <c r="K188" s="32" t="s">
        <v>33</v>
      </c>
      <c r="L188" s="32" t="s">
        <v>33</v>
      </c>
    </row>
    <row r="189" spans="1:12">
      <c r="A189" s="28">
        <v>2017</v>
      </c>
      <c r="B189" s="29" t="s">
        <v>1906</v>
      </c>
      <c r="C189" s="30" t="s">
        <v>82</v>
      </c>
      <c r="D189" s="28" t="s">
        <v>33</v>
      </c>
      <c r="E189" s="29" t="s">
        <v>2018</v>
      </c>
      <c r="F189" s="30" t="s">
        <v>725</v>
      </c>
      <c r="G189" s="34" t="s">
        <v>725</v>
      </c>
      <c r="H189" s="34" t="s">
        <v>33</v>
      </c>
      <c r="I189" s="31" t="s">
        <v>726</v>
      </c>
      <c r="J189" s="32" t="s">
        <v>727</v>
      </c>
      <c r="K189" s="32" t="s">
        <v>33</v>
      </c>
      <c r="L189" s="32" t="s">
        <v>33</v>
      </c>
    </row>
    <row r="190" spans="1:12">
      <c r="A190" s="28">
        <v>2017</v>
      </c>
      <c r="B190" s="29" t="s">
        <v>1910</v>
      </c>
      <c r="C190" s="30" t="s">
        <v>133</v>
      </c>
      <c r="D190" s="28" t="s">
        <v>33</v>
      </c>
      <c r="E190" s="29" t="s">
        <v>1890</v>
      </c>
      <c r="F190" s="30" t="s">
        <v>1949</v>
      </c>
      <c r="G190" s="34" t="s">
        <v>272</v>
      </c>
      <c r="H190" s="34" t="s">
        <v>33</v>
      </c>
      <c r="I190" s="31" t="s">
        <v>273</v>
      </c>
      <c r="J190" s="32" t="s">
        <v>728</v>
      </c>
      <c r="K190" s="32" t="s">
        <v>33</v>
      </c>
      <c r="L190" s="32" t="s">
        <v>33</v>
      </c>
    </row>
    <row r="191" spans="1:12">
      <c r="A191" s="28">
        <v>2017</v>
      </c>
      <c r="B191" s="29" t="s">
        <v>1910</v>
      </c>
      <c r="C191" s="30" t="s">
        <v>91</v>
      </c>
      <c r="D191" s="28" t="s">
        <v>352</v>
      </c>
      <c r="E191" s="29" t="s">
        <v>1455</v>
      </c>
      <c r="F191" s="30" t="s">
        <v>2012</v>
      </c>
      <c r="G191" s="34" t="s">
        <v>729</v>
      </c>
      <c r="H191" s="34" t="s">
        <v>33</v>
      </c>
      <c r="I191" s="33" t="s">
        <v>165</v>
      </c>
      <c r="J191" s="32" t="s">
        <v>33</v>
      </c>
      <c r="K191" s="32" t="s">
        <v>33</v>
      </c>
      <c r="L191" s="32" t="s">
        <v>33</v>
      </c>
    </row>
    <row r="192" spans="1:12">
      <c r="A192" s="28">
        <v>2017</v>
      </c>
      <c r="B192" s="29" t="s">
        <v>1910</v>
      </c>
      <c r="C192" s="30" t="s">
        <v>133</v>
      </c>
      <c r="D192" s="28" t="s">
        <v>33</v>
      </c>
      <c r="E192" s="29" t="s">
        <v>289</v>
      </c>
      <c r="F192" s="30" t="s">
        <v>134</v>
      </c>
      <c r="G192" s="34" t="s">
        <v>734</v>
      </c>
      <c r="H192" s="34" t="s">
        <v>33</v>
      </c>
      <c r="I192" s="33" t="s">
        <v>165</v>
      </c>
      <c r="J192" s="32" t="s">
        <v>33</v>
      </c>
      <c r="K192" s="32" t="s">
        <v>33</v>
      </c>
      <c r="L192" s="32" t="s">
        <v>33</v>
      </c>
    </row>
    <row r="193" spans="1:12">
      <c r="A193" s="28">
        <v>2017</v>
      </c>
      <c r="B193" s="29" t="s">
        <v>1878</v>
      </c>
      <c r="C193" s="30" t="s">
        <v>141</v>
      </c>
      <c r="D193" s="28" t="s">
        <v>33</v>
      </c>
      <c r="E193" s="29" t="s">
        <v>736</v>
      </c>
      <c r="F193" s="30" t="s">
        <v>1950</v>
      </c>
      <c r="G193" s="34" t="s">
        <v>735</v>
      </c>
      <c r="H193" s="34" t="s">
        <v>33</v>
      </c>
      <c r="I193" s="31" t="s">
        <v>2019</v>
      </c>
      <c r="J193" s="32" t="s">
        <v>33</v>
      </c>
      <c r="K193" s="32" t="s">
        <v>33</v>
      </c>
      <c r="L193" s="32" t="s">
        <v>33</v>
      </c>
    </row>
    <row r="194" spans="1:12">
      <c r="A194" s="28">
        <v>2017</v>
      </c>
      <c r="B194" s="29" t="s">
        <v>1878</v>
      </c>
      <c r="C194" s="30" t="s">
        <v>141</v>
      </c>
      <c r="D194" s="28" t="s">
        <v>33</v>
      </c>
      <c r="E194" s="29" t="s">
        <v>148</v>
      </c>
      <c r="F194" s="30" t="s">
        <v>1912</v>
      </c>
      <c r="G194" s="34" t="s">
        <v>387</v>
      </c>
      <c r="H194" s="34" t="s">
        <v>33</v>
      </c>
      <c r="I194" s="31" t="s">
        <v>2020</v>
      </c>
      <c r="J194" s="32" t="s">
        <v>33</v>
      </c>
      <c r="K194" s="32" t="s">
        <v>33</v>
      </c>
      <c r="L194" s="32" t="s">
        <v>33</v>
      </c>
    </row>
    <row r="195" spans="1:12">
      <c r="A195" s="28">
        <v>2017</v>
      </c>
      <c r="B195" s="29" t="s">
        <v>1878</v>
      </c>
      <c r="C195" s="30" t="s">
        <v>141</v>
      </c>
      <c r="D195" s="28" t="s">
        <v>33</v>
      </c>
      <c r="E195" s="29" t="s">
        <v>392</v>
      </c>
      <c r="F195" s="30" t="s">
        <v>1967</v>
      </c>
      <c r="G195" s="34" t="s">
        <v>392</v>
      </c>
      <c r="H195" s="34" t="s">
        <v>33</v>
      </c>
      <c r="I195" s="31" t="s">
        <v>392</v>
      </c>
      <c r="J195" s="32" t="s">
        <v>33</v>
      </c>
      <c r="K195" s="32" t="s">
        <v>33</v>
      </c>
      <c r="L195" s="32" t="s">
        <v>33</v>
      </c>
    </row>
    <row r="196" spans="1:12">
      <c r="A196" s="28">
        <v>2017</v>
      </c>
      <c r="B196" s="29" t="s">
        <v>1968</v>
      </c>
      <c r="C196" s="30" t="s">
        <v>221</v>
      </c>
      <c r="D196" s="28" t="s">
        <v>33</v>
      </c>
      <c r="E196" s="29" t="s">
        <v>2021</v>
      </c>
      <c r="F196" s="30" t="s">
        <v>738</v>
      </c>
      <c r="G196" s="34" t="s">
        <v>738</v>
      </c>
      <c r="H196" s="34" t="s">
        <v>2022</v>
      </c>
      <c r="I196" s="33" t="s">
        <v>165</v>
      </c>
      <c r="J196" s="32" t="s">
        <v>739</v>
      </c>
      <c r="K196" s="32" t="s">
        <v>33</v>
      </c>
      <c r="L196" s="32" t="s">
        <v>33</v>
      </c>
    </row>
    <row r="197" spans="1:12">
      <c r="A197" s="28">
        <v>2017</v>
      </c>
      <c r="B197" s="29" t="s">
        <v>1968</v>
      </c>
      <c r="C197" s="30" t="s">
        <v>82</v>
      </c>
      <c r="D197" s="28" t="s">
        <v>33</v>
      </c>
      <c r="E197" s="29" t="s">
        <v>1897</v>
      </c>
      <c r="F197" s="30" t="s">
        <v>398</v>
      </c>
      <c r="G197" s="34" t="s">
        <v>398</v>
      </c>
      <c r="H197" s="34" t="s">
        <v>33</v>
      </c>
      <c r="I197" s="31" t="s">
        <v>740</v>
      </c>
      <c r="J197" s="32" t="s">
        <v>741</v>
      </c>
      <c r="K197" s="32" t="s">
        <v>33</v>
      </c>
      <c r="L197" s="32" t="s">
        <v>33</v>
      </c>
    </row>
    <row r="198" spans="1:12">
      <c r="A198" s="28">
        <v>2017</v>
      </c>
      <c r="B198" s="29" t="s">
        <v>1970</v>
      </c>
      <c r="C198" s="30" t="s">
        <v>51</v>
      </c>
      <c r="D198" s="28" t="s">
        <v>33</v>
      </c>
      <c r="E198" s="29" t="s">
        <v>742</v>
      </c>
      <c r="F198" s="30" t="s">
        <v>2023</v>
      </c>
      <c r="G198" s="34" t="s">
        <v>743</v>
      </c>
      <c r="H198" s="34" t="s">
        <v>33</v>
      </c>
      <c r="I198" s="33" t="s">
        <v>165</v>
      </c>
      <c r="J198" s="32" t="s">
        <v>33</v>
      </c>
      <c r="K198" s="32" t="s">
        <v>33</v>
      </c>
      <c r="L198" s="32" t="s">
        <v>33</v>
      </c>
    </row>
    <row r="199" spans="1:12">
      <c r="A199" s="28">
        <v>2017</v>
      </c>
      <c r="B199" s="29" t="s">
        <v>1914</v>
      </c>
      <c r="C199" s="30" t="s">
        <v>87</v>
      </c>
      <c r="D199" s="28" t="s">
        <v>33</v>
      </c>
      <c r="E199" s="29" t="s">
        <v>1915</v>
      </c>
      <c r="F199" s="30" t="s">
        <v>1916</v>
      </c>
      <c r="G199" s="34" t="s">
        <v>152</v>
      </c>
      <c r="H199" s="34" t="s">
        <v>33</v>
      </c>
      <c r="I199" s="33" t="s">
        <v>165</v>
      </c>
      <c r="J199" s="32" t="s">
        <v>33</v>
      </c>
      <c r="K199" s="32" t="s">
        <v>33</v>
      </c>
      <c r="L199" s="32" t="s">
        <v>33</v>
      </c>
    </row>
    <row r="200" spans="1:12">
      <c r="A200" s="28">
        <v>2017</v>
      </c>
      <c r="B200" s="29" t="s">
        <v>1914</v>
      </c>
      <c r="C200" s="30" t="s">
        <v>91</v>
      </c>
      <c r="D200" s="28" t="s">
        <v>33</v>
      </c>
      <c r="E200" s="29" t="s">
        <v>2024</v>
      </c>
      <c r="F200" s="30" t="s">
        <v>1919</v>
      </c>
      <c r="G200" s="34" t="s">
        <v>161</v>
      </c>
      <c r="H200" s="34" t="s">
        <v>561</v>
      </c>
      <c r="I200" s="31" t="s">
        <v>747</v>
      </c>
      <c r="J200" s="32" t="s">
        <v>748</v>
      </c>
      <c r="K200" s="32" t="s">
        <v>33</v>
      </c>
      <c r="L200" s="32" t="s">
        <v>33</v>
      </c>
    </row>
    <row r="201" spans="1:12">
      <c r="A201" s="28">
        <v>2019</v>
      </c>
      <c r="B201" s="29" t="s">
        <v>1875</v>
      </c>
      <c r="C201" s="30" t="s">
        <v>32</v>
      </c>
      <c r="D201" s="28" t="s">
        <v>33</v>
      </c>
      <c r="E201" s="29" t="s">
        <v>1883</v>
      </c>
      <c r="F201" s="30" t="s">
        <v>218</v>
      </c>
      <c r="G201" s="34" t="s">
        <v>170</v>
      </c>
      <c r="H201" s="34" t="s">
        <v>33</v>
      </c>
      <c r="I201" s="31" t="s">
        <v>2025</v>
      </c>
      <c r="J201" s="32" t="s">
        <v>33</v>
      </c>
      <c r="K201" s="32" t="s">
        <v>33</v>
      </c>
      <c r="L201" s="32" t="s">
        <v>33</v>
      </c>
    </row>
    <row r="202" spans="1:12">
      <c r="A202" s="28">
        <v>2019</v>
      </c>
      <c r="B202" s="29" t="s">
        <v>1875</v>
      </c>
      <c r="C202" s="30" t="s">
        <v>32</v>
      </c>
      <c r="D202" s="28" t="s">
        <v>33</v>
      </c>
      <c r="E202" s="29" t="s">
        <v>757</v>
      </c>
      <c r="F202" s="30" t="s">
        <v>756</v>
      </c>
      <c r="G202" s="34" t="s">
        <v>756</v>
      </c>
      <c r="H202" s="34" t="s">
        <v>33</v>
      </c>
      <c r="I202" s="31" t="s">
        <v>755</v>
      </c>
      <c r="J202" s="32" t="s">
        <v>33</v>
      </c>
      <c r="K202" s="32" t="s">
        <v>33</v>
      </c>
      <c r="L202" s="32" t="s">
        <v>33</v>
      </c>
    </row>
    <row r="203" spans="1:12">
      <c r="A203" s="28">
        <v>2019</v>
      </c>
      <c r="B203" s="29" t="s">
        <v>1875</v>
      </c>
      <c r="C203" s="30" t="s">
        <v>100</v>
      </c>
      <c r="D203" s="28" t="s">
        <v>33</v>
      </c>
      <c r="E203" s="29" t="s">
        <v>757</v>
      </c>
      <c r="F203" s="30" t="s">
        <v>2026</v>
      </c>
      <c r="G203" s="34" t="s">
        <v>757</v>
      </c>
      <c r="H203" s="34" t="s">
        <v>33</v>
      </c>
      <c r="I203" s="31" t="s">
        <v>758</v>
      </c>
      <c r="J203" s="32" t="s">
        <v>33</v>
      </c>
      <c r="K203" s="32" t="s">
        <v>33</v>
      </c>
      <c r="L203" s="32" t="s">
        <v>33</v>
      </c>
    </row>
    <row r="204" spans="1:12">
      <c r="A204" s="28">
        <v>2019</v>
      </c>
      <c r="B204" s="29" t="s">
        <v>1215</v>
      </c>
      <c r="C204" s="30" t="s">
        <v>51</v>
      </c>
      <c r="D204" s="28" t="s">
        <v>33</v>
      </c>
      <c r="E204" s="29" t="s">
        <v>1881</v>
      </c>
      <c r="F204" s="30" t="s">
        <v>2027</v>
      </c>
      <c r="G204" s="34" t="s">
        <v>760</v>
      </c>
      <c r="H204" s="34" t="s">
        <v>33</v>
      </c>
      <c r="I204" s="31" t="s">
        <v>761</v>
      </c>
      <c r="J204" s="32" t="s">
        <v>762</v>
      </c>
      <c r="K204" s="32" t="s">
        <v>33</v>
      </c>
      <c r="L204" s="32" t="s">
        <v>33</v>
      </c>
    </row>
    <row r="205" spans="1:12">
      <c r="A205" s="28">
        <v>2019</v>
      </c>
      <c r="B205" s="29" t="s">
        <v>1215</v>
      </c>
      <c r="C205" s="30" t="s">
        <v>51</v>
      </c>
      <c r="D205" s="28" t="s">
        <v>33</v>
      </c>
      <c r="E205" s="29" t="s">
        <v>1881</v>
      </c>
      <c r="F205" s="30" t="s">
        <v>1927</v>
      </c>
      <c r="G205" s="34" t="s">
        <v>190</v>
      </c>
      <c r="H205" s="34" t="s">
        <v>33</v>
      </c>
      <c r="I205" s="31" t="s">
        <v>763</v>
      </c>
      <c r="J205" s="32" t="s">
        <v>764</v>
      </c>
      <c r="K205" s="32" t="s">
        <v>33</v>
      </c>
      <c r="L205" s="32" t="s">
        <v>33</v>
      </c>
    </row>
    <row r="206" spans="1:12">
      <c r="A206" s="28">
        <v>2019</v>
      </c>
      <c r="B206" s="29" t="s">
        <v>1215</v>
      </c>
      <c r="C206" s="30" t="s">
        <v>51</v>
      </c>
      <c r="D206" s="28" t="s">
        <v>33</v>
      </c>
      <c r="E206" s="29" t="s">
        <v>1881</v>
      </c>
      <c r="F206" s="30" t="s">
        <v>2028</v>
      </c>
      <c r="G206" s="34" t="s">
        <v>769</v>
      </c>
      <c r="H206" s="34" t="s">
        <v>33</v>
      </c>
      <c r="I206" s="31" t="s">
        <v>767</v>
      </c>
      <c r="J206" s="32" t="s">
        <v>768</v>
      </c>
      <c r="K206" s="32" t="s">
        <v>33</v>
      </c>
      <c r="L206" s="32" t="s">
        <v>33</v>
      </c>
    </row>
    <row r="207" spans="1:12">
      <c r="A207" s="28">
        <v>2019</v>
      </c>
      <c r="B207" s="29" t="s">
        <v>1882</v>
      </c>
      <c r="C207" s="30" t="s">
        <v>33</v>
      </c>
      <c r="D207" s="28" t="s">
        <v>55</v>
      </c>
      <c r="E207" s="29" t="s">
        <v>1890</v>
      </c>
      <c r="F207" s="30" t="s">
        <v>33</v>
      </c>
      <c r="G207" s="34" t="s">
        <v>33</v>
      </c>
      <c r="H207" s="34" t="s">
        <v>33</v>
      </c>
      <c r="I207" s="31" t="s">
        <v>770</v>
      </c>
      <c r="J207" s="32" t="s">
        <v>771</v>
      </c>
      <c r="K207" s="32" t="s">
        <v>33</v>
      </c>
      <c r="L207" s="32" t="s">
        <v>33</v>
      </c>
    </row>
    <row r="208" spans="1:12">
      <c r="A208" s="28">
        <v>2019</v>
      </c>
      <c r="B208" s="29" t="s">
        <v>1297</v>
      </c>
      <c r="C208" s="30" t="s">
        <v>60</v>
      </c>
      <c r="D208" s="28" t="s">
        <v>33</v>
      </c>
      <c r="E208" s="29" t="s">
        <v>33</v>
      </c>
      <c r="F208" s="30" t="s">
        <v>1884</v>
      </c>
      <c r="G208" s="34" t="s">
        <v>774</v>
      </c>
      <c r="H208" s="34" t="s">
        <v>33</v>
      </c>
      <c r="I208" s="31" t="s">
        <v>33</v>
      </c>
      <c r="J208" s="32" t="s">
        <v>773</v>
      </c>
      <c r="K208" s="32" t="s">
        <v>33</v>
      </c>
      <c r="L208" s="32" t="s">
        <v>33</v>
      </c>
    </row>
    <row r="209" spans="1:12">
      <c r="A209" s="28">
        <v>2019</v>
      </c>
      <c r="B209" s="29" t="s">
        <v>1297</v>
      </c>
      <c r="C209" s="30" t="s">
        <v>60</v>
      </c>
      <c r="D209" s="28" t="s">
        <v>33</v>
      </c>
      <c r="E209" s="29" t="s">
        <v>33</v>
      </c>
      <c r="F209" s="30" t="s">
        <v>1884</v>
      </c>
      <c r="G209" s="34" t="s">
        <v>63</v>
      </c>
      <c r="H209" s="34" t="s">
        <v>33</v>
      </c>
      <c r="I209" s="31" t="s">
        <v>33</v>
      </c>
      <c r="J209" s="32" t="s">
        <v>33</v>
      </c>
      <c r="K209" s="32" t="s">
        <v>33</v>
      </c>
      <c r="L209" s="32" t="s">
        <v>33</v>
      </c>
    </row>
    <row r="210" spans="1:12">
      <c r="A210" s="28">
        <v>2019</v>
      </c>
      <c r="B210" s="29" t="s">
        <v>1885</v>
      </c>
      <c r="C210" s="30" t="s">
        <v>68</v>
      </c>
      <c r="D210" s="28" t="s">
        <v>33</v>
      </c>
      <c r="E210" s="29" t="s">
        <v>33</v>
      </c>
      <c r="F210" s="30" t="s">
        <v>775</v>
      </c>
      <c r="G210" s="34" t="s">
        <v>775</v>
      </c>
      <c r="H210" s="34" t="s">
        <v>33</v>
      </c>
      <c r="I210" s="33" t="s">
        <v>165</v>
      </c>
      <c r="J210" s="32" t="s">
        <v>33</v>
      </c>
      <c r="K210" s="32" t="s">
        <v>33</v>
      </c>
      <c r="L210" s="32" t="s">
        <v>33</v>
      </c>
    </row>
    <row r="211" spans="1:12">
      <c r="A211" s="28">
        <v>2019</v>
      </c>
      <c r="B211" s="29" t="s">
        <v>1885</v>
      </c>
      <c r="C211" s="30" t="s">
        <v>91</v>
      </c>
      <c r="D211" s="28" t="s">
        <v>33</v>
      </c>
      <c r="E211" s="29" t="s">
        <v>1886</v>
      </c>
      <c r="F211" s="30" t="s">
        <v>1893</v>
      </c>
      <c r="G211" s="34" t="s">
        <v>778</v>
      </c>
      <c r="H211" s="34" t="s">
        <v>33</v>
      </c>
      <c r="I211" s="31" t="s">
        <v>777</v>
      </c>
      <c r="J211" s="32" t="s">
        <v>33</v>
      </c>
      <c r="K211" s="32" t="s">
        <v>33</v>
      </c>
      <c r="L211" s="32" t="s">
        <v>33</v>
      </c>
    </row>
    <row r="212" spans="1:12">
      <c r="A212" s="28">
        <v>2019</v>
      </c>
      <c r="B212" s="29" t="s">
        <v>1885</v>
      </c>
      <c r="C212" s="30" t="s">
        <v>68</v>
      </c>
      <c r="D212" s="28" t="s">
        <v>33</v>
      </c>
      <c r="E212" s="29" t="s">
        <v>1892</v>
      </c>
      <c r="F212" s="30" t="s">
        <v>1957</v>
      </c>
      <c r="G212" s="34" t="s">
        <v>322</v>
      </c>
      <c r="H212" s="34" t="s">
        <v>33</v>
      </c>
      <c r="I212" s="31" t="s">
        <v>779</v>
      </c>
      <c r="J212" s="32" t="s">
        <v>33</v>
      </c>
      <c r="K212" s="32" t="s">
        <v>33</v>
      </c>
      <c r="L212" s="32" t="s">
        <v>33</v>
      </c>
    </row>
    <row r="213" spans="1:12">
      <c r="A213" s="28">
        <v>2019</v>
      </c>
      <c r="B213" s="29" t="s">
        <v>1894</v>
      </c>
      <c r="C213" s="30" t="s">
        <v>64</v>
      </c>
      <c r="D213" s="28" t="s">
        <v>33</v>
      </c>
      <c r="E213" s="29" t="s">
        <v>1978</v>
      </c>
      <c r="F213" s="30" t="s">
        <v>456</v>
      </c>
      <c r="G213" s="34" t="s">
        <v>456</v>
      </c>
      <c r="H213" s="34" t="s">
        <v>33</v>
      </c>
      <c r="I213" s="31" t="s">
        <v>458</v>
      </c>
      <c r="J213" s="32" t="s">
        <v>33</v>
      </c>
      <c r="K213" s="32" t="s">
        <v>33</v>
      </c>
      <c r="L213" s="32" t="s">
        <v>33</v>
      </c>
    </row>
    <row r="214" spans="1:12">
      <c r="A214" s="28">
        <v>2019</v>
      </c>
      <c r="B214" s="29" t="s">
        <v>1894</v>
      </c>
      <c r="C214" s="30" t="s">
        <v>82</v>
      </c>
      <c r="D214" s="28" t="s">
        <v>33</v>
      </c>
      <c r="E214" s="29" t="s">
        <v>2029</v>
      </c>
      <c r="F214" s="30" t="s">
        <v>781</v>
      </c>
      <c r="G214" s="34" t="s">
        <v>781</v>
      </c>
      <c r="H214" s="34" t="s">
        <v>33</v>
      </c>
      <c r="I214" s="31" t="s">
        <v>782</v>
      </c>
      <c r="J214" s="32" t="s">
        <v>33</v>
      </c>
      <c r="K214" s="32" t="s">
        <v>33</v>
      </c>
      <c r="L214" s="32" t="s">
        <v>33</v>
      </c>
    </row>
    <row r="215" spans="1:12">
      <c r="A215" s="28">
        <v>2019</v>
      </c>
      <c r="B215" s="29" t="s">
        <v>1894</v>
      </c>
      <c r="C215" s="30" t="s">
        <v>91</v>
      </c>
      <c r="D215" s="28" t="s">
        <v>33</v>
      </c>
      <c r="E215" s="29" t="s">
        <v>33</v>
      </c>
      <c r="F215" s="30" t="s">
        <v>1895</v>
      </c>
      <c r="G215" s="34" t="s">
        <v>783</v>
      </c>
      <c r="H215" s="34" t="s">
        <v>33</v>
      </c>
      <c r="I215" s="31" t="s">
        <v>784</v>
      </c>
      <c r="J215" s="32" t="s">
        <v>566</v>
      </c>
      <c r="K215" s="32" t="s">
        <v>33</v>
      </c>
      <c r="L215" s="32" t="s">
        <v>33</v>
      </c>
    </row>
    <row r="216" spans="1:12">
      <c r="A216" s="28">
        <v>2019</v>
      </c>
      <c r="B216" s="29" t="s">
        <v>1933</v>
      </c>
      <c r="C216" s="30" t="s">
        <v>82</v>
      </c>
      <c r="D216" s="28" t="s">
        <v>33</v>
      </c>
      <c r="E216" s="29" t="s">
        <v>2030</v>
      </c>
      <c r="F216" s="30" t="s">
        <v>785</v>
      </c>
      <c r="G216" s="34" t="s">
        <v>785</v>
      </c>
      <c r="H216" s="34" t="s">
        <v>33</v>
      </c>
      <c r="I216" s="33" t="s">
        <v>165</v>
      </c>
      <c r="J216" s="32" t="s">
        <v>33</v>
      </c>
      <c r="K216" s="32" t="s">
        <v>33</v>
      </c>
      <c r="L216" s="32" t="s">
        <v>33</v>
      </c>
    </row>
    <row r="217" spans="1:12">
      <c r="A217" s="28">
        <v>2019</v>
      </c>
      <c r="B217" s="29" t="s">
        <v>1933</v>
      </c>
      <c r="C217" s="30" t="s">
        <v>32</v>
      </c>
      <c r="D217" s="28" t="s">
        <v>33</v>
      </c>
      <c r="E217" s="29" t="s">
        <v>1917</v>
      </c>
      <c r="F217" s="30" t="s">
        <v>1922</v>
      </c>
      <c r="G217" s="34" t="s">
        <v>786</v>
      </c>
      <c r="H217" s="34" t="s">
        <v>33</v>
      </c>
      <c r="I217" s="31" t="s">
        <v>787</v>
      </c>
      <c r="J217" s="32" t="s">
        <v>33</v>
      </c>
      <c r="K217" s="32" t="s">
        <v>33</v>
      </c>
      <c r="L217" s="32" t="s">
        <v>33</v>
      </c>
    </row>
    <row r="218" spans="1:12">
      <c r="A218" s="28">
        <v>2019</v>
      </c>
      <c r="B218" s="29" t="s">
        <v>1933</v>
      </c>
      <c r="C218" s="30" t="s">
        <v>82</v>
      </c>
      <c r="D218" s="28" t="s">
        <v>33</v>
      </c>
      <c r="E218" s="29" t="s">
        <v>1917</v>
      </c>
      <c r="F218" s="30" t="s">
        <v>790</v>
      </c>
      <c r="G218" s="34" t="s">
        <v>790</v>
      </c>
      <c r="H218" s="34" t="s">
        <v>33</v>
      </c>
      <c r="I218" s="31" t="s">
        <v>789</v>
      </c>
      <c r="J218" s="32" t="s">
        <v>33</v>
      </c>
      <c r="K218" s="32" t="s">
        <v>33</v>
      </c>
      <c r="L218" s="32" t="s">
        <v>33</v>
      </c>
    </row>
    <row r="219" spans="1:12">
      <c r="A219" s="28">
        <v>2019</v>
      </c>
      <c r="B219" s="29" t="s">
        <v>1546</v>
      </c>
      <c r="C219" s="30" t="s">
        <v>221</v>
      </c>
      <c r="D219" s="28" t="s">
        <v>33</v>
      </c>
      <c r="E219" s="29" t="s">
        <v>33</v>
      </c>
      <c r="F219" s="30" t="s">
        <v>791</v>
      </c>
      <c r="G219" s="34" t="s">
        <v>791</v>
      </c>
      <c r="H219" s="34" t="s">
        <v>33</v>
      </c>
      <c r="I219" s="31" t="s">
        <v>33</v>
      </c>
      <c r="J219" s="32" t="s">
        <v>33</v>
      </c>
      <c r="K219" s="32" t="s">
        <v>33</v>
      </c>
      <c r="L219" s="32" t="s">
        <v>33</v>
      </c>
    </row>
    <row r="220" spans="1:12">
      <c r="A220" s="28">
        <v>2019</v>
      </c>
      <c r="B220" s="29" t="s">
        <v>1546</v>
      </c>
      <c r="C220" s="30" t="s">
        <v>100</v>
      </c>
      <c r="D220" s="28" t="s">
        <v>33</v>
      </c>
      <c r="E220" s="29" t="s">
        <v>1900</v>
      </c>
      <c r="F220" s="30" t="s">
        <v>1901</v>
      </c>
      <c r="G220" s="34" t="s">
        <v>792</v>
      </c>
      <c r="H220" s="34" t="s">
        <v>33</v>
      </c>
      <c r="I220" s="31" t="s">
        <v>108</v>
      </c>
      <c r="J220" s="32" t="s">
        <v>33</v>
      </c>
      <c r="K220" s="32" t="s">
        <v>33</v>
      </c>
      <c r="L220" s="32" t="s">
        <v>33</v>
      </c>
    </row>
    <row r="221" spans="1:12">
      <c r="A221" s="28">
        <v>2019</v>
      </c>
      <c r="B221" s="29" t="s">
        <v>1903</v>
      </c>
      <c r="C221" s="30" t="s">
        <v>32</v>
      </c>
      <c r="D221" s="28" t="s">
        <v>33</v>
      </c>
      <c r="E221" s="29" t="s">
        <v>1890</v>
      </c>
      <c r="F221" s="30" t="s">
        <v>50</v>
      </c>
      <c r="G221" s="34" t="s">
        <v>796</v>
      </c>
      <c r="H221" s="34" t="s">
        <v>33</v>
      </c>
      <c r="I221" s="31" t="s">
        <v>794</v>
      </c>
      <c r="J221" s="32" t="s">
        <v>795</v>
      </c>
      <c r="K221" s="32" t="s">
        <v>33</v>
      </c>
      <c r="L221" s="32" t="s">
        <v>33</v>
      </c>
    </row>
    <row r="222" spans="1:12">
      <c r="A222" s="28">
        <v>2019</v>
      </c>
      <c r="B222" s="29" t="s">
        <v>1903</v>
      </c>
      <c r="C222" s="30" t="s">
        <v>82</v>
      </c>
      <c r="D222" s="28" t="s">
        <v>33</v>
      </c>
      <c r="E222" s="29" t="s">
        <v>1937</v>
      </c>
      <c r="F222" s="30" t="s">
        <v>2031</v>
      </c>
      <c r="G222" s="34" t="s">
        <v>2031</v>
      </c>
      <c r="H222" s="34" t="s">
        <v>33</v>
      </c>
      <c r="I222" s="31" t="s">
        <v>798</v>
      </c>
      <c r="J222" s="32" t="s">
        <v>33</v>
      </c>
      <c r="K222" s="32" t="s">
        <v>33</v>
      </c>
      <c r="L222" s="32" t="s">
        <v>33</v>
      </c>
    </row>
    <row r="223" spans="1:12">
      <c r="A223" s="28">
        <v>2019</v>
      </c>
      <c r="B223" s="29" t="s">
        <v>1564</v>
      </c>
      <c r="C223" s="30" t="s">
        <v>91</v>
      </c>
      <c r="D223" s="28" t="s">
        <v>33</v>
      </c>
      <c r="E223" s="29" t="s">
        <v>33</v>
      </c>
      <c r="F223" s="30" t="s">
        <v>1891</v>
      </c>
      <c r="G223" s="34" t="s">
        <v>800</v>
      </c>
      <c r="H223" s="34" t="s">
        <v>33</v>
      </c>
      <c r="I223" s="31" t="s">
        <v>33</v>
      </c>
      <c r="J223" s="32" t="s">
        <v>801</v>
      </c>
      <c r="K223" s="32" t="s">
        <v>33</v>
      </c>
      <c r="L223" s="32" t="s">
        <v>33</v>
      </c>
    </row>
    <row r="224" spans="1:12">
      <c r="A224" s="28">
        <v>2019</v>
      </c>
      <c r="B224" s="29" t="s">
        <v>1906</v>
      </c>
      <c r="C224" s="30" t="s">
        <v>82</v>
      </c>
      <c r="D224" s="28" t="s">
        <v>33</v>
      </c>
      <c r="E224" s="29" t="s">
        <v>2032</v>
      </c>
      <c r="F224" s="30" t="s">
        <v>802</v>
      </c>
      <c r="G224" s="34" t="s">
        <v>802</v>
      </c>
      <c r="H224" s="34" t="s">
        <v>33</v>
      </c>
      <c r="I224" s="31" t="s">
        <v>803</v>
      </c>
      <c r="J224" s="32" t="s">
        <v>804</v>
      </c>
      <c r="K224" s="32" t="s">
        <v>33</v>
      </c>
      <c r="L224" s="32" t="s">
        <v>33</v>
      </c>
    </row>
    <row r="225" spans="1:12">
      <c r="A225" s="28">
        <v>2019</v>
      </c>
      <c r="B225" s="29" t="s">
        <v>1906</v>
      </c>
      <c r="C225" s="30" t="s">
        <v>82</v>
      </c>
      <c r="D225" s="28" t="s">
        <v>33</v>
      </c>
      <c r="E225" s="29" t="s">
        <v>945</v>
      </c>
      <c r="F225" s="30" t="s">
        <v>259</v>
      </c>
      <c r="G225" s="34" t="s">
        <v>259</v>
      </c>
      <c r="H225" s="34" t="s">
        <v>33</v>
      </c>
      <c r="I225" s="33" t="s">
        <v>165</v>
      </c>
      <c r="J225" s="32" t="s">
        <v>805</v>
      </c>
      <c r="K225" s="32" t="s">
        <v>33</v>
      </c>
      <c r="L225" s="32" t="s">
        <v>33</v>
      </c>
    </row>
    <row r="226" spans="1:12">
      <c r="A226" s="28">
        <v>2019</v>
      </c>
      <c r="B226" s="29" t="s">
        <v>1906</v>
      </c>
      <c r="C226" s="30" t="s">
        <v>60</v>
      </c>
      <c r="D226" s="28" t="s">
        <v>33</v>
      </c>
      <c r="E226" s="29" t="s">
        <v>1890</v>
      </c>
      <c r="F226" s="30" t="s">
        <v>2007</v>
      </c>
      <c r="G226" s="34" t="s">
        <v>807</v>
      </c>
      <c r="H226" s="34" t="s">
        <v>33</v>
      </c>
      <c r="I226" s="31" t="s">
        <v>808</v>
      </c>
      <c r="J226" s="32" t="s">
        <v>809</v>
      </c>
      <c r="K226" s="32" t="s">
        <v>33</v>
      </c>
      <c r="L226" s="32" t="s">
        <v>33</v>
      </c>
    </row>
    <row r="227" spans="1:12">
      <c r="A227" s="28">
        <v>2019</v>
      </c>
      <c r="B227" s="29" t="s">
        <v>1910</v>
      </c>
      <c r="C227" s="30" t="s">
        <v>133</v>
      </c>
      <c r="D227" s="28" t="s">
        <v>33</v>
      </c>
      <c r="E227" s="29" t="s">
        <v>1455</v>
      </c>
      <c r="F227" s="30" t="s">
        <v>375</v>
      </c>
      <c r="G227" s="34" t="s">
        <v>810</v>
      </c>
      <c r="H227" s="34" t="s">
        <v>33</v>
      </c>
      <c r="I227" s="31" t="s">
        <v>811</v>
      </c>
      <c r="J227" s="32" t="s">
        <v>812</v>
      </c>
      <c r="K227" s="32" t="s">
        <v>33</v>
      </c>
      <c r="L227" s="32" t="s">
        <v>33</v>
      </c>
    </row>
    <row r="228" spans="1:12">
      <c r="A228" s="28">
        <v>2019</v>
      </c>
      <c r="B228" s="29" t="s">
        <v>1910</v>
      </c>
      <c r="C228" s="30" t="s">
        <v>64</v>
      </c>
      <c r="D228" s="28" t="s">
        <v>33</v>
      </c>
      <c r="E228" s="29" t="s">
        <v>289</v>
      </c>
      <c r="F228" s="30" t="s">
        <v>813</v>
      </c>
      <c r="G228" s="34" t="s">
        <v>814</v>
      </c>
      <c r="H228" s="34" t="s">
        <v>33</v>
      </c>
      <c r="I228" s="31" t="s">
        <v>815</v>
      </c>
      <c r="J228" s="32" t="s">
        <v>816</v>
      </c>
      <c r="K228" s="32" t="s">
        <v>33</v>
      </c>
      <c r="L228" s="32" t="s">
        <v>33</v>
      </c>
    </row>
    <row r="229" spans="1:12">
      <c r="A229" s="28">
        <v>2019</v>
      </c>
      <c r="B229" s="29" t="s">
        <v>1910</v>
      </c>
      <c r="C229" s="30" t="s">
        <v>133</v>
      </c>
      <c r="D229" s="28" t="s">
        <v>33</v>
      </c>
      <c r="E229" s="29" t="s">
        <v>1883</v>
      </c>
      <c r="F229" s="30" t="s">
        <v>140</v>
      </c>
      <c r="G229" s="34" t="s">
        <v>140</v>
      </c>
      <c r="H229" s="34" t="s">
        <v>33</v>
      </c>
      <c r="I229" s="31" t="s">
        <v>817</v>
      </c>
      <c r="J229" s="32" t="s">
        <v>33</v>
      </c>
      <c r="K229" s="32" t="s">
        <v>33</v>
      </c>
      <c r="L229" s="32" t="s">
        <v>33</v>
      </c>
    </row>
    <row r="230" spans="1:12">
      <c r="A230" s="28">
        <v>2019</v>
      </c>
      <c r="B230" s="29" t="s">
        <v>1878</v>
      </c>
      <c r="C230" s="30" t="s">
        <v>141</v>
      </c>
      <c r="D230" s="28" t="s">
        <v>33</v>
      </c>
      <c r="E230" s="29" t="s">
        <v>1883</v>
      </c>
      <c r="F230" s="30" t="s">
        <v>384</v>
      </c>
      <c r="G230" s="34" t="s">
        <v>818</v>
      </c>
      <c r="H230" s="34" t="s">
        <v>33</v>
      </c>
      <c r="I230" s="31" t="s">
        <v>819</v>
      </c>
      <c r="J230" s="32" t="s">
        <v>820</v>
      </c>
      <c r="K230" s="32" t="s">
        <v>33</v>
      </c>
      <c r="L230" s="32" t="s">
        <v>33</v>
      </c>
    </row>
    <row r="231" spans="1:12">
      <c r="A231" s="28">
        <v>2019</v>
      </c>
      <c r="B231" s="29" t="s">
        <v>1878</v>
      </c>
      <c r="C231" s="30" t="s">
        <v>82</v>
      </c>
      <c r="D231" s="28" t="s">
        <v>33</v>
      </c>
      <c r="E231" s="29" t="s">
        <v>1381</v>
      </c>
      <c r="F231" s="30" t="s">
        <v>2033</v>
      </c>
      <c r="G231" s="34" t="s">
        <v>2034</v>
      </c>
      <c r="H231" s="34" t="s">
        <v>33</v>
      </c>
      <c r="I231" s="31" t="s">
        <v>822</v>
      </c>
      <c r="J231" s="32" t="s">
        <v>823</v>
      </c>
      <c r="K231" s="32" t="s">
        <v>33</v>
      </c>
      <c r="L231" s="32" t="s">
        <v>33</v>
      </c>
    </row>
    <row r="232" spans="1:12">
      <c r="A232" s="28">
        <v>2019</v>
      </c>
      <c r="B232" s="29" t="s">
        <v>1878</v>
      </c>
      <c r="C232" s="30" t="s">
        <v>141</v>
      </c>
      <c r="D232" s="28" t="s">
        <v>33</v>
      </c>
      <c r="E232" s="29" t="s">
        <v>1955</v>
      </c>
      <c r="F232" s="30" t="s">
        <v>1988</v>
      </c>
      <c r="G232" s="34" t="s">
        <v>518</v>
      </c>
      <c r="H232" s="34" t="s">
        <v>33</v>
      </c>
      <c r="I232" s="31" t="s">
        <v>825</v>
      </c>
      <c r="J232" s="32" t="s">
        <v>826</v>
      </c>
      <c r="K232" s="32" t="s">
        <v>33</v>
      </c>
      <c r="L232" s="32" t="s">
        <v>33</v>
      </c>
    </row>
    <row r="233" spans="1:12">
      <c r="A233" s="28">
        <v>2019</v>
      </c>
      <c r="B233" s="29" t="s">
        <v>1914</v>
      </c>
      <c r="C233" s="30" t="s">
        <v>87</v>
      </c>
      <c r="D233" s="28" t="s">
        <v>33</v>
      </c>
      <c r="E233" s="29" t="s">
        <v>413</v>
      </c>
      <c r="F233" s="30" t="s">
        <v>414</v>
      </c>
      <c r="G233" s="34" t="s">
        <v>828</v>
      </c>
      <c r="H233" s="34" t="s">
        <v>33</v>
      </c>
      <c r="I233" s="33" t="s">
        <v>165</v>
      </c>
      <c r="J233" s="32" t="s">
        <v>827</v>
      </c>
      <c r="K233" s="32" t="s">
        <v>33</v>
      </c>
      <c r="L233" s="32" t="s">
        <v>33</v>
      </c>
    </row>
    <row r="234" spans="1:12">
      <c r="A234" s="28">
        <v>2019</v>
      </c>
      <c r="B234" s="29" t="s">
        <v>1914</v>
      </c>
      <c r="C234" s="30" t="s">
        <v>91</v>
      </c>
      <c r="D234" s="28" t="s">
        <v>33</v>
      </c>
      <c r="E234" s="29" t="s">
        <v>33</v>
      </c>
      <c r="F234" s="30" t="s">
        <v>1919</v>
      </c>
      <c r="G234" s="34" t="s">
        <v>420</v>
      </c>
      <c r="H234" s="34" t="s">
        <v>33</v>
      </c>
      <c r="I234" s="33" t="s">
        <v>165</v>
      </c>
      <c r="J234" s="32" t="s">
        <v>33</v>
      </c>
      <c r="K234" s="32" t="s">
        <v>33</v>
      </c>
      <c r="L234" s="32" t="s">
        <v>33</v>
      </c>
    </row>
    <row r="235" spans="1:12">
      <c r="A235" s="28">
        <v>2021</v>
      </c>
      <c r="B235" s="29" t="s">
        <v>1875</v>
      </c>
      <c r="C235" s="30" t="s">
        <v>32</v>
      </c>
      <c r="D235" s="28" t="s">
        <v>33</v>
      </c>
      <c r="E235" s="29" t="s">
        <v>1880</v>
      </c>
      <c r="F235" s="30" t="s">
        <v>50</v>
      </c>
      <c r="G235" s="34" t="s">
        <v>427</v>
      </c>
      <c r="H235" s="34" t="s">
        <v>33</v>
      </c>
      <c r="I235" s="33" t="s">
        <v>165</v>
      </c>
      <c r="J235" s="32" t="s">
        <v>829</v>
      </c>
      <c r="K235" s="32" t="s">
        <v>33</v>
      </c>
      <c r="L235" s="32" t="s">
        <v>33</v>
      </c>
    </row>
    <row r="236" spans="1:12">
      <c r="A236" s="28">
        <v>2021</v>
      </c>
      <c r="B236" s="29" t="s">
        <v>1875</v>
      </c>
      <c r="C236" s="30" t="s">
        <v>32</v>
      </c>
      <c r="D236" s="28" t="s">
        <v>33</v>
      </c>
      <c r="E236" s="29" t="s">
        <v>289</v>
      </c>
      <c r="F236" s="30" t="s">
        <v>1876</v>
      </c>
      <c r="G236" s="34" t="s">
        <v>38</v>
      </c>
      <c r="H236" s="34" t="s">
        <v>33</v>
      </c>
      <c r="I236" s="33" t="s">
        <v>165</v>
      </c>
      <c r="J236" s="32" t="s">
        <v>33</v>
      </c>
      <c r="K236" s="32" t="s">
        <v>33</v>
      </c>
      <c r="L236" s="32" t="s">
        <v>33</v>
      </c>
    </row>
    <row r="237" spans="1:12">
      <c r="A237" s="28">
        <v>2021</v>
      </c>
      <c r="B237" s="29" t="s">
        <v>1875</v>
      </c>
      <c r="C237" s="30" t="s">
        <v>32</v>
      </c>
      <c r="D237" s="28" t="s">
        <v>33</v>
      </c>
      <c r="E237" s="29" t="s">
        <v>289</v>
      </c>
      <c r="F237" s="30" t="s">
        <v>1922</v>
      </c>
      <c r="G237" s="34" t="s">
        <v>830</v>
      </c>
      <c r="H237" s="34" t="s">
        <v>33</v>
      </c>
      <c r="I237" s="33" t="s">
        <v>165</v>
      </c>
      <c r="J237" s="32" t="s">
        <v>33</v>
      </c>
      <c r="K237" s="32" t="s">
        <v>33</v>
      </c>
      <c r="L237" s="32" t="s">
        <v>33</v>
      </c>
    </row>
    <row r="238" spans="1:12">
      <c r="A238" s="28">
        <v>2021</v>
      </c>
      <c r="B238" s="29" t="s">
        <v>1215</v>
      </c>
      <c r="C238" s="30" t="s">
        <v>91</v>
      </c>
      <c r="D238" s="28" t="s">
        <v>33</v>
      </c>
      <c r="E238" s="29" t="s">
        <v>33</v>
      </c>
      <c r="F238" s="30" t="s">
        <v>1976</v>
      </c>
      <c r="G238" s="34" t="s">
        <v>443</v>
      </c>
      <c r="H238" s="34" t="s">
        <v>33</v>
      </c>
      <c r="I238" s="33" t="s">
        <v>165</v>
      </c>
      <c r="J238" s="32" t="s">
        <v>831</v>
      </c>
      <c r="K238" s="32" t="s">
        <v>33</v>
      </c>
      <c r="L238" s="32" t="s">
        <v>33</v>
      </c>
    </row>
    <row r="239" spans="1:12">
      <c r="A239" s="28">
        <v>2021</v>
      </c>
      <c r="B239" s="29" t="s">
        <v>1885</v>
      </c>
      <c r="C239" s="30" t="s">
        <v>68</v>
      </c>
      <c r="D239" s="28" t="s">
        <v>33</v>
      </c>
      <c r="E239" s="29" t="s">
        <v>834</v>
      </c>
      <c r="F239" s="30" t="s">
        <v>833</v>
      </c>
      <c r="G239" s="34" t="s">
        <v>833</v>
      </c>
      <c r="H239" s="34" t="s">
        <v>33</v>
      </c>
      <c r="I239" s="31" t="s">
        <v>834</v>
      </c>
      <c r="J239" s="32" t="s">
        <v>33</v>
      </c>
      <c r="K239" s="32" t="s">
        <v>33</v>
      </c>
      <c r="L239" s="32" t="s">
        <v>33</v>
      </c>
    </row>
    <row r="240" spans="1:12">
      <c r="A240" s="28">
        <v>2021</v>
      </c>
      <c r="B240" s="29" t="s">
        <v>1885</v>
      </c>
      <c r="C240" s="30" t="s">
        <v>68</v>
      </c>
      <c r="D240" s="28" t="s">
        <v>33</v>
      </c>
      <c r="E240" s="29" t="s">
        <v>33</v>
      </c>
      <c r="F240" s="30" t="s">
        <v>2010</v>
      </c>
      <c r="G240" s="34" t="s">
        <v>670</v>
      </c>
      <c r="H240" s="34" t="s">
        <v>33</v>
      </c>
      <c r="I240" s="33" t="s">
        <v>165</v>
      </c>
      <c r="J240" s="32" t="s">
        <v>33</v>
      </c>
      <c r="K240" s="32" t="s">
        <v>33</v>
      </c>
      <c r="L240" s="32" t="s">
        <v>33</v>
      </c>
    </row>
    <row r="241" spans="1:12">
      <c r="A241" s="28">
        <v>2021</v>
      </c>
      <c r="B241" s="29" t="s">
        <v>1885</v>
      </c>
      <c r="C241" s="30" t="s">
        <v>82</v>
      </c>
      <c r="D241" s="28" t="s">
        <v>33</v>
      </c>
      <c r="E241" s="29" t="s">
        <v>838</v>
      </c>
      <c r="F241" s="30" t="s">
        <v>839</v>
      </c>
      <c r="G241" s="34" t="s">
        <v>839</v>
      </c>
      <c r="H241" s="34" t="s">
        <v>33</v>
      </c>
      <c r="I241" s="31" t="s">
        <v>838</v>
      </c>
      <c r="J241" s="32" t="s">
        <v>33</v>
      </c>
      <c r="K241" s="32" t="s">
        <v>33</v>
      </c>
      <c r="L241" s="32" t="s">
        <v>33</v>
      </c>
    </row>
    <row r="242" spans="1:12">
      <c r="A242" s="28">
        <v>2021</v>
      </c>
      <c r="B242" s="29" t="s">
        <v>1894</v>
      </c>
      <c r="C242" s="30" t="s">
        <v>87</v>
      </c>
      <c r="D242" s="28" t="s">
        <v>33</v>
      </c>
      <c r="E242" s="29" t="s">
        <v>33</v>
      </c>
      <c r="F242" s="30" t="s">
        <v>33</v>
      </c>
      <c r="G242" s="34" t="s">
        <v>841</v>
      </c>
      <c r="H242" s="34" t="s">
        <v>33</v>
      </c>
      <c r="I242" s="31" t="s">
        <v>842</v>
      </c>
      <c r="J242" s="32" t="s">
        <v>33</v>
      </c>
      <c r="K242" s="32" t="s">
        <v>33</v>
      </c>
      <c r="L242" s="32" t="s">
        <v>33</v>
      </c>
    </row>
    <row r="243" spans="1:12">
      <c r="A243" s="28">
        <v>2021</v>
      </c>
      <c r="B243" s="29" t="s">
        <v>1894</v>
      </c>
      <c r="C243" s="30" t="s">
        <v>100</v>
      </c>
      <c r="D243" s="28" t="s">
        <v>33</v>
      </c>
      <c r="E243" s="29" t="s">
        <v>1900</v>
      </c>
      <c r="F243" s="30" t="s">
        <v>1901</v>
      </c>
      <c r="G243" s="34" t="s">
        <v>680</v>
      </c>
      <c r="H243" s="34" t="s">
        <v>33</v>
      </c>
      <c r="I243" s="31" t="s">
        <v>214</v>
      </c>
      <c r="J243" s="32" t="s">
        <v>33</v>
      </c>
      <c r="K243" s="32" t="s">
        <v>33</v>
      </c>
      <c r="L243" s="32" t="s">
        <v>33</v>
      </c>
    </row>
    <row r="244" spans="1:12">
      <c r="A244" s="28">
        <v>2021</v>
      </c>
      <c r="B244" s="29" t="s">
        <v>1896</v>
      </c>
      <c r="C244" s="30" t="s">
        <v>91</v>
      </c>
      <c r="D244" s="28" t="s">
        <v>33</v>
      </c>
      <c r="E244" s="29" t="s">
        <v>1897</v>
      </c>
      <c r="F244" s="30" t="s">
        <v>1898</v>
      </c>
      <c r="G244" s="34" t="s">
        <v>843</v>
      </c>
      <c r="H244" s="34" t="s">
        <v>33</v>
      </c>
      <c r="I244" s="31" t="s">
        <v>844</v>
      </c>
      <c r="J244" s="32" t="s">
        <v>845</v>
      </c>
      <c r="K244" s="32" t="s">
        <v>33</v>
      </c>
      <c r="L244" s="32" t="s">
        <v>33</v>
      </c>
    </row>
    <row r="245" spans="1:12">
      <c r="A245" s="28">
        <v>2021</v>
      </c>
      <c r="B245" s="29" t="s">
        <v>1896</v>
      </c>
      <c r="C245" s="30" t="s">
        <v>91</v>
      </c>
      <c r="D245" s="28" t="s">
        <v>33</v>
      </c>
      <c r="E245" s="29" t="s">
        <v>1881</v>
      </c>
      <c r="F245" s="30" t="s">
        <v>1976</v>
      </c>
      <c r="G245" s="34" t="s">
        <v>847</v>
      </c>
      <c r="H245" s="34" t="s">
        <v>33</v>
      </c>
      <c r="I245" s="33" t="s">
        <v>165</v>
      </c>
      <c r="J245" s="32" t="s">
        <v>848</v>
      </c>
      <c r="K245" s="32" t="s">
        <v>33</v>
      </c>
      <c r="L245" s="32" t="s">
        <v>33</v>
      </c>
    </row>
    <row r="246" spans="1:12">
      <c r="A246" s="28">
        <v>2021</v>
      </c>
      <c r="B246" s="29" t="s">
        <v>1896</v>
      </c>
      <c r="C246" s="30" t="s">
        <v>91</v>
      </c>
      <c r="D246" s="28" t="s">
        <v>33</v>
      </c>
      <c r="E246" s="29" t="s">
        <v>1897</v>
      </c>
      <c r="F246" s="30" t="s">
        <v>850</v>
      </c>
      <c r="G246" s="34" t="s">
        <v>850</v>
      </c>
      <c r="H246" s="34" t="s">
        <v>33</v>
      </c>
      <c r="I246" s="31" t="s">
        <v>851</v>
      </c>
      <c r="J246" s="32" t="s">
        <v>852</v>
      </c>
      <c r="K246" s="32" t="s">
        <v>33</v>
      </c>
      <c r="L246" s="32" t="s">
        <v>33</v>
      </c>
    </row>
    <row r="247" spans="1:12">
      <c r="A247" s="28">
        <v>2021</v>
      </c>
      <c r="B247" s="29" t="s">
        <v>1896</v>
      </c>
      <c r="C247" s="30" t="s">
        <v>91</v>
      </c>
      <c r="D247" s="28" t="s">
        <v>33</v>
      </c>
      <c r="E247" s="29" t="s">
        <v>33</v>
      </c>
      <c r="F247" s="30" t="s">
        <v>568</v>
      </c>
      <c r="G247" s="34" t="s">
        <v>853</v>
      </c>
      <c r="H247" s="34" t="s">
        <v>33</v>
      </c>
      <c r="I247" s="31" t="s">
        <v>33</v>
      </c>
      <c r="J247" s="32" t="s">
        <v>33</v>
      </c>
      <c r="K247" s="32" t="s">
        <v>33</v>
      </c>
      <c r="L247" s="32" t="s">
        <v>33</v>
      </c>
    </row>
    <row r="248" spans="1:12">
      <c r="A248" s="28">
        <v>2021</v>
      </c>
      <c r="B248" s="29" t="s">
        <v>1896</v>
      </c>
      <c r="C248" s="30" t="s">
        <v>91</v>
      </c>
      <c r="D248" s="28" t="s">
        <v>33</v>
      </c>
      <c r="E248" s="29" t="s">
        <v>33</v>
      </c>
      <c r="F248" s="30" t="s">
        <v>1991</v>
      </c>
      <c r="G248" s="34" t="s">
        <v>857</v>
      </c>
      <c r="H248" s="34" t="s">
        <v>33</v>
      </c>
      <c r="I248" s="31" t="s">
        <v>855</v>
      </c>
      <c r="J248" s="32" t="s">
        <v>856</v>
      </c>
      <c r="K248" s="32" t="s">
        <v>33</v>
      </c>
      <c r="L248" s="32" t="s">
        <v>33</v>
      </c>
    </row>
    <row r="249" spans="1:12">
      <c r="A249" s="28">
        <v>2021</v>
      </c>
      <c r="B249" s="29" t="s">
        <v>1933</v>
      </c>
      <c r="C249" s="30" t="s">
        <v>221</v>
      </c>
      <c r="D249" s="28" t="s">
        <v>33</v>
      </c>
      <c r="E249" s="29" t="s">
        <v>2035</v>
      </c>
      <c r="F249" s="30" t="s">
        <v>2036</v>
      </c>
      <c r="G249" s="34" t="s">
        <v>859</v>
      </c>
      <c r="H249" s="34" t="s">
        <v>33</v>
      </c>
      <c r="I249" s="33" t="s">
        <v>165</v>
      </c>
      <c r="J249" s="32" t="s">
        <v>33</v>
      </c>
      <c r="K249" s="32" t="s">
        <v>33</v>
      </c>
      <c r="L249" s="32" t="s">
        <v>33</v>
      </c>
    </row>
    <row r="250" spans="1:12">
      <c r="A250" s="28">
        <v>2021</v>
      </c>
      <c r="B250" s="29" t="s">
        <v>1546</v>
      </c>
      <c r="C250" s="30" t="s">
        <v>32</v>
      </c>
      <c r="D250" s="28" t="s">
        <v>33</v>
      </c>
      <c r="E250" s="29" t="s">
        <v>1917</v>
      </c>
      <c r="F250" s="30" t="s">
        <v>35</v>
      </c>
      <c r="G250" s="34" t="s">
        <v>861</v>
      </c>
      <c r="H250" s="34" t="s">
        <v>33</v>
      </c>
      <c r="I250" s="31" t="s">
        <v>33</v>
      </c>
      <c r="J250" s="32" t="s">
        <v>33</v>
      </c>
      <c r="K250" s="32" t="s">
        <v>33</v>
      </c>
      <c r="L250" s="32" t="s">
        <v>33</v>
      </c>
    </row>
    <row r="251" spans="1:12">
      <c r="A251" s="28">
        <v>2021</v>
      </c>
      <c r="B251" s="29" t="s">
        <v>1546</v>
      </c>
      <c r="C251" s="30" t="s">
        <v>100</v>
      </c>
      <c r="D251" s="28" t="s">
        <v>33</v>
      </c>
      <c r="E251" s="29" t="s">
        <v>1900</v>
      </c>
      <c r="F251" s="30" t="s">
        <v>1901</v>
      </c>
      <c r="G251" s="34" t="s">
        <v>107</v>
      </c>
      <c r="H251" s="34" t="s">
        <v>33</v>
      </c>
      <c r="I251" s="31" t="s">
        <v>108</v>
      </c>
      <c r="J251" s="32" t="s">
        <v>33</v>
      </c>
      <c r="K251" s="32" t="s">
        <v>33</v>
      </c>
      <c r="L251" s="32" t="s">
        <v>33</v>
      </c>
    </row>
    <row r="252" spans="1:12">
      <c r="A252" s="28">
        <v>2021</v>
      </c>
      <c r="B252" s="29" t="s">
        <v>1546</v>
      </c>
      <c r="C252" s="30" t="s">
        <v>100</v>
      </c>
      <c r="D252" s="28" t="s">
        <v>33</v>
      </c>
      <c r="E252" s="29" t="s">
        <v>33</v>
      </c>
      <c r="F252" s="30" t="s">
        <v>606</v>
      </c>
      <c r="G252" s="34" t="s">
        <v>2002</v>
      </c>
      <c r="H252" s="34" t="s">
        <v>33</v>
      </c>
      <c r="I252" s="31" t="s">
        <v>33</v>
      </c>
      <c r="J252" s="32" t="s">
        <v>33</v>
      </c>
      <c r="K252" s="32" t="s">
        <v>33</v>
      </c>
      <c r="L252" s="32" t="s">
        <v>33</v>
      </c>
    </row>
    <row r="253" spans="1:12">
      <c r="A253" s="28">
        <v>2021</v>
      </c>
      <c r="B253" s="29" t="s">
        <v>1546</v>
      </c>
      <c r="C253" s="30" t="s">
        <v>82</v>
      </c>
      <c r="D253" s="28" t="s">
        <v>451</v>
      </c>
      <c r="E253" s="29" t="s">
        <v>1962</v>
      </c>
      <c r="F253" s="30" t="s">
        <v>364</v>
      </c>
      <c r="G253" s="34" t="s">
        <v>364</v>
      </c>
      <c r="H253" s="34" t="s">
        <v>33</v>
      </c>
      <c r="I253" s="31" t="s">
        <v>33</v>
      </c>
      <c r="J253" s="32" t="s">
        <v>33</v>
      </c>
      <c r="K253" s="32" t="s">
        <v>33</v>
      </c>
      <c r="L253" s="32" t="s">
        <v>33</v>
      </c>
    </row>
    <row r="254" spans="1:12">
      <c r="A254" s="28">
        <v>2021</v>
      </c>
      <c r="B254" s="29" t="s">
        <v>1903</v>
      </c>
      <c r="C254" s="30" t="s">
        <v>115</v>
      </c>
      <c r="D254" s="28" t="s">
        <v>33</v>
      </c>
      <c r="E254" s="29" t="s">
        <v>33</v>
      </c>
      <c r="F254" s="30" t="s">
        <v>1940</v>
      </c>
      <c r="G254" s="34" t="s">
        <v>359</v>
      </c>
      <c r="H254" s="34" t="s">
        <v>33</v>
      </c>
      <c r="I254" s="31" t="s">
        <v>33</v>
      </c>
      <c r="J254" s="32" t="s">
        <v>33</v>
      </c>
      <c r="K254" s="32" t="s">
        <v>33</v>
      </c>
      <c r="L254" s="32" t="s">
        <v>33</v>
      </c>
    </row>
    <row r="255" spans="1:12">
      <c r="A255" s="28">
        <v>2021</v>
      </c>
      <c r="B255" s="29" t="s">
        <v>1564</v>
      </c>
      <c r="C255" s="30" t="s">
        <v>100</v>
      </c>
      <c r="D255" s="28" t="s">
        <v>33</v>
      </c>
      <c r="E255" s="29" t="s">
        <v>611</v>
      </c>
      <c r="F255" s="30" t="s">
        <v>1981</v>
      </c>
      <c r="G255" s="34" t="s">
        <v>862</v>
      </c>
      <c r="H255" s="34" t="s">
        <v>33</v>
      </c>
      <c r="I255" s="31" t="s">
        <v>611</v>
      </c>
      <c r="J255" s="32" t="s">
        <v>33</v>
      </c>
      <c r="K255" s="32" t="s">
        <v>33</v>
      </c>
      <c r="L255" s="32" t="s">
        <v>33</v>
      </c>
    </row>
    <row r="256" spans="1:12">
      <c r="A256" s="28">
        <v>2021</v>
      </c>
      <c r="B256" s="29" t="s">
        <v>1906</v>
      </c>
      <c r="C256" s="30" t="s">
        <v>82</v>
      </c>
      <c r="D256" s="28" t="s">
        <v>33</v>
      </c>
      <c r="E256" s="29" t="s">
        <v>33</v>
      </c>
      <c r="F256" s="30" t="s">
        <v>2008</v>
      </c>
      <c r="G256" s="34" t="s">
        <v>863</v>
      </c>
      <c r="H256" s="34" t="s">
        <v>33</v>
      </c>
      <c r="I256" s="31" t="s">
        <v>864</v>
      </c>
      <c r="J256" s="32" t="s">
        <v>865</v>
      </c>
      <c r="K256" s="32" t="s">
        <v>33</v>
      </c>
      <c r="L256" s="32" t="s">
        <v>33</v>
      </c>
    </row>
    <row r="257" spans="1:12">
      <c r="A257" s="28">
        <v>2021</v>
      </c>
      <c r="B257" s="29" t="s">
        <v>1906</v>
      </c>
      <c r="C257" s="30" t="s">
        <v>82</v>
      </c>
      <c r="D257" s="28" t="s">
        <v>33</v>
      </c>
      <c r="E257" s="29" t="s">
        <v>2018</v>
      </c>
      <c r="F257" s="30" t="s">
        <v>725</v>
      </c>
      <c r="G257" s="34" t="s">
        <v>725</v>
      </c>
      <c r="H257" s="34" t="s">
        <v>33</v>
      </c>
      <c r="I257" s="31" t="s">
        <v>866</v>
      </c>
      <c r="J257" s="32" t="s">
        <v>867</v>
      </c>
      <c r="K257" s="32" t="s">
        <v>33</v>
      </c>
      <c r="L257" s="32" t="s">
        <v>33</v>
      </c>
    </row>
    <row r="258" spans="1:12">
      <c r="A258" s="28">
        <v>2021</v>
      </c>
      <c r="B258" s="29" t="s">
        <v>1910</v>
      </c>
      <c r="C258" s="30" t="s">
        <v>133</v>
      </c>
      <c r="D258" s="28" t="s">
        <v>33</v>
      </c>
      <c r="E258" s="29" t="s">
        <v>289</v>
      </c>
      <c r="F258" s="30" t="s">
        <v>134</v>
      </c>
      <c r="G258" s="34" t="s">
        <v>868</v>
      </c>
      <c r="H258" s="34" t="s">
        <v>33</v>
      </c>
      <c r="I258" s="33" t="s">
        <v>165</v>
      </c>
      <c r="J258" s="32" t="s">
        <v>33</v>
      </c>
      <c r="K258" s="32" t="s">
        <v>33</v>
      </c>
      <c r="L258" s="32" t="s">
        <v>33</v>
      </c>
    </row>
    <row r="259" spans="1:12">
      <c r="A259" s="28">
        <v>2021</v>
      </c>
      <c r="B259" s="29" t="s">
        <v>1878</v>
      </c>
      <c r="C259" s="30" t="s">
        <v>82</v>
      </c>
      <c r="D259" s="28" t="s">
        <v>33</v>
      </c>
      <c r="E259" s="29" t="s">
        <v>33</v>
      </c>
      <c r="F259" s="30" t="s">
        <v>2008</v>
      </c>
      <c r="G259" s="34" t="s">
        <v>631</v>
      </c>
      <c r="H259" s="34" t="s">
        <v>33</v>
      </c>
      <c r="I259" s="31" t="s">
        <v>631</v>
      </c>
      <c r="J259" s="32" t="s">
        <v>33</v>
      </c>
      <c r="K259" s="32" t="s">
        <v>33</v>
      </c>
      <c r="L259" s="32" t="s">
        <v>33</v>
      </c>
    </row>
    <row r="260" spans="1:12">
      <c r="A260" s="28">
        <v>2021</v>
      </c>
      <c r="B260" s="29" t="s">
        <v>1878</v>
      </c>
      <c r="C260" s="30" t="s">
        <v>141</v>
      </c>
      <c r="D260" s="28" t="s">
        <v>33</v>
      </c>
      <c r="E260" s="29" t="s">
        <v>1911</v>
      </c>
      <c r="F260" s="30" t="s">
        <v>384</v>
      </c>
      <c r="G260" s="34" t="s">
        <v>870</v>
      </c>
      <c r="H260" s="34" t="s">
        <v>33</v>
      </c>
      <c r="I260" s="31" t="s">
        <v>33</v>
      </c>
      <c r="J260" s="32" t="s">
        <v>33</v>
      </c>
      <c r="K260" s="32" t="s">
        <v>33</v>
      </c>
      <c r="L260" s="32" t="s">
        <v>33</v>
      </c>
    </row>
    <row r="261" spans="1:12">
      <c r="A261" s="28">
        <v>2021</v>
      </c>
      <c r="B261" s="29" t="s">
        <v>1968</v>
      </c>
      <c r="C261" s="30" t="s">
        <v>221</v>
      </c>
      <c r="D261" s="28" t="s">
        <v>33</v>
      </c>
      <c r="E261" s="29" t="s">
        <v>2021</v>
      </c>
      <c r="F261" s="30" t="s">
        <v>738</v>
      </c>
      <c r="G261" s="34" t="s">
        <v>738</v>
      </c>
      <c r="H261" s="34" t="s">
        <v>2022</v>
      </c>
      <c r="I261" s="33" t="s">
        <v>165</v>
      </c>
      <c r="J261" s="32" t="s">
        <v>871</v>
      </c>
      <c r="K261" s="32" t="s">
        <v>33</v>
      </c>
      <c r="L261" s="32" t="s">
        <v>33</v>
      </c>
    </row>
    <row r="262" spans="1:12">
      <c r="A262" s="28">
        <v>2021</v>
      </c>
      <c r="B262" s="29" t="s">
        <v>1968</v>
      </c>
      <c r="C262" s="30" t="s">
        <v>82</v>
      </c>
      <c r="D262" s="28" t="s">
        <v>33</v>
      </c>
      <c r="E262" s="29" t="s">
        <v>33</v>
      </c>
      <c r="F262" s="30" t="s">
        <v>876</v>
      </c>
      <c r="G262" s="34" t="s">
        <v>876</v>
      </c>
      <c r="H262" s="34" t="s">
        <v>33</v>
      </c>
      <c r="I262" s="33" t="s">
        <v>165</v>
      </c>
      <c r="J262" s="32" t="s">
        <v>875</v>
      </c>
      <c r="K262" s="32" t="s">
        <v>33</v>
      </c>
      <c r="L262" s="32" t="s">
        <v>33</v>
      </c>
    </row>
    <row r="263" spans="1:12">
      <c r="A263" s="28">
        <v>2021</v>
      </c>
      <c r="B263" s="29" t="s">
        <v>1933</v>
      </c>
      <c r="C263" s="30" t="s">
        <v>82</v>
      </c>
      <c r="D263" s="28" t="s">
        <v>33</v>
      </c>
      <c r="E263" s="29" t="s">
        <v>1917</v>
      </c>
      <c r="F263" s="30" t="s">
        <v>880</v>
      </c>
      <c r="G263" s="34" t="s">
        <v>880</v>
      </c>
      <c r="H263" s="34" t="s">
        <v>33</v>
      </c>
      <c r="I263" s="31" t="s">
        <v>878</v>
      </c>
      <c r="J263" s="32" t="s">
        <v>879</v>
      </c>
      <c r="K263" s="32" t="s">
        <v>33</v>
      </c>
      <c r="L263" s="32" t="s">
        <v>33</v>
      </c>
    </row>
    <row r="264" spans="1:12">
      <c r="A264" s="28">
        <v>2021</v>
      </c>
      <c r="B264" s="29" t="s">
        <v>1914</v>
      </c>
      <c r="C264" s="30" t="s">
        <v>87</v>
      </c>
      <c r="D264" s="28" t="s">
        <v>33</v>
      </c>
      <c r="E264" s="29" t="s">
        <v>1915</v>
      </c>
      <c r="F264" s="30" t="s">
        <v>1916</v>
      </c>
      <c r="G264" s="34" t="s">
        <v>881</v>
      </c>
      <c r="H264" s="34" t="s">
        <v>33</v>
      </c>
      <c r="I264" s="33" t="s">
        <v>165</v>
      </c>
      <c r="J264" s="32" t="s">
        <v>882</v>
      </c>
      <c r="K264" s="32" t="s">
        <v>33</v>
      </c>
      <c r="L264" s="32" t="s">
        <v>33</v>
      </c>
    </row>
    <row r="265" spans="1:12">
      <c r="A265" s="28">
        <v>2021</v>
      </c>
      <c r="B265" s="29" t="s">
        <v>1914</v>
      </c>
      <c r="C265" s="30" t="s">
        <v>91</v>
      </c>
      <c r="D265" s="28" t="s">
        <v>33</v>
      </c>
      <c r="E265" s="29" t="s">
        <v>33</v>
      </c>
      <c r="F265" s="30" t="s">
        <v>1919</v>
      </c>
      <c r="G265" s="34" t="s">
        <v>161</v>
      </c>
      <c r="H265" s="34" t="s">
        <v>33</v>
      </c>
      <c r="I265" s="33" t="s">
        <v>165</v>
      </c>
      <c r="J265" s="32" t="s">
        <v>33</v>
      </c>
      <c r="K265" s="32" t="s">
        <v>33</v>
      </c>
      <c r="L265" s="32" t="s">
        <v>33</v>
      </c>
    </row>
    <row r="266" spans="1:12">
      <c r="A266" s="28">
        <v>2022</v>
      </c>
      <c r="B266" s="29" t="s">
        <v>1875</v>
      </c>
      <c r="C266" s="30" t="s">
        <v>32</v>
      </c>
      <c r="D266" s="28" t="s">
        <v>33</v>
      </c>
      <c r="E266" s="29" t="s">
        <v>33</v>
      </c>
      <c r="F266" s="30" t="s">
        <v>1923</v>
      </c>
      <c r="G266" s="34" t="s">
        <v>525</v>
      </c>
      <c r="H266" s="34" t="s">
        <v>33</v>
      </c>
      <c r="I266" s="33" t="s">
        <v>165</v>
      </c>
      <c r="J266" s="32" t="s">
        <v>883</v>
      </c>
      <c r="K266" s="32" t="s">
        <v>33</v>
      </c>
      <c r="L266" s="32" t="s">
        <v>33</v>
      </c>
    </row>
    <row r="267" spans="1:12">
      <c r="A267" s="28">
        <v>2022</v>
      </c>
      <c r="B267" s="29" t="s">
        <v>1875</v>
      </c>
      <c r="C267" s="30" t="s">
        <v>32</v>
      </c>
      <c r="D267" s="28" t="s">
        <v>33</v>
      </c>
      <c r="E267" s="29" t="s">
        <v>33</v>
      </c>
      <c r="F267" s="30" t="s">
        <v>613</v>
      </c>
      <c r="G267" s="34" t="s">
        <v>613</v>
      </c>
      <c r="H267" s="34" t="s">
        <v>33</v>
      </c>
      <c r="I267" s="33" t="s">
        <v>165</v>
      </c>
      <c r="J267" s="32" t="s">
        <v>33</v>
      </c>
      <c r="K267" s="32" t="s">
        <v>33</v>
      </c>
      <c r="L267" s="32" t="s">
        <v>33</v>
      </c>
    </row>
    <row r="268" spans="1:12">
      <c r="A268" s="28">
        <v>2022</v>
      </c>
      <c r="B268" s="29" t="s">
        <v>1215</v>
      </c>
      <c r="C268" s="30" t="s">
        <v>82</v>
      </c>
      <c r="D268" s="28" t="s">
        <v>33</v>
      </c>
      <c r="E268" s="29" t="s">
        <v>33</v>
      </c>
      <c r="F268" s="30" t="s">
        <v>885</v>
      </c>
      <c r="G268" s="34" t="s">
        <v>885</v>
      </c>
      <c r="H268" s="34" t="s">
        <v>33</v>
      </c>
      <c r="I268" s="33" t="s">
        <v>165</v>
      </c>
      <c r="J268" s="32" t="s">
        <v>886</v>
      </c>
      <c r="K268" s="32" t="s">
        <v>33</v>
      </c>
      <c r="L268" s="32" t="s">
        <v>33</v>
      </c>
    </row>
    <row r="269" spans="1:12">
      <c r="A269" s="28">
        <v>2022</v>
      </c>
      <c r="B269" s="29" t="s">
        <v>1885</v>
      </c>
      <c r="C269" s="30" t="s">
        <v>32</v>
      </c>
      <c r="D269" s="28" t="s">
        <v>33</v>
      </c>
      <c r="E269" s="29" t="s">
        <v>33</v>
      </c>
      <c r="F269" s="30" t="s">
        <v>887</v>
      </c>
      <c r="G269" s="34" t="s">
        <v>887</v>
      </c>
      <c r="H269" s="34" t="s">
        <v>33</v>
      </c>
      <c r="I269" s="33" t="s">
        <v>165</v>
      </c>
      <c r="J269" s="32" t="s">
        <v>33</v>
      </c>
      <c r="K269" s="32" t="s">
        <v>33</v>
      </c>
      <c r="L269" s="32" t="s">
        <v>33</v>
      </c>
    </row>
    <row r="270" spans="1:12">
      <c r="A270" s="28">
        <v>2022</v>
      </c>
      <c r="B270" s="29" t="s">
        <v>1894</v>
      </c>
      <c r="C270" s="30" t="s">
        <v>91</v>
      </c>
      <c r="D270" s="28" t="s">
        <v>33</v>
      </c>
      <c r="E270" s="29" t="s">
        <v>33</v>
      </c>
      <c r="F270" s="30" t="s">
        <v>1895</v>
      </c>
      <c r="G270" s="34" t="s">
        <v>466</v>
      </c>
      <c r="H270" s="34" t="s">
        <v>33</v>
      </c>
      <c r="I270" s="33" t="s">
        <v>165</v>
      </c>
      <c r="J270" s="32" t="s">
        <v>33</v>
      </c>
      <c r="K270" s="32" t="s">
        <v>33</v>
      </c>
      <c r="L270" s="32" t="s">
        <v>33</v>
      </c>
    </row>
    <row r="271" spans="1:12">
      <c r="A271" s="28">
        <v>2022</v>
      </c>
      <c r="B271" s="29" t="s">
        <v>1933</v>
      </c>
      <c r="C271" s="30" t="s">
        <v>221</v>
      </c>
      <c r="D271" s="28" t="s">
        <v>33</v>
      </c>
      <c r="E271" s="29" t="s">
        <v>1999</v>
      </c>
      <c r="F271" s="30" t="s">
        <v>2000</v>
      </c>
      <c r="G271" s="34" t="s">
        <v>888</v>
      </c>
      <c r="H271" s="34" t="s">
        <v>33</v>
      </c>
      <c r="I271" s="33" t="s">
        <v>165</v>
      </c>
      <c r="J271" s="32" t="s">
        <v>33</v>
      </c>
      <c r="K271" s="32" t="s">
        <v>33</v>
      </c>
      <c r="L271" s="32" t="s">
        <v>33</v>
      </c>
    </row>
    <row r="272" spans="1:12">
      <c r="A272" s="28">
        <v>2022</v>
      </c>
      <c r="B272" s="29" t="s">
        <v>1546</v>
      </c>
      <c r="C272" s="30" t="s">
        <v>100</v>
      </c>
      <c r="D272" s="28" t="s">
        <v>33</v>
      </c>
      <c r="E272" s="29" t="s">
        <v>33</v>
      </c>
      <c r="F272" s="30" t="s">
        <v>110</v>
      </c>
      <c r="G272" s="34" t="s">
        <v>110</v>
      </c>
      <c r="H272" s="34" t="s">
        <v>33</v>
      </c>
      <c r="I272" s="31" t="s">
        <v>33</v>
      </c>
      <c r="J272" s="32" t="s">
        <v>33</v>
      </c>
      <c r="K272" s="32" t="s">
        <v>33</v>
      </c>
      <c r="L272" s="32" t="s">
        <v>33</v>
      </c>
    </row>
    <row r="273" spans="1:12">
      <c r="A273" s="28">
        <v>2022</v>
      </c>
      <c r="B273" s="29" t="s">
        <v>1546</v>
      </c>
      <c r="C273" s="30" t="s">
        <v>100</v>
      </c>
      <c r="D273" s="28" t="s">
        <v>33</v>
      </c>
      <c r="E273" s="29" t="s">
        <v>33</v>
      </c>
      <c r="F273" s="30" t="s">
        <v>354</v>
      </c>
      <c r="G273" s="34" t="s">
        <v>354</v>
      </c>
      <c r="H273" s="34" t="s">
        <v>33</v>
      </c>
      <c r="I273" s="31" t="s">
        <v>33</v>
      </c>
      <c r="J273" s="32" t="s">
        <v>33</v>
      </c>
      <c r="K273" s="32" t="s">
        <v>33</v>
      </c>
      <c r="L273" s="32" t="s">
        <v>33</v>
      </c>
    </row>
    <row r="274" spans="1:12">
      <c r="A274" s="28">
        <v>2022</v>
      </c>
      <c r="B274" s="29" t="s">
        <v>1546</v>
      </c>
      <c r="C274" s="30" t="s">
        <v>33</v>
      </c>
      <c r="D274" s="28" t="s">
        <v>451</v>
      </c>
      <c r="E274" s="29" t="s">
        <v>1902</v>
      </c>
      <c r="F274" s="30" t="s">
        <v>33</v>
      </c>
      <c r="G274" s="34" t="s">
        <v>33</v>
      </c>
      <c r="H274" s="34" t="s">
        <v>33</v>
      </c>
      <c r="I274" s="31" t="s">
        <v>889</v>
      </c>
      <c r="J274" s="32" t="s">
        <v>890</v>
      </c>
      <c r="K274" s="32" t="s">
        <v>33</v>
      </c>
      <c r="L274" s="32" t="s">
        <v>33</v>
      </c>
    </row>
    <row r="275" spans="1:12">
      <c r="A275" s="28">
        <v>2022</v>
      </c>
      <c r="B275" s="29" t="s">
        <v>1903</v>
      </c>
      <c r="C275" s="30" t="s">
        <v>82</v>
      </c>
      <c r="D275" s="28" t="s">
        <v>33</v>
      </c>
      <c r="E275" s="29" t="s">
        <v>33</v>
      </c>
      <c r="F275" s="30" t="s">
        <v>619</v>
      </c>
      <c r="G275" s="34" t="s">
        <v>619</v>
      </c>
      <c r="H275" s="34" t="s">
        <v>33</v>
      </c>
      <c r="I275" s="31" t="s">
        <v>33</v>
      </c>
      <c r="J275" s="32" t="s">
        <v>33</v>
      </c>
      <c r="K275" s="32" t="s">
        <v>33</v>
      </c>
      <c r="L275" s="32" t="s">
        <v>33</v>
      </c>
    </row>
    <row r="276" spans="1:12">
      <c r="A276" s="28">
        <v>2022</v>
      </c>
      <c r="B276" s="29" t="s">
        <v>1906</v>
      </c>
      <c r="C276" s="30" t="s">
        <v>100</v>
      </c>
      <c r="D276" s="28" t="s">
        <v>33</v>
      </c>
      <c r="E276" s="29" t="s">
        <v>33</v>
      </c>
      <c r="F276" s="30" t="s">
        <v>1967</v>
      </c>
      <c r="G276" s="34" t="s">
        <v>891</v>
      </c>
      <c r="H276" s="34" t="s">
        <v>33</v>
      </c>
      <c r="I276" s="33" t="s">
        <v>165</v>
      </c>
      <c r="J276" s="32" t="s">
        <v>892</v>
      </c>
      <c r="K276" s="32" t="s">
        <v>33</v>
      </c>
      <c r="L276" s="32" t="s">
        <v>33</v>
      </c>
    </row>
    <row r="277" spans="1:12">
      <c r="A277" s="28">
        <v>2022</v>
      </c>
      <c r="B277" s="29" t="s">
        <v>1906</v>
      </c>
      <c r="C277" s="30" t="s">
        <v>82</v>
      </c>
      <c r="D277" s="28" t="s">
        <v>33</v>
      </c>
      <c r="E277" s="29" t="s">
        <v>33</v>
      </c>
      <c r="F277" s="30" t="s">
        <v>2008</v>
      </c>
      <c r="G277" s="34" t="s">
        <v>894</v>
      </c>
      <c r="H277" s="34" t="s">
        <v>33</v>
      </c>
      <c r="I277" s="31" t="s">
        <v>895</v>
      </c>
      <c r="J277" s="32" t="s">
        <v>896</v>
      </c>
      <c r="K277" s="32" t="s">
        <v>33</v>
      </c>
      <c r="L277" s="32" t="s">
        <v>33</v>
      </c>
    </row>
    <row r="278" spans="1:12">
      <c r="A278" s="28">
        <v>2022</v>
      </c>
      <c r="B278" s="29" t="s">
        <v>1914</v>
      </c>
      <c r="C278" s="30" t="s">
        <v>87</v>
      </c>
      <c r="D278" s="28" t="s">
        <v>33</v>
      </c>
      <c r="E278" s="29" t="s">
        <v>413</v>
      </c>
      <c r="F278" s="30" t="s">
        <v>414</v>
      </c>
      <c r="G278" s="34" t="s">
        <v>828</v>
      </c>
      <c r="H278" s="34" t="s">
        <v>33</v>
      </c>
      <c r="I278" s="33" t="s">
        <v>165</v>
      </c>
      <c r="J278" s="32" t="s">
        <v>33</v>
      </c>
      <c r="K278" s="32" t="s">
        <v>33</v>
      </c>
      <c r="L278" s="32" t="s">
        <v>33</v>
      </c>
    </row>
    <row r="279" spans="1:12">
      <c r="A279" s="28">
        <v>2023</v>
      </c>
      <c r="B279" s="29" t="s">
        <v>1875</v>
      </c>
      <c r="C279" s="30" t="s">
        <v>32</v>
      </c>
      <c r="D279" s="28" t="s">
        <v>451</v>
      </c>
      <c r="E279" s="29" t="s">
        <v>1455</v>
      </c>
      <c r="F279" s="30" t="s">
        <v>1923</v>
      </c>
      <c r="G279" s="34" t="s">
        <v>901</v>
      </c>
      <c r="H279" s="34" t="s">
        <v>33</v>
      </c>
      <c r="I279" s="31" t="s">
        <v>899</v>
      </c>
      <c r="J279" s="32" t="s">
        <v>900</v>
      </c>
      <c r="K279" s="32" t="s">
        <v>33</v>
      </c>
      <c r="L279" s="32" t="s">
        <v>33</v>
      </c>
    </row>
    <row r="280" spans="1:12">
      <c r="A280" s="28">
        <v>2023</v>
      </c>
      <c r="B280" s="29" t="s">
        <v>1875</v>
      </c>
      <c r="C280" s="30" t="s">
        <v>32</v>
      </c>
      <c r="D280" s="28" t="s">
        <v>33</v>
      </c>
      <c r="E280" s="29" t="s">
        <v>289</v>
      </c>
      <c r="F280" s="30" t="s">
        <v>1922</v>
      </c>
      <c r="G280" s="34" t="s">
        <v>903</v>
      </c>
      <c r="H280" s="34" t="s">
        <v>33</v>
      </c>
      <c r="I280" s="31" t="s">
        <v>33</v>
      </c>
      <c r="J280" s="32" t="s">
        <v>33</v>
      </c>
      <c r="K280" s="32" t="s">
        <v>33</v>
      </c>
      <c r="L280" s="32" t="s">
        <v>33</v>
      </c>
    </row>
    <row r="281" spans="1:12">
      <c r="A281" s="28">
        <v>2023</v>
      </c>
      <c r="B281" s="29" t="s">
        <v>1875</v>
      </c>
      <c r="C281" s="30" t="s">
        <v>32</v>
      </c>
      <c r="D281" s="28" t="s">
        <v>33</v>
      </c>
      <c r="E281" s="29" t="s">
        <v>148</v>
      </c>
      <c r="F281" s="30" t="s">
        <v>1879</v>
      </c>
      <c r="G281" s="34" t="s">
        <v>904</v>
      </c>
      <c r="H281" s="34" t="s">
        <v>33</v>
      </c>
      <c r="I281" s="31" t="s">
        <v>905</v>
      </c>
      <c r="J281" s="32" t="s">
        <v>33</v>
      </c>
      <c r="K281" s="32" t="s">
        <v>33</v>
      </c>
      <c r="L281" s="32" t="s">
        <v>33</v>
      </c>
    </row>
    <row r="282" spans="1:12">
      <c r="A282" s="28">
        <v>2023</v>
      </c>
      <c r="B282" s="29" t="s">
        <v>2037</v>
      </c>
      <c r="C282" s="30" t="s">
        <v>82</v>
      </c>
      <c r="D282" s="28" t="s">
        <v>33</v>
      </c>
      <c r="E282" s="29" t="s">
        <v>1892</v>
      </c>
      <c r="F282" s="30" t="s">
        <v>2038</v>
      </c>
      <c r="G282" s="34" t="s">
        <v>906</v>
      </c>
      <c r="H282" s="34" t="s">
        <v>33</v>
      </c>
      <c r="I282" s="31" t="s">
        <v>907</v>
      </c>
      <c r="J282" s="32" t="s">
        <v>33</v>
      </c>
      <c r="K282" s="32" t="s">
        <v>33</v>
      </c>
      <c r="L282" s="32" t="s">
        <v>33</v>
      </c>
    </row>
    <row r="283" spans="1:12">
      <c r="A283" s="28">
        <v>2023</v>
      </c>
      <c r="B283" s="29" t="s">
        <v>2037</v>
      </c>
      <c r="C283" s="30" t="s">
        <v>82</v>
      </c>
      <c r="D283" s="28" t="s">
        <v>33</v>
      </c>
      <c r="E283" s="29" t="s">
        <v>1994</v>
      </c>
      <c r="F283" s="30" t="s">
        <v>908</v>
      </c>
      <c r="G283" s="34" t="s">
        <v>908</v>
      </c>
      <c r="H283" s="34" t="s">
        <v>33</v>
      </c>
      <c r="I283" s="31" t="s">
        <v>33</v>
      </c>
      <c r="J283" s="32" t="s">
        <v>33</v>
      </c>
      <c r="K283" s="32" t="s">
        <v>33</v>
      </c>
      <c r="L283" s="32" t="s">
        <v>33</v>
      </c>
    </row>
    <row r="284" spans="1:12">
      <c r="A284" s="28">
        <v>2023</v>
      </c>
      <c r="B284" s="29" t="s">
        <v>1215</v>
      </c>
      <c r="C284" s="30" t="s">
        <v>51</v>
      </c>
      <c r="D284" s="28" t="s">
        <v>33</v>
      </c>
      <c r="E284" s="29" t="s">
        <v>432</v>
      </c>
      <c r="F284" s="30" t="s">
        <v>432</v>
      </c>
      <c r="G284" s="34" t="s">
        <v>909</v>
      </c>
      <c r="H284" s="34" t="s">
        <v>33</v>
      </c>
      <c r="I284" s="31" t="s">
        <v>910</v>
      </c>
      <c r="J284" s="32" t="s">
        <v>33</v>
      </c>
      <c r="K284" s="32" t="s">
        <v>33</v>
      </c>
      <c r="L284" s="32" t="s">
        <v>33</v>
      </c>
    </row>
    <row r="285" spans="1:12">
      <c r="A285" s="28">
        <v>2023</v>
      </c>
      <c r="B285" s="29" t="s">
        <v>1215</v>
      </c>
      <c r="C285" s="30" t="s">
        <v>91</v>
      </c>
      <c r="D285" s="28" t="s">
        <v>33</v>
      </c>
      <c r="E285" s="29" t="s">
        <v>1881</v>
      </c>
      <c r="F285" s="30" t="s">
        <v>1895</v>
      </c>
      <c r="G285" s="34" t="s">
        <v>911</v>
      </c>
      <c r="H285" s="34" t="s">
        <v>33</v>
      </c>
      <c r="I285" s="31" t="s">
        <v>912</v>
      </c>
      <c r="J285" s="32" t="s">
        <v>33</v>
      </c>
      <c r="K285" s="32" t="s">
        <v>33</v>
      </c>
      <c r="L285" s="32" t="s">
        <v>33</v>
      </c>
    </row>
    <row r="286" spans="1:12">
      <c r="A286" s="28">
        <v>2023</v>
      </c>
      <c r="B286" s="29" t="s">
        <v>1297</v>
      </c>
      <c r="C286" s="30" t="s">
        <v>82</v>
      </c>
      <c r="D286" s="28" t="s">
        <v>33</v>
      </c>
      <c r="E286" s="29" t="s">
        <v>1920</v>
      </c>
      <c r="F286" s="30" t="s">
        <v>913</v>
      </c>
      <c r="G286" s="34" t="s">
        <v>913</v>
      </c>
      <c r="H286" s="34" t="s">
        <v>33</v>
      </c>
      <c r="I286" s="31" t="s">
        <v>914</v>
      </c>
      <c r="J286" s="32" t="s">
        <v>33</v>
      </c>
      <c r="K286" s="32" t="s">
        <v>33</v>
      </c>
      <c r="L286" s="32" t="s">
        <v>33</v>
      </c>
    </row>
    <row r="287" spans="1:12">
      <c r="A287" s="28">
        <v>2023</v>
      </c>
      <c r="B287" s="29" t="s">
        <v>1885</v>
      </c>
      <c r="C287" s="30" t="s">
        <v>68</v>
      </c>
      <c r="D287" s="28" t="s">
        <v>33</v>
      </c>
      <c r="E287" s="29" t="s">
        <v>1892</v>
      </c>
      <c r="F287" s="30" t="s">
        <v>915</v>
      </c>
      <c r="G287" s="34" t="s">
        <v>915</v>
      </c>
      <c r="H287" s="34" t="s">
        <v>33</v>
      </c>
      <c r="I287" s="31" t="s">
        <v>916</v>
      </c>
      <c r="J287" s="32" t="s">
        <v>33</v>
      </c>
      <c r="K287" s="32" t="s">
        <v>33</v>
      </c>
      <c r="L287" s="32" t="s">
        <v>33</v>
      </c>
    </row>
    <row r="288" spans="1:12">
      <c r="A288" s="28">
        <v>2023</v>
      </c>
      <c r="B288" s="29" t="s">
        <v>1885</v>
      </c>
      <c r="C288" s="30" t="s">
        <v>68</v>
      </c>
      <c r="D288" s="28" t="s">
        <v>451</v>
      </c>
      <c r="E288" s="29" t="s">
        <v>834</v>
      </c>
      <c r="F288" s="30" t="s">
        <v>446</v>
      </c>
      <c r="G288" s="34" t="s">
        <v>446</v>
      </c>
      <c r="H288" s="34" t="s">
        <v>33</v>
      </c>
      <c r="I288" s="31" t="s">
        <v>917</v>
      </c>
      <c r="J288" s="32" t="s">
        <v>918</v>
      </c>
      <c r="K288" s="32" t="s">
        <v>33</v>
      </c>
      <c r="L288" s="32" t="s">
        <v>33</v>
      </c>
    </row>
    <row r="289" spans="1:12">
      <c r="A289" s="28">
        <v>2023</v>
      </c>
      <c r="B289" s="29" t="s">
        <v>1885</v>
      </c>
      <c r="C289" s="30" t="s">
        <v>91</v>
      </c>
      <c r="D289" s="28" t="s">
        <v>33</v>
      </c>
      <c r="E289" s="29" t="s">
        <v>33</v>
      </c>
      <c r="F289" s="30" t="s">
        <v>1956</v>
      </c>
      <c r="G289" s="34" t="s">
        <v>919</v>
      </c>
      <c r="H289" s="34" t="s">
        <v>33</v>
      </c>
      <c r="I289" s="31" t="s">
        <v>920</v>
      </c>
      <c r="J289" s="32" t="s">
        <v>33</v>
      </c>
      <c r="K289" s="32" t="s">
        <v>33</v>
      </c>
      <c r="L289" s="32" t="s">
        <v>33</v>
      </c>
    </row>
    <row r="290" spans="1:12">
      <c r="A290" s="28">
        <v>2023</v>
      </c>
      <c r="B290" s="29" t="s">
        <v>1894</v>
      </c>
      <c r="C290" s="30" t="s">
        <v>87</v>
      </c>
      <c r="D290" s="28" t="s">
        <v>33</v>
      </c>
      <c r="E290" s="29" t="s">
        <v>33</v>
      </c>
      <c r="F290" s="30" t="s">
        <v>1930</v>
      </c>
      <c r="G290" s="34" t="s">
        <v>921</v>
      </c>
      <c r="H290" s="34" t="s">
        <v>33</v>
      </c>
      <c r="I290" s="33" t="s">
        <v>165</v>
      </c>
      <c r="J290" s="32" t="s">
        <v>33</v>
      </c>
      <c r="K290" s="32" t="s">
        <v>33</v>
      </c>
      <c r="L290" s="32" t="s">
        <v>33</v>
      </c>
    </row>
    <row r="291" spans="1:12">
      <c r="A291" s="28">
        <v>2023</v>
      </c>
      <c r="B291" s="29" t="s">
        <v>1933</v>
      </c>
      <c r="C291" s="30" t="s">
        <v>82</v>
      </c>
      <c r="D291" s="28" t="s">
        <v>33</v>
      </c>
      <c r="E291" s="29" t="s">
        <v>2030</v>
      </c>
      <c r="F291" s="30" t="s">
        <v>785</v>
      </c>
      <c r="G291" s="34" t="s">
        <v>785</v>
      </c>
      <c r="H291" s="34" t="s">
        <v>33</v>
      </c>
      <c r="I291" s="31" t="s">
        <v>922</v>
      </c>
      <c r="J291" s="32" t="s">
        <v>33</v>
      </c>
      <c r="K291" s="32" t="s">
        <v>33</v>
      </c>
      <c r="L291" s="32" t="s">
        <v>33</v>
      </c>
    </row>
    <row r="292" spans="1:12">
      <c r="A292" s="28">
        <v>2023</v>
      </c>
      <c r="B292" s="29" t="s">
        <v>1933</v>
      </c>
      <c r="C292" s="30" t="s">
        <v>221</v>
      </c>
      <c r="D292" s="28" t="s">
        <v>33</v>
      </c>
      <c r="E292" s="29" t="s">
        <v>1937</v>
      </c>
      <c r="F292" s="30" t="s">
        <v>1934</v>
      </c>
      <c r="G292" s="34" t="s">
        <v>927</v>
      </c>
      <c r="H292" s="34" t="s">
        <v>33</v>
      </c>
      <c r="I292" s="31" t="s">
        <v>2039</v>
      </c>
      <c r="J292" s="32" t="s">
        <v>926</v>
      </c>
      <c r="K292" s="32" t="s">
        <v>33</v>
      </c>
      <c r="L292" s="32" t="s">
        <v>33</v>
      </c>
    </row>
    <row r="293" spans="1:12">
      <c r="A293" s="28">
        <v>2023</v>
      </c>
      <c r="B293" s="29" t="s">
        <v>1933</v>
      </c>
      <c r="C293" s="30" t="s">
        <v>82</v>
      </c>
      <c r="D293" s="28" t="s">
        <v>33</v>
      </c>
      <c r="E293" s="29" t="s">
        <v>2030</v>
      </c>
      <c r="F293" s="30" t="s">
        <v>928</v>
      </c>
      <c r="G293" s="34" t="s">
        <v>928</v>
      </c>
      <c r="H293" s="34" t="s">
        <v>33</v>
      </c>
      <c r="I293" s="31" t="s">
        <v>929</v>
      </c>
      <c r="J293" s="32" t="s">
        <v>33</v>
      </c>
      <c r="K293" s="32" t="s">
        <v>33</v>
      </c>
      <c r="L293" s="32" t="s">
        <v>33</v>
      </c>
    </row>
    <row r="294" spans="1:12">
      <c r="A294" s="28">
        <v>2023</v>
      </c>
      <c r="B294" s="29" t="s">
        <v>1546</v>
      </c>
      <c r="C294" s="30" t="s">
        <v>100</v>
      </c>
      <c r="D294" s="28" t="s">
        <v>33</v>
      </c>
      <c r="E294" s="29" t="s">
        <v>33</v>
      </c>
      <c r="F294" s="30" t="s">
        <v>105</v>
      </c>
      <c r="G294" s="34" t="s">
        <v>105</v>
      </c>
      <c r="H294" s="34" t="s">
        <v>33</v>
      </c>
      <c r="I294" s="31" t="s">
        <v>930</v>
      </c>
      <c r="J294" s="32" t="s">
        <v>33</v>
      </c>
      <c r="K294" s="32" t="s">
        <v>33</v>
      </c>
      <c r="L294" s="32" t="s">
        <v>33</v>
      </c>
    </row>
    <row r="295" spans="1:12">
      <c r="A295" s="28">
        <v>2023</v>
      </c>
      <c r="B295" s="29" t="s">
        <v>1546</v>
      </c>
      <c r="C295" s="30" t="s">
        <v>221</v>
      </c>
      <c r="D295" s="28" t="s">
        <v>33</v>
      </c>
      <c r="E295" s="29" t="s">
        <v>1917</v>
      </c>
      <c r="F295" s="30" t="s">
        <v>1934</v>
      </c>
      <c r="G295" s="34" t="s">
        <v>931</v>
      </c>
      <c r="H295" s="34" t="s">
        <v>33</v>
      </c>
      <c r="I295" s="31" t="s">
        <v>932</v>
      </c>
      <c r="J295" s="32" t="s">
        <v>33</v>
      </c>
      <c r="K295" s="32" t="s">
        <v>33</v>
      </c>
      <c r="L295" s="32" t="s">
        <v>33</v>
      </c>
    </row>
    <row r="296" spans="1:12">
      <c r="A296" s="28">
        <v>2023</v>
      </c>
      <c r="B296" s="29" t="s">
        <v>1546</v>
      </c>
      <c r="C296" s="30" t="s">
        <v>100</v>
      </c>
      <c r="D296" s="28" t="s">
        <v>33</v>
      </c>
      <c r="E296" s="29" t="s">
        <v>2040</v>
      </c>
      <c r="F296" s="30" t="s">
        <v>934</v>
      </c>
      <c r="G296" s="34" t="s">
        <v>938</v>
      </c>
      <c r="H296" s="34" t="s">
        <v>33</v>
      </c>
      <c r="I296" s="31" t="s">
        <v>936</v>
      </c>
      <c r="J296" s="32" t="s">
        <v>937</v>
      </c>
      <c r="K296" s="32" t="s">
        <v>33</v>
      </c>
      <c r="L296" s="32" t="s">
        <v>33</v>
      </c>
    </row>
    <row r="297" spans="1:12">
      <c r="A297" s="28">
        <v>2023</v>
      </c>
      <c r="B297" s="29" t="s">
        <v>1903</v>
      </c>
      <c r="C297" s="30" t="s">
        <v>115</v>
      </c>
      <c r="D297" s="28" t="s">
        <v>33</v>
      </c>
      <c r="E297" s="29" t="s">
        <v>33</v>
      </c>
      <c r="F297" s="30" t="s">
        <v>1940</v>
      </c>
      <c r="G297" s="34" t="s">
        <v>356</v>
      </c>
      <c r="H297" s="34" t="s">
        <v>33</v>
      </c>
      <c r="I297" s="31" t="s">
        <v>33</v>
      </c>
      <c r="J297" s="32" t="s">
        <v>33</v>
      </c>
      <c r="K297" s="32" t="s">
        <v>33</v>
      </c>
      <c r="L297" s="32" t="s">
        <v>33</v>
      </c>
    </row>
    <row r="298" spans="1:12">
      <c r="A298" s="28">
        <v>2023</v>
      </c>
      <c r="B298" s="29" t="s">
        <v>1564</v>
      </c>
      <c r="C298" s="30" t="s">
        <v>82</v>
      </c>
      <c r="D298" s="28" t="s">
        <v>33</v>
      </c>
      <c r="E298" s="29" t="s">
        <v>2041</v>
      </c>
      <c r="F298" s="30" t="s">
        <v>939</v>
      </c>
      <c r="G298" s="34" t="s">
        <v>939</v>
      </c>
      <c r="H298" s="34" t="s">
        <v>33</v>
      </c>
      <c r="I298" s="31" t="s">
        <v>940</v>
      </c>
      <c r="J298" s="32" t="s">
        <v>33</v>
      </c>
      <c r="K298" s="32" t="s">
        <v>33</v>
      </c>
      <c r="L298" s="32" t="s">
        <v>33</v>
      </c>
    </row>
    <row r="299" spans="1:12">
      <c r="A299" s="28">
        <v>2023</v>
      </c>
      <c r="B299" s="29" t="s">
        <v>1564</v>
      </c>
      <c r="C299" s="30" t="s">
        <v>91</v>
      </c>
      <c r="D299" s="28" t="s">
        <v>33</v>
      </c>
      <c r="E299" s="29" t="s">
        <v>2041</v>
      </c>
      <c r="F299" s="30" t="s">
        <v>1905</v>
      </c>
      <c r="G299" s="34" t="s">
        <v>941</v>
      </c>
      <c r="H299" s="34" t="s">
        <v>33</v>
      </c>
      <c r="I299" s="31" t="s">
        <v>942</v>
      </c>
      <c r="J299" s="32" t="s">
        <v>33</v>
      </c>
      <c r="K299" s="32" t="s">
        <v>33</v>
      </c>
      <c r="L299" s="32" t="s">
        <v>33</v>
      </c>
    </row>
    <row r="300" spans="1:12">
      <c r="A300" s="28">
        <v>2023</v>
      </c>
      <c r="B300" s="29" t="s">
        <v>1906</v>
      </c>
      <c r="C300" s="30" t="s">
        <v>60</v>
      </c>
      <c r="D300" s="28" t="s">
        <v>33</v>
      </c>
      <c r="E300" s="29" t="s">
        <v>1890</v>
      </c>
      <c r="F300" s="30" t="s">
        <v>2007</v>
      </c>
      <c r="G300" s="34" t="s">
        <v>807</v>
      </c>
      <c r="H300" s="34" t="s">
        <v>33</v>
      </c>
      <c r="I300" s="31" t="s">
        <v>943</v>
      </c>
      <c r="J300" s="32" t="s">
        <v>944</v>
      </c>
      <c r="K300" s="32" t="s">
        <v>33</v>
      </c>
      <c r="L300" s="32" t="s">
        <v>33</v>
      </c>
    </row>
    <row r="301" spans="1:12">
      <c r="A301" s="28">
        <v>2023</v>
      </c>
      <c r="B301" s="29" t="s">
        <v>1906</v>
      </c>
      <c r="C301" s="30" t="s">
        <v>133</v>
      </c>
      <c r="D301" s="28" t="s">
        <v>33</v>
      </c>
      <c r="E301" s="29" t="s">
        <v>945</v>
      </c>
      <c r="F301" s="30" t="s">
        <v>505</v>
      </c>
      <c r="G301" s="34" t="s">
        <v>505</v>
      </c>
      <c r="H301" s="34" t="s">
        <v>33</v>
      </c>
      <c r="I301" s="31" t="s">
        <v>945</v>
      </c>
      <c r="J301" s="32" t="s">
        <v>33</v>
      </c>
      <c r="K301" s="32" t="s">
        <v>33</v>
      </c>
      <c r="L301" s="32" t="s">
        <v>33</v>
      </c>
    </row>
    <row r="302" spans="1:12">
      <c r="A302" s="28">
        <v>2023</v>
      </c>
      <c r="B302" s="29" t="s">
        <v>1878</v>
      </c>
      <c r="C302" s="30" t="s">
        <v>141</v>
      </c>
      <c r="D302" s="28" t="s">
        <v>33</v>
      </c>
      <c r="E302" s="29" t="s">
        <v>639</v>
      </c>
      <c r="F302" s="30" t="s">
        <v>1950</v>
      </c>
      <c r="G302" s="34" t="s">
        <v>946</v>
      </c>
      <c r="H302" s="34" t="s">
        <v>33</v>
      </c>
      <c r="I302" s="31" t="s">
        <v>947</v>
      </c>
      <c r="J302" s="32" t="s">
        <v>33</v>
      </c>
      <c r="K302" s="32" t="s">
        <v>33</v>
      </c>
      <c r="L302" s="32" t="s">
        <v>33</v>
      </c>
    </row>
    <row r="303" spans="1:12">
      <c r="A303" s="28">
        <v>2023</v>
      </c>
      <c r="B303" s="29" t="s">
        <v>1878</v>
      </c>
      <c r="C303" s="30" t="s">
        <v>141</v>
      </c>
      <c r="D303" s="28" t="s">
        <v>33</v>
      </c>
      <c r="E303" s="29" t="s">
        <v>392</v>
      </c>
      <c r="F303" s="30" t="s">
        <v>948</v>
      </c>
      <c r="G303" s="34" t="s">
        <v>948</v>
      </c>
      <c r="H303" s="34" t="s">
        <v>33</v>
      </c>
      <c r="I303" s="31" t="s">
        <v>949</v>
      </c>
      <c r="J303" s="32" t="s">
        <v>33</v>
      </c>
      <c r="K303" s="32" t="s">
        <v>33</v>
      </c>
      <c r="L303" s="32" t="s">
        <v>33</v>
      </c>
    </row>
    <row r="304" spans="1:12">
      <c r="A304" s="28">
        <v>2023</v>
      </c>
      <c r="B304" s="29" t="s">
        <v>1878</v>
      </c>
      <c r="C304" s="30" t="s">
        <v>100</v>
      </c>
      <c r="D304" s="28" t="s">
        <v>33</v>
      </c>
      <c r="E304" s="29" t="s">
        <v>392</v>
      </c>
      <c r="F304" s="30" t="s">
        <v>1967</v>
      </c>
      <c r="G304" s="34" t="s">
        <v>392</v>
      </c>
      <c r="H304" s="34" t="s">
        <v>33</v>
      </c>
      <c r="I304" s="31" t="s">
        <v>950</v>
      </c>
      <c r="J304" s="32" t="s">
        <v>951</v>
      </c>
      <c r="K304" s="32" t="s">
        <v>33</v>
      </c>
      <c r="L304" s="32" t="s">
        <v>33</v>
      </c>
    </row>
    <row r="305" spans="1:12">
      <c r="A305" s="28">
        <v>2023</v>
      </c>
      <c r="B305" s="29" t="s">
        <v>1878</v>
      </c>
      <c r="C305" s="30" t="s">
        <v>100</v>
      </c>
      <c r="D305" s="28" t="s">
        <v>33</v>
      </c>
      <c r="E305" s="29" t="s">
        <v>952</v>
      </c>
      <c r="F305" s="30" t="s">
        <v>1953</v>
      </c>
      <c r="G305" s="34" t="s">
        <v>952</v>
      </c>
      <c r="H305" s="34" t="s">
        <v>33</v>
      </c>
      <c r="I305" s="31" t="s">
        <v>953</v>
      </c>
      <c r="J305" s="32" t="s">
        <v>954</v>
      </c>
      <c r="K305" s="32" t="s">
        <v>33</v>
      </c>
      <c r="L305" s="32" t="s">
        <v>33</v>
      </c>
    </row>
    <row r="306" spans="1:12">
      <c r="A306" s="28">
        <v>2023</v>
      </c>
      <c r="B306" s="29" t="s">
        <v>1878</v>
      </c>
      <c r="C306" s="30" t="s">
        <v>141</v>
      </c>
      <c r="D306" s="28" t="s">
        <v>33</v>
      </c>
      <c r="E306" s="29" t="s">
        <v>33</v>
      </c>
      <c r="F306" s="30" t="s">
        <v>643</v>
      </c>
      <c r="G306" s="34" t="s">
        <v>643</v>
      </c>
      <c r="H306" s="34" t="s">
        <v>33</v>
      </c>
      <c r="I306" s="31" t="s">
        <v>955</v>
      </c>
      <c r="J306" s="32" t="s">
        <v>956</v>
      </c>
      <c r="K306" s="32" t="s">
        <v>33</v>
      </c>
      <c r="L306" s="32" t="s">
        <v>33</v>
      </c>
    </row>
    <row r="307" spans="1:12">
      <c r="A307" s="28">
        <v>2023</v>
      </c>
      <c r="B307" s="29" t="s">
        <v>1968</v>
      </c>
      <c r="C307" s="30" t="s">
        <v>221</v>
      </c>
      <c r="D307" s="28" t="s">
        <v>33</v>
      </c>
      <c r="E307" s="29" t="s">
        <v>33</v>
      </c>
      <c r="F307" s="30" t="s">
        <v>957</v>
      </c>
      <c r="G307" s="34" t="s">
        <v>957</v>
      </c>
      <c r="H307" s="34" t="s">
        <v>33</v>
      </c>
      <c r="I307" s="31" t="s">
        <v>33</v>
      </c>
      <c r="J307" s="32" t="s">
        <v>33</v>
      </c>
      <c r="K307" s="32" t="s">
        <v>33</v>
      </c>
      <c r="L307" s="32" t="s">
        <v>33</v>
      </c>
    </row>
    <row r="308" spans="1:12">
      <c r="A308" s="28">
        <v>2023</v>
      </c>
      <c r="B308" s="29" t="s">
        <v>1970</v>
      </c>
      <c r="C308" s="30" t="s">
        <v>91</v>
      </c>
      <c r="D308" s="28" t="s">
        <v>352</v>
      </c>
      <c r="E308" s="29" t="s">
        <v>1881</v>
      </c>
      <c r="F308" s="30" t="s">
        <v>2012</v>
      </c>
      <c r="G308" s="34" t="s">
        <v>729</v>
      </c>
      <c r="H308" s="34" t="s">
        <v>33</v>
      </c>
      <c r="I308" s="31" t="s">
        <v>958</v>
      </c>
      <c r="J308" s="32" t="s">
        <v>33</v>
      </c>
      <c r="K308" s="32" t="s">
        <v>33</v>
      </c>
      <c r="L308" s="32" t="s">
        <v>33</v>
      </c>
    </row>
    <row r="309" spans="1:12">
      <c r="A309" s="28">
        <v>2023</v>
      </c>
      <c r="B309" s="29" t="s">
        <v>1970</v>
      </c>
      <c r="C309" s="30" t="s">
        <v>91</v>
      </c>
      <c r="D309" s="28" t="s">
        <v>33</v>
      </c>
      <c r="E309" s="29" t="s">
        <v>1937</v>
      </c>
      <c r="F309" s="30" t="s">
        <v>2012</v>
      </c>
      <c r="G309" s="34" t="s">
        <v>959</v>
      </c>
      <c r="H309" s="34" t="s">
        <v>33</v>
      </c>
      <c r="I309" s="31" t="s">
        <v>960</v>
      </c>
      <c r="J309" s="32" t="s">
        <v>33</v>
      </c>
      <c r="K309" s="32" t="s">
        <v>33</v>
      </c>
      <c r="L309" s="32" t="s">
        <v>33</v>
      </c>
    </row>
    <row r="310" spans="1:12">
      <c r="A310" s="28">
        <v>2023</v>
      </c>
      <c r="B310" s="29" t="s">
        <v>1914</v>
      </c>
      <c r="C310" s="30" t="s">
        <v>82</v>
      </c>
      <c r="D310" s="28" t="s">
        <v>33</v>
      </c>
      <c r="E310" s="29" t="s">
        <v>33</v>
      </c>
      <c r="F310" s="30" t="s">
        <v>300</v>
      </c>
      <c r="G310" s="34" t="s">
        <v>300</v>
      </c>
      <c r="H310" s="34" t="s">
        <v>961</v>
      </c>
      <c r="I310" s="31" t="s">
        <v>962</v>
      </c>
      <c r="J310" s="32" t="s">
        <v>33</v>
      </c>
      <c r="K310" s="32" t="s">
        <v>33</v>
      </c>
      <c r="L310" s="32" t="s">
        <v>33</v>
      </c>
    </row>
    <row r="311" spans="1:12">
      <c r="A311" s="28">
        <v>2024</v>
      </c>
      <c r="B311" s="29" t="s">
        <v>1970</v>
      </c>
      <c r="C311" s="30" t="s">
        <v>32</v>
      </c>
      <c r="D311" s="28" t="s">
        <v>352</v>
      </c>
      <c r="E311" s="29" t="s">
        <v>289</v>
      </c>
      <c r="F311" s="30" t="s">
        <v>650</v>
      </c>
      <c r="G311" s="34" t="s">
        <v>650</v>
      </c>
      <c r="H311" s="34" t="s">
        <v>33</v>
      </c>
      <c r="I311" s="31" t="s">
        <v>33</v>
      </c>
      <c r="J311" s="32" t="s">
        <v>2042</v>
      </c>
      <c r="K311" s="32" t="s">
        <v>33</v>
      </c>
      <c r="L311" s="32" t="s">
        <v>33</v>
      </c>
    </row>
    <row r="312" spans="1:12">
      <c r="A312" s="28">
        <v>2024</v>
      </c>
      <c r="B312" s="29" t="s">
        <v>1215</v>
      </c>
      <c r="C312" s="30" t="s">
        <v>82</v>
      </c>
      <c r="D312" s="28" t="s">
        <v>33</v>
      </c>
      <c r="E312" s="29" t="s">
        <v>33</v>
      </c>
      <c r="F312" s="30" t="s">
        <v>965</v>
      </c>
      <c r="G312" s="34" t="s">
        <v>965</v>
      </c>
      <c r="H312" s="34" t="s">
        <v>33</v>
      </c>
      <c r="I312" s="31" t="s">
        <v>33</v>
      </c>
      <c r="J312" s="32" t="s">
        <v>33</v>
      </c>
      <c r="K312" s="32" t="s">
        <v>33</v>
      </c>
      <c r="L312" s="32" t="s">
        <v>33</v>
      </c>
    </row>
    <row r="313" spans="1:12">
      <c r="A313" s="28">
        <v>2024</v>
      </c>
      <c r="B313" s="29" t="s">
        <v>1906</v>
      </c>
      <c r="C313" s="30" t="s">
        <v>100</v>
      </c>
      <c r="D313" s="28" t="s">
        <v>33</v>
      </c>
      <c r="E313" s="29" t="s">
        <v>33</v>
      </c>
      <c r="F313" s="30" t="s">
        <v>1984</v>
      </c>
      <c r="G313" s="34" t="s">
        <v>967</v>
      </c>
      <c r="H313" s="34" t="s">
        <v>33</v>
      </c>
      <c r="I313" s="31" t="s">
        <v>33</v>
      </c>
      <c r="J313" s="32" t="s">
        <v>33</v>
      </c>
      <c r="K313" s="32" t="s">
        <v>33</v>
      </c>
      <c r="L313" s="32" t="s">
        <v>33</v>
      </c>
    </row>
    <row r="314" spans="1:12">
      <c r="A314" s="28">
        <v>2024</v>
      </c>
      <c r="B314" s="29" t="s">
        <v>1564</v>
      </c>
      <c r="C314" s="30" t="s">
        <v>82</v>
      </c>
      <c r="D314" s="28" t="s">
        <v>33</v>
      </c>
      <c r="E314" s="29" t="s">
        <v>33</v>
      </c>
      <c r="F314" s="30" t="s">
        <v>970</v>
      </c>
      <c r="G314" s="34" t="s">
        <v>970</v>
      </c>
      <c r="H314" s="34" t="s">
        <v>33</v>
      </c>
      <c r="I314" s="31" t="s">
        <v>969</v>
      </c>
      <c r="J314" s="32" t="s">
        <v>33</v>
      </c>
      <c r="K314" s="32" t="s">
        <v>33</v>
      </c>
      <c r="L314" s="32" t="s">
        <v>33</v>
      </c>
    </row>
    <row r="315" spans="1:12">
      <c r="A315" s="28">
        <v>2024</v>
      </c>
      <c r="B315" s="29" t="s">
        <v>1215</v>
      </c>
      <c r="C315" s="30" t="s">
        <v>51</v>
      </c>
      <c r="D315" s="28" t="s">
        <v>33</v>
      </c>
      <c r="E315" s="29" t="s">
        <v>1881</v>
      </c>
      <c r="F315" s="30" t="s">
        <v>1924</v>
      </c>
      <c r="G315" s="34" t="s">
        <v>973</v>
      </c>
      <c r="H315" s="34" t="s">
        <v>33</v>
      </c>
      <c r="I315" s="31" t="s">
        <v>972</v>
      </c>
      <c r="J315" s="32" t="s">
        <v>33</v>
      </c>
      <c r="K315" s="32" t="s">
        <v>33</v>
      </c>
      <c r="L315" s="32" t="s">
        <v>33</v>
      </c>
    </row>
    <row r="316" spans="1:12">
      <c r="A316" s="28">
        <v>2024</v>
      </c>
      <c r="B316" s="29" t="s">
        <v>1894</v>
      </c>
      <c r="C316" s="30" t="s">
        <v>82</v>
      </c>
      <c r="D316" s="28" t="s">
        <v>33</v>
      </c>
      <c r="E316" s="29" t="s">
        <v>2029</v>
      </c>
      <c r="F316" s="30" t="s">
        <v>2043</v>
      </c>
      <c r="G316" s="34" t="s">
        <v>977</v>
      </c>
      <c r="H316" s="34" t="s">
        <v>33</v>
      </c>
      <c r="I316" s="31" t="s">
        <v>976</v>
      </c>
      <c r="J316" s="32" t="s">
        <v>33</v>
      </c>
      <c r="K316" s="32" t="s">
        <v>33</v>
      </c>
      <c r="L316" s="32" t="s">
        <v>33</v>
      </c>
    </row>
    <row r="317" spans="1:12">
      <c r="A317" s="28">
        <v>2024</v>
      </c>
      <c r="B317" s="29" t="s">
        <v>1546</v>
      </c>
      <c r="C317" s="30" t="s">
        <v>100</v>
      </c>
      <c r="D317" s="28" t="s">
        <v>33</v>
      </c>
      <c r="E317" s="29" t="s">
        <v>1900</v>
      </c>
      <c r="F317" s="30" t="s">
        <v>1901</v>
      </c>
      <c r="G317" s="34" t="s">
        <v>979</v>
      </c>
      <c r="H317" s="34" t="s">
        <v>33</v>
      </c>
      <c r="I317" s="31" t="s">
        <v>113</v>
      </c>
      <c r="J317" s="32" t="s">
        <v>978</v>
      </c>
      <c r="K317" s="32" t="s">
        <v>33</v>
      </c>
      <c r="L317" s="32" t="s">
        <v>33</v>
      </c>
    </row>
    <row r="318" spans="1:12">
      <c r="A318" s="28">
        <v>2024</v>
      </c>
      <c r="B318" s="29" t="s">
        <v>1215</v>
      </c>
      <c r="C318" s="30" t="s">
        <v>91</v>
      </c>
      <c r="D318" s="28" t="s">
        <v>33</v>
      </c>
      <c r="E318" s="29" t="s">
        <v>1881</v>
      </c>
      <c r="F318" s="30" t="s">
        <v>1976</v>
      </c>
      <c r="G318" s="34" t="s">
        <v>2044</v>
      </c>
      <c r="H318" s="34" t="s">
        <v>33</v>
      </c>
      <c r="I318" s="31" t="s">
        <v>981</v>
      </c>
      <c r="J318" s="32" t="s">
        <v>33</v>
      </c>
      <c r="K318" s="32" t="s">
        <v>33</v>
      </c>
      <c r="L318" s="32" t="s">
        <v>33</v>
      </c>
    </row>
    <row r="319" spans="1:12">
      <c r="A319" s="28">
        <v>2024</v>
      </c>
      <c r="B319" s="29" t="s">
        <v>1903</v>
      </c>
      <c r="C319" s="30" t="s">
        <v>115</v>
      </c>
      <c r="D319" s="28" t="s">
        <v>33</v>
      </c>
      <c r="E319" s="29" t="s">
        <v>1962</v>
      </c>
      <c r="F319" s="30" t="s">
        <v>1940</v>
      </c>
      <c r="G319" s="34" t="s">
        <v>241</v>
      </c>
      <c r="H319" s="34" t="s">
        <v>33</v>
      </c>
      <c r="I319" s="31" t="s">
        <v>983</v>
      </c>
      <c r="J319" s="32" t="s">
        <v>984</v>
      </c>
      <c r="K319" s="32" t="s">
        <v>33</v>
      </c>
      <c r="L319" s="32" t="s">
        <v>33</v>
      </c>
    </row>
    <row r="320" spans="1:12">
      <c r="A320" s="28">
        <v>2024</v>
      </c>
      <c r="B320" s="29" t="s">
        <v>1970</v>
      </c>
      <c r="C320" s="30" t="s">
        <v>68</v>
      </c>
      <c r="D320" s="28" t="s">
        <v>352</v>
      </c>
      <c r="E320" s="29" t="s">
        <v>838</v>
      </c>
      <c r="F320" s="30" t="s">
        <v>985</v>
      </c>
      <c r="G320" s="34" t="s">
        <v>985</v>
      </c>
      <c r="H320" s="34" t="s">
        <v>986</v>
      </c>
      <c r="I320" s="31" t="s">
        <v>987</v>
      </c>
      <c r="J320" s="32" t="s">
        <v>988</v>
      </c>
      <c r="K320" s="32" t="s">
        <v>33</v>
      </c>
      <c r="L320" s="32" t="s">
        <v>33</v>
      </c>
    </row>
    <row r="321" spans="1:12">
      <c r="A321" s="28">
        <v>2024</v>
      </c>
      <c r="B321" s="29" t="s">
        <v>1878</v>
      </c>
      <c r="C321" s="30" t="s">
        <v>141</v>
      </c>
      <c r="D321" s="28" t="s">
        <v>33</v>
      </c>
      <c r="E321" s="29" t="s">
        <v>33</v>
      </c>
      <c r="F321" s="30" t="s">
        <v>142</v>
      </c>
      <c r="G321" s="34" t="s">
        <v>142</v>
      </c>
      <c r="H321" s="34" t="s">
        <v>33</v>
      </c>
      <c r="I321" s="31" t="s">
        <v>989</v>
      </c>
      <c r="J321" s="32" t="s">
        <v>33</v>
      </c>
      <c r="K321" s="32" t="s">
        <v>33</v>
      </c>
      <c r="L321" s="32" t="s">
        <v>33</v>
      </c>
    </row>
    <row r="322" spans="1:12">
      <c r="A322" s="28">
        <v>2024</v>
      </c>
      <c r="B322" s="29" t="s">
        <v>1914</v>
      </c>
      <c r="C322" s="30" t="s">
        <v>64</v>
      </c>
      <c r="D322" s="28" t="s">
        <v>990</v>
      </c>
      <c r="E322" s="29" t="s">
        <v>33</v>
      </c>
      <c r="F322" s="30" t="s">
        <v>991</v>
      </c>
      <c r="G322" s="34" t="s">
        <v>991</v>
      </c>
      <c r="H322" s="34" t="s">
        <v>992</v>
      </c>
      <c r="I322" s="31" t="s">
        <v>993</v>
      </c>
      <c r="J322" s="32" t="s">
        <v>33</v>
      </c>
      <c r="K322" s="32" t="s">
        <v>33</v>
      </c>
      <c r="L322" s="32" t="s">
        <v>33</v>
      </c>
    </row>
    <row r="323" spans="1:12">
      <c r="A323" s="28">
        <v>2024</v>
      </c>
      <c r="B323" s="29" t="s">
        <v>1546</v>
      </c>
      <c r="C323" s="30" t="s">
        <v>100</v>
      </c>
      <c r="D323" s="28" t="s">
        <v>33</v>
      </c>
      <c r="E323" s="29" t="s">
        <v>33</v>
      </c>
      <c r="F323" s="30" t="s">
        <v>996</v>
      </c>
      <c r="G323" s="34" t="s">
        <v>996</v>
      </c>
      <c r="H323" s="34" t="s">
        <v>994</v>
      </c>
      <c r="I323" s="31" t="s">
        <v>995</v>
      </c>
      <c r="J323" s="32" t="s">
        <v>33</v>
      </c>
      <c r="K323" s="32" t="s">
        <v>33</v>
      </c>
      <c r="L323" s="32" t="s">
        <v>33</v>
      </c>
    </row>
    <row r="324" spans="1:12">
      <c r="A324" s="28">
        <v>2024</v>
      </c>
      <c r="B324" s="29" t="s">
        <v>1970</v>
      </c>
      <c r="C324" s="30" t="s">
        <v>82</v>
      </c>
      <c r="D324" s="28" t="s">
        <v>352</v>
      </c>
      <c r="E324" s="29" t="s">
        <v>33</v>
      </c>
      <c r="F324" s="30" t="s">
        <v>2033</v>
      </c>
      <c r="G324" s="34" t="s">
        <v>997</v>
      </c>
      <c r="H324" s="34" t="s">
        <v>33</v>
      </c>
      <c r="I324" s="31" t="s">
        <v>998</v>
      </c>
      <c r="J324" s="32" t="s">
        <v>33</v>
      </c>
      <c r="K324" s="32" t="s">
        <v>33</v>
      </c>
      <c r="L324" s="32" t="s">
        <v>33</v>
      </c>
    </row>
    <row r="325" spans="1:12">
      <c r="A325" s="28">
        <v>2024</v>
      </c>
      <c r="B325" s="29" t="s">
        <v>1906</v>
      </c>
      <c r="C325" s="30" t="s">
        <v>82</v>
      </c>
      <c r="D325" s="28" t="s">
        <v>33</v>
      </c>
      <c r="E325" s="29" t="s">
        <v>1897</v>
      </c>
      <c r="F325" s="30" t="s">
        <v>259</v>
      </c>
      <c r="G325" s="34" t="s">
        <v>259</v>
      </c>
      <c r="H325" s="34" t="s">
        <v>999</v>
      </c>
      <c r="I325" s="31" t="s">
        <v>1000</v>
      </c>
      <c r="J325" s="32" t="s">
        <v>33</v>
      </c>
      <c r="K325" s="32" t="s">
        <v>33</v>
      </c>
      <c r="L325" s="32" t="s">
        <v>33</v>
      </c>
    </row>
    <row r="326" spans="1:12">
      <c r="A326" s="28">
        <v>2024</v>
      </c>
      <c r="B326" s="29" t="s">
        <v>1933</v>
      </c>
      <c r="C326" s="30" t="s">
        <v>221</v>
      </c>
      <c r="D326" s="28" t="s">
        <v>33</v>
      </c>
      <c r="E326" s="29" t="s">
        <v>1917</v>
      </c>
      <c r="F326" s="30" t="s">
        <v>2045</v>
      </c>
      <c r="G326" s="34" t="s">
        <v>1001</v>
      </c>
      <c r="H326" s="34" t="s">
        <v>33</v>
      </c>
      <c r="I326" s="31" t="s">
        <v>1002</v>
      </c>
      <c r="J326" s="32" t="s">
        <v>33</v>
      </c>
      <c r="K326" s="32" t="s">
        <v>33</v>
      </c>
      <c r="L326" s="32" t="s">
        <v>33</v>
      </c>
    </row>
    <row r="327" spans="1:12">
      <c r="A327" s="28">
        <v>2024</v>
      </c>
      <c r="B327" s="29" t="s">
        <v>1875</v>
      </c>
      <c r="C327" s="30" t="s">
        <v>32</v>
      </c>
      <c r="D327" s="28" t="s">
        <v>451</v>
      </c>
      <c r="E327" s="29" t="s">
        <v>1455</v>
      </c>
      <c r="F327" s="30" t="s">
        <v>313</v>
      </c>
      <c r="G327" s="34" t="s">
        <v>313</v>
      </c>
      <c r="H327" s="34" t="s">
        <v>1003</v>
      </c>
      <c r="I327" s="31" t="s">
        <v>1004</v>
      </c>
      <c r="J327" s="32" t="s">
        <v>1005</v>
      </c>
      <c r="K327" s="32" t="s">
        <v>33</v>
      </c>
      <c r="L327" s="32" t="s">
        <v>33</v>
      </c>
    </row>
    <row r="328" spans="1:12">
      <c r="A328" s="28">
        <v>2024</v>
      </c>
      <c r="B328" s="29" t="s">
        <v>1885</v>
      </c>
      <c r="C328" s="30" t="s">
        <v>68</v>
      </c>
      <c r="D328" s="28" t="s">
        <v>990</v>
      </c>
      <c r="E328" s="29" t="s">
        <v>1892</v>
      </c>
      <c r="F328" s="30" t="s">
        <v>1957</v>
      </c>
      <c r="G328" s="34" t="s">
        <v>1008</v>
      </c>
      <c r="H328" s="34" t="s">
        <v>33</v>
      </c>
      <c r="I328" s="31" t="s">
        <v>1007</v>
      </c>
      <c r="J328" s="32" t="s">
        <v>33</v>
      </c>
      <c r="K328" s="32" t="s">
        <v>33</v>
      </c>
      <c r="L328" s="32" t="s">
        <v>33</v>
      </c>
    </row>
    <row r="329" spans="1:12">
      <c r="A329" s="28">
        <v>2024</v>
      </c>
      <c r="B329" s="29" t="s">
        <v>1564</v>
      </c>
      <c r="C329" s="30" t="s">
        <v>100</v>
      </c>
      <c r="D329" s="28" t="s">
        <v>33</v>
      </c>
      <c r="E329" s="29" t="s">
        <v>611</v>
      </c>
      <c r="F329" s="30" t="s">
        <v>1981</v>
      </c>
      <c r="G329" s="34" t="s">
        <v>1009</v>
      </c>
      <c r="H329" s="34" t="s">
        <v>33</v>
      </c>
      <c r="I329" s="31" t="s">
        <v>1010</v>
      </c>
      <c r="J329" s="32" t="s">
        <v>33</v>
      </c>
      <c r="K329" s="32" t="s">
        <v>33</v>
      </c>
      <c r="L329" s="32" t="s">
        <v>33</v>
      </c>
    </row>
    <row r="330" spans="1:12">
      <c r="A330" s="28">
        <v>2024</v>
      </c>
      <c r="B330" s="29" t="s">
        <v>1215</v>
      </c>
      <c r="C330" s="30" t="s">
        <v>91</v>
      </c>
      <c r="D330" s="28" t="s">
        <v>33</v>
      </c>
      <c r="E330" s="29" t="s">
        <v>1881</v>
      </c>
      <c r="F330" s="30" t="s">
        <v>1976</v>
      </c>
      <c r="G330" s="34" t="s">
        <v>1013</v>
      </c>
      <c r="H330" s="34" t="s">
        <v>33</v>
      </c>
      <c r="I330" s="31" t="s">
        <v>1012</v>
      </c>
      <c r="J330" s="32" t="s">
        <v>33</v>
      </c>
      <c r="K330" s="32" t="s">
        <v>33</v>
      </c>
      <c r="L330" s="32" t="s">
        <v>33</v>
      </c>
    </row>
    <row r="331" spans="1:12">
      <c r="A331" s="28">
        <v>2024</v>
      </c>
      <c r="B331" s="29" t="s">
        <v>1215</v>
      </c>
      <c r="C331" s="30" t="s">
        <v>68</v>
      </c>
      <c r="D331" s="28" t="s">
        <v>33</v>
      </c>
      <c r="E331" s="29" t="s">
        <v>1994</v>
      </c>
      <c r="F331" s="30" t="s">
        <v>1957</v>
      </c>
      <c r="G331" s="34" t="s">
        <v>2046</v>
      </c>
      <c r="H331" s="34" t="s">
        <v>33</v>
      </c>
      <c r="I331" s="31" t="s">
        <v>2047</v>
      </c>
      <c r="J331" s="32" t="s">
        <v>1015</v>
      </c>
      <c r="K331" s="32" t="s">
        <v>33</v>
      </c>
      <c r="L331" s="32" t="s">
        <v>33</v>
      </c>
    </row>
    <row r="332" spans="1:12">
      <c r="A332" s="28">
        <v>2024</v>
      </c>
      <c r="B332" s="29" t="s">
        <v>1215</v>
      </c>
      <c r="C332" s="30" t="s">
        <v>91</v>
      </c>
      <c r="D332" s="28" t="s">
        <v>33</v>
      </c>
      <c r="E332" s="29" t="s">
        <v>1881</v>
      </c>
      <c r="F332" s="30" t="s">
        <v>1976</v>
      </c>
      <c r="G332" s="34" t="s">
        <v>1021</v>
      </c>
      <c r="H332" s="34" t="s">
        <v>33</v>
      </c>
      <c r="I332" s="31" t="s">
        <v>2048</v>
      </c>
      <c r="J332" s="32" t="s">
        <v>1020</v>
      </c>
      <c r="K332" s="32" t="s">
        <v>33</v>
      </c>
      <c r="L332" s="32" t="s">
        <v>33</v>
      </c>
    </row>
    <row r="333" spans="1:12">
      <c r="A333" s="28">
        <v>2024</v>
      </c>
      <c r="B333" s="29" t="s">
        <v>1878</v>
      </c>
      <c r="C333" s="30" t="s">
        <v>141</v>
      </c>
      <c r="D333" s="28" t="s">
        <v>33</v>
      </c>
      <c r="E333" s="29" t="s">
        <v>1911</v>
      </c>
      <c r="F333" s="30" t="s">
        <v>1022</v>
      </c>
      <c r="G333" s="34" t="s">
        <v>1022</v>
      </c>
      <c r="H333" s="34" t="s">
        <v>33</v>
      </c>
      <c r="I333" s="31" t="s">
        <v>1023</v>
      </c>
      <c r="J333" s="32" t="s">
        <v>1024</v>
      </c>
      <c r="K333" s="32" t="s">
        <v>33</v>
      </c>
      <c r="L333" s="32" t="s">
        <v>33</v>
      </c>
    </row>
    <row r="334" spans="1:12">
      <c r="A334" s="28">
        <v>2024</v>
      </c>
      <c r="B334" s="29" t="s">
        <v>1910</v>
      </c>
      <c r="C334" s="30" t="s">
        <v>133</v>
      </c>
      <c r="D334" s="28" t="s">
        <v>451</v>
      </c>
      <c r="E334" s="29" t="s">
        <v>945</v>
      </c>
      <c r="F334" s="30" t="s">
        <v>1949</v>
      </c>
      <c r="G334" s="41" t="s">
        <v>1029</v>
      </c>
      <c r="H334" s="41"/>
      <c r="I334" s="31" t="s">
        <v>2049</v>
      </c>
      <c r="J334" s="32" t="s">
        <v>1028</v>
      </c>
      <c r="K334" s="32" t="s">
        <v>33</v>
      </c>
      <c r="L334" s="32" t="s">
        <v>33</v>
      </c>
    </row>
    <row r="335" spans="1:12">
      <c r="A335" s="28">
        <v>2024</v>
      </c>
      <c r="B335" s="29" t="s">
        <v>1875</v>
      </c>
      <c r="C335" s="30" t="s">
        <v>32</v>
      </c>
      <c r="D335" s="28" t="s">
        <v>990</v>
      </c>
      <c r="E335" s="29" t="s">
        <v>1892</v>
      </c>
      <c r="F335" s="30" t="s">
        <v>1922</v>
      </c>
      <c r="G335" s="41" t="s">
        <v>1030</v>
      </c>
      <c r="H335" s="41"/>
      <c r="I335" s="31" t="s">
        <v>1031</v>
      </c>
      <c r="J335" s="32" t="s">
        <v>1032</v>
      </c>
      <c r="K335" s="32" t="s">
        <v>33</v>
      </c>
      <c r="L335" s="32" t="s">
        <v>33</v>
      </c>
    </row>
    <row r="336" spans="1:12">
      <c r="A336" s="28">
        <v>2024</v>
      </c>
      <c r="B336" s="29" t="s">
        <v>1933</v>
      </c>
      <c r="C336" s="30" t="s">
        <v>221</v>
      </c>
      <c r="D336" s="28" t="s">
        <v>33</v>
      </c>
      <c r="E336" s="29" t="s">
        <v>1935</v>
      </c>
      <c r="F336" s="30" t="s">
        <v>2036</v>
      </c>
      <c r="G336" s="34" t="s">
        <v>2050</v>
      </c>
      <c r="H336" s="34" t="s">
        <v>33</v>
      </c>
      <c r="I336" s="31" t="s">
        <v>1035</v>
      </c>
      <c r="J336" s="32" t="s">
        <v>1036</v>
      </c>
      <c r="K336" s="32" t="s">
        <v>33</v>
      </c>
      <c r="L336" s="32" t="s">
        <v>33</v>
      </c>
    </row>
    <row r="337" spans="1:12">
      <c r="A337" s="28">
        <v>2024</v>
      </c>
      <c r="B337" s="29" t="s">
        <v>1894</v>
      </c>
      <c r="C337" s="30" t="s">
        <v>82</v>
      </c>
      <c r="D337" s="28" t="s">
        <v>33</v>
      </c>
      <c r="E337" s="29" t="s">
        <v>462</v>
      </c>
      <c r="F337" s="30" t="s">
        <v>1038</v>
      </c>
      <c r="G337" s="34" t="s">
        <v>1038</v>
      </c>
      <c r="H337" s="34" t="s">
        <v>33</v>
      </c>
      <c r="I337" s="31" t="s">
        <v>2051</v>
      </c>
      <c r="J337" s="32" t="s">
        <v>1040</v>
      </c>
      <c r="K337" s="32" t="s">
        <v>33</v>
      </c>
      <c r="L337" s="32" t="s">
        <v>33</v>
      </c>
    </row>
    <row r="338" spans="1:12">
      <c r="A338" s="28">
        <v>2024</v>
      </c>
      <c r="B338" s="29" t="s">
        <v>1970</v>
      </c>
      <c r="C338" s="30" t="s">
        <v>100</v>
      </c>
      <c r="D338" s="28" t="s">
        <v>33</v>
      </c>
      <c r="E338" s="29" t="s">
        <v>757</v>
      </c>
      <c r="F338" s="30" t="s">
        <v>1984</v>
      </c>
      <c r="G338" s="34" t="s">
        <v>1044</v>
      </c>
      <c r="H338" s="34" t="s">
        <v>33</v>
      </c>
      <c r="I338" s="31" t="s">
        <v>2052</v>
      </c>
      <c r="J338" s="32" t="s">
        <v>1043</v>
      </c>
      <c r="K338" s="32" t="s">
        <v>33</v>
      </c>
      <c r="L338" s="32" t="s">
        <v>33</v>
      </c>
    </row>
    <row r="339" spans="1:12">
      <c r="A339" s="28">
        <v>2024</v>
      </c>
      <c r="B339" s="29" t="s">
        <v>1546</v>
      </c>
      <c r="C339" s="30" t="s">
        <v>100</v>
      </c>
      <c r="D339" s="28" t="s">
        <v>33</v>
      </c>
      <c r="E339" s="29" t="s">
        <v>33</v>
      </c>
      <c r="F339" s="30" t="s">
        <v>1046</v>
      </c>
      <c r="G339" s="34" t="s">
        <v>1046</v>
      </c>
      <c r="H339" s="34" t="s">
        <v>33</v>
      </c>
      <c r="I339" s="31" t="s">
        <v>2053</v>
      </c>
      <c r="J339" s="32" t="s">
        <v>1048</v>
      </c>
      <c r="K339" s="32" t="s">
        <v>33</v>
      </c>
      <c r="L339" s="32" t="s">
        <v>33</v>
      </c>
    </row>
    <row r="340" spans="1:12">
      <c r="A340" s="28">
        <v>2025</v>
      </c>
      <c r="B340" s="29" t="s">
        <v>1885</v>
      </c>
      <c r="C340" s="30" t="s">
        <v>68</v>
      </c>
      <c r="D340" s="28" t="s">
        <v>990</v>
      </c>
      <c r="E340" s="29" t="s">
        <v>1892</v>
      </c>
      <c r="F340" s="30" t="s">
        <v>2010</v>
      </c>
      <c r="G340" s="34" t="s">
        <v>1049</v>
      </c>
      <c r="H340" s="34" t="s">
        <v>33</v>
      </c>
      <c r="I340" s="31" t="s">
        <v>1050</v>
      </c>
      <c r="J340" s="32" t="s">
        <v>1051</v>
      </c>
      <c r="K340" s="32" t="s">
        <v>1052</v>
      </c>
      <c r="L340" s="32" t="s">
        <v>1053</v>
      </c>
    </row>
    <row r="341" spans="1:12">
      <c r="A341" s="28">
        <v>2025</v>
      </c>
      <c r="B341" s="29" t="s">
        <v>1215</v>
      </c>
      <c r="C341" s="30" t="s">
        <v>91</v>
      </c>
      <c r="D341" s="28" t="s">
        <v>33</v>
      </c>
      <c r="E341" s="29" t="s">
        <v>1881</v>
      </c>
      <c r="F341" s="30" t="s">
        <v>1976</v>
      </c>
      <c r="G341" s="34" t="s">
        <v>443</v>
      </c>
      <c r="H341" s="34" t="s">
        <v>33</v>
      </c>
      <c r="I341" s="31" t="s">
        <v>1054</v>
      </c>
      <c r="J341" s="32" t="s">
        <v>33</v>
      </c>
      <c r="K341" s="32" t="s">
        <v>1055</v>
      </c>
      <c r="L341" s="32" t="s">
        <v>33</v>
      </c>
    </row>
    <row r="342" spans="1:12">
      <c r="A342" s="28">
        <v>2025</v>
      </c>
      <c r="B342" s="29" t="s">
        <v>1546</v>
      </c>
      <c r="C342" s="30" t="s">
        <v>100</v>
      </c>
      <c r="D342" s="28" t="s">
        <v>33</v>
      </c>
      <c r="E342" s="29" t="s">
        <v>2054</v>
      </c>
      <c r="F342" s="30" t="s">
        <v>1901</v>
      </c>
      <c r="G342" s="34" t="s">
        <v>1056</v>
      </c>
      <c r="H342" s="34" t="s">
        <v>2055</v>
      </c>
      <c r="I342" s="31" t="s">
        <v>1058</v>
      </c>
      <c r="J342" s="32" t="s">
        <v>33</v>
      </c>
      <c r="K342" s="32" t="s">
        <v>33</v>
      </c>
      <c r="L342" s="32" t="s">
        <v>1059</v>
      </c>
    </row>
    <row r="343" spans="1:12">
      <c r="A343" s="28">
        <v>2025</v>
      </c>
      <c r="B343" s="29" t="s">
        <v>1546</v>
      </c>
      <c r="C343" s="30" t="s">
        <v>100</v>
      </c>
      <c r="D343" s="28" t="s">
        <v>33</v>
      </c>
      <c r="E343" s="29" t="s">
        <v>2056</v>
      </c>
      <c r="F343" s="30" t="s">
        <v>2057</v>
      </c>
      <c r="G343" s="34" t="s">
        <v>1060</v>
      </c>
      <c r="H343" s="34" t="s">
        <v>33</v>
      </c>
      <c r="I343" s="31" t="s">
        <v>1061</v>
      </c>
      <c r="J343" s="32" t="s">
        <v>1062</v>
      </c>
      <c r="K343" s="32" t="s">
        <v>33</v>
      </c>
      <c r="L343" s="32" t="s">
        <v>33</v>
      </c>
    </row>
    <row r="344" spans="1:12">
      <c r="A344" s="28">
        <v>2025</v>
      </c>
      <c r="B344" s="29" t="s">
        <v>1215</v>
      </c>
      <c r="C344" s="30" t="s">
        <v>64</v>
      </c>
      <c r="D344" s="28" t="s">
        <v>33</v>
      </c>
      <c r="E344" s="29" t="s">
        <v>2058</v>
      </c>
      <c r="F344" s="30" t="s">
        <v>2059</v>
      </c>
      <c r="G344" s="34" t="s">
        <v>1063</v>
      </c>
      <c r="H344" s="34" t="s">
        <v>1064</v>
      </c>
      <c r="I344" s="31" t="s">
        <v>1065</v>
      </c>
      <c r="J344" s="32" t="s">
        <v>1066</v>
      </c>
      <c r="K344" s="32" t="s">
        <v>33</v>
      </c>
      <c r="L344" s="32" t="s">
        <v>33</v>
      </c>
    </row>
    <row r="345" spans="1:12">
      <c r="A345" s="28">
        <v>2025</v>
      </c>
      <c r="B345" s="29" t="s">
        <v>1875</v>
      </c>
      <c r="C345" s="30" t="s">
        <v>32</v>
      </c>
      <c r="D345" s="28" t="s">
        <v>33</v>
      </c>
      <c r="E345" s="29" t="s">
        <v>1455</v>
      </c>
      <c r="F345" s="30" t="s">
        <v>1923</v>
      </c>
      <c r="G345" s="34" t="s">
        <v>1069</v>
      </c>
      <c r="H345" s="34" t="s">
        <v>33</v>
      </c>
      <c r="I345" s="31" t="s">
        <v>1067</v>
      </c>
      <c r="J345" s="32" t="s">
        <v>1068</v>
      </c>
      <c r="K345" s="32" t="s">
        <v>33</v>
      </c>
      <c r="L345" s="32" t="s">
        <v>33</v>
      </c>
    </row>
    <row r="346" spans="1:12">
      <c r="A346" s="28">
        <v>2025</v>
      </c>
      <c r="B346" s="29" t="s">
        <v>1906</v>
      </c>
      <c r="C346" s="30" t="s">
        <v>115</v>
      </c>
      <c r="D346" s="28" t="s">
        <v>33</v>
      </c>
      <c r="E346" s="29" t="s">
        <v>2060</v>
      </c>
      <c r="F346" s="30" t="s">
        <v>1946</v>
      </c>
      <c r="G346" s="34" t="s">
        <v>1071</v>
      </c>
      <c r="H346" s="34" t="s">
        <v>33</v>
      </c>
      <c r="I346" s="31" t="s">
        <v>1072</v>
      </c>
      <c r="J346" s="32" t="s">
        <v>1073</v>
      </c>
      <c r="K346" s="32" t="s">
        <v>33</v>
      </c>
      <c r="L346" s="32" t="s">
        <v>33</v>
      </c>
    </row>
    <row r="347" spans="1:12">
      <c r="A347" s="28">
        <v>2025</v>
      </c>
      <c r="B347" s="29" t="s">
        <v>1882</v>
      </c>
      <c r="C347" s="30" t="s">
        <v>33</v>
      </c>
      <c r="D347" s="28" t="s">
        <v>55</v>
      </c>
      <c r="E347" s="29" t="s">
        <v>2061</v>
      </c>
      <c r="F347" s="30" t="s">
        <v>33</v>
      </c>
      <c r="G347" s="34" t="s">
        <v>33</v>
      </c>
      <c r="H347" s="34" t="s">
        <v>33</v>
      </c>
      <c r="I347" s="31" t="s">
        <v>1074</v>
      </c>
      <c r="J347" s="32" t="s">
        <v>33</v>
      </c>
      <c r="K347" s="32" t="s">
        <v>33</v>
      </c>
      <c r="L347" s="32" t="s">
        <v>33</v>
      </c>
    </row>
    <row r="348" spans="1:12">
      <c r="A348" s="28">
        <v>2025</v>
      </c>
      <c r="B348" s="29" t="s">
        <v>1914</v>
      </c>
      <c r="C348" s="30" t="s">
        <v>91</v>
      </c>
      <c r="D348" s="28" t="s">
        <v>33</v>
      </c>
      <c r="E348" s="29" t="s">
        <v>2062</v>
      </c>
      <c r="F348" s="30" t="s">
        <v>1919</v>
      </c>
      <c r="G348" s="34" t="s">
        <v>161</v>
      </c>
      <c r="H348" s="34" t="s">
        <v>33</v>
      </c>
      <c r="I348" s="31" t="s">
        <v>1075</v>
      </c>
      <c r="J348" s="32" t="s">
        <v>1076</v>
      </c>
      <c r="K348" s="32" t="s">
        <v>33</v>
      </c>
      <c r="L348" s="32" t="s">
        <v>33</v>
      </c>
    </row>
    <row r="349" spans="1:12">
      <c r="A349" s="28">
        <v>2025</v>
      </c>
      <c r="B349" s="29" t="s">
        <v>1889</v>
      </c>
      <c r="C349" s="30" t="s">
        <v>87</v>
      </c>
      <c r="D349" s="28" t="s">
        <v>33</v>
      </c>
      <c r="E349" s="29" t="s">
        <v>1883</v>
      </c>
      <c r="F349" s="30" t="s">
        <v>218</v>
      </c>
      <c r="G349" s="34" t="s">
        <v>1077</v>
      </c>
      <c r="H349" s="34" t="s">
        <v>33</v>
      </c>
      <c r="I349" s="31" t="s">
        <v>1078</v>
      </c>
      <c r="J349" s="32" t="s">
        <v>1079</v>
      </c>
      <c r="K349" s="32" t="s">
        <v>33</v>
      </c>
      <c r="L349" s="32" t="s">
        <v>33</v>
      </c>
    </row>
    <row r="350" spans="1:12">
      <c r="A350" s="28">
        <v>2025</v>
      </c>
      <c r="B350" s="29" t="s">
        <v>1933</v>
      </c>
      <c r="C350" s="30" t="s">
        <v>60</v>
      </c>
      <c r="D350" s="28" t="s">
        <v>33</v>
      </c>
      <c r="E350" s="29" t="s">
        <v>344</v>
      </c>
      <c r="F350" s="30" t="s">
        <v>1884</v>
      </c>
      <c r="G350" s="34" t="s">
        <v>1080</v>
      </c>
      <c r="H350" s="34" t="s">
        <v>33</v>
      </c>
      <c r="I350" s="31" t="s">
        <v>344</v>
      </c>
      <c r="J350" s="32" t="s">
        <v>33</v>
      </c>
      <c r="K350" s="32" t="s">
        <v>33</v>
      </c>
      <c r="L350" s="32" t="s">
        <v>33</v>
      </c>
    </row>
    <row r="351" spans="1:12">
      <c r="A351" s="28">
        <v>2025</v>
      </c>
      <c r="B351" s="29" t="s">
        <v>1564</v>
      </c>
      <c r="C351" s="30" t="s">
        <v>33</v>
      </c>
      <c r="D351" s="28" t="s">
        <v>33</v>
      </c>
      <c r="E351" s="29" t="s">
        <v>2063</v>
      </c>
      <c r="F351" s="30" t="s">
        <v>33</v>
      </c>
      <c r="G351" s="34" t="s">
        <v>33</v>
      </c>
      <c r="H351" s="34" t="s">
        <v>33</v>
      </c>
      <c r="I351" s="31" t="s">
        <v>1081</v>
      </c>
      <c r="J351" s="32" t="s">
        <v>1082</v>
      </c>
      <c r="K351" s="32" t="s">
        <v>33</v>
      </c>
      <c r="L351" s="32" t="s">
        <v>33</v>
      </c>
    </row>
    <row r="352" spans="1:12">
      <c r="A352" s="28">
        <v>2025</v>
      </c>
      <c r="B352" s="29" t="s">
        <v>1297</v>
      </c>
      <c r="C352" s="30" t="s">
        <v>60</v>
      </c>
      <c r="D352" s="28" t="s">
        <v>33</v>
      </c>
      <c r="E352" s="29" t="s">
        <v>2064</v>
      </c>
      <c r="F352" s="30" t="s">
        <v>2016</v>
      </c>
      <c r="G352" s="34" t="s">
        <v>712</v>
      </c>
      <c r="H352" s="34" t="s">
        <v>1083</v>
      </c>
      <c r="I352" s="31" t="s">
        <v>1084</v>
      </c>
      <c r="J352" s="32" t="s">
        <v>33</v>
      </c>
      <c r="K352" s="32" t="s">
        <v>33</v>
      </c>
      <c r="L352" s="32" t="s">
        <v>33</v>
      </c>
    </row>
    <row r="353" spans="1:12">
      <c r="A353" s="28">
        <v>2025</v>
      </c>
      <c r="B353" s="29" t="s">
        <v>1970</v>
      </c>
      <c r="C353" s="30" t="s">
        <v>82</v>
      </c>
      <c r="D353" s="28" t="s">
        <v>33</v>
      </c>
      <c r="E353" s="29" t="s">
        <v>1087</v>
      </c>
      <c r="F353" s="30" t="s">
        <v>2033</v>
      </c>
      <c r="G353" s="34" t="s">
        <v>1089</v>
      </c>
      <c r="H353" s="34" t="s">
        <v>2065</v>
      </c>
      <c r="I353" s="31" t="s">
        <v>1087</v>
      </c>
      <c r="J353" s="32" t="s">
        <v>1088</v>
      </c>
      <c r="K353" s="32" t="s">
        <v>33</v>
      </c>
      <c r="L353" s="32" t="s">
        <v>33</v>
      </c>
    </row>
    <row r="354" spans="1:12">
      <c r="A354" s="28">
        <v>2025</v>
      </c>
      <c r="B354" s="29" t="s">
        <v>1906</v>
      </c>
      <c r="C354" s="30" t="s">
        <v>33</v>
      </c>
      <c r="D354" s="28" t="s">
        <v>33</v>
      </c>
      <c r="E354" s="29" t="s">
        <v>2066</v>
      </c>
      <c r="F354" s="30" t="s">
        <v>33</v>
      </c>
      <c r="G354" s="34" t="s">
        <v>33</v>
      </c>
      <c r="H354" s="34" t="s">
        <v>33</v>
      </c>
      <c r="I354" s="31" t="s">
        <v>1090</v>
      </c>
      <c r="J354" s="32" t="s">
        <v>33</v>
      </c>
      <c r="K354" s="32" t="s">
        <v>33</v>
      </c>
      <c r="L354" s="32" t="s">
        <v>33</v>
      </c>
    </row>
    <row r="355" spans="1:12">
      <c r="A355" s="28">
        <v>2025</v>
      </c>
      <c r="B355" s="29" t="s">
        <v>1882</v>
      </c>
      <c r="C355" s="30" t="s">
        <v>133</v>
      </c>
      <c r="D355" s="28" t="s">
        <v>1091</v>
      </c>
      <c r="E355" s="29" t="s">
        <v>2067</v>
      </c>
      <c r="F355" s="30" t="s">
        <v>1986</v>
      </c>
      <c r="G355" s="34" t="s">
        <v>1092</v>
      </c>
      <c r="H355" s="34" t="s">
        <v>33</v>
      </c>
      <c r="I355" s="31" t="s">
        <v>1093</v>
      </c>
      <c r="J355" s="32" t="s">
        <v>1091</v>
      </c>
      <c r="K355" s="32" t="s">
        <v>33</v>
      </c>
      <c r="L355" s="32" t="s">
        <v>33</v>
      </c>
    </row>
    <row r="356" spans="1:12">
      <c r="A356" s="28">
        <v>2025</v>
      </c>
      <c r="B356" s="29" t="s">
        <v>1564</v>
      </c>
      <c r="C356" s="30" t="s">
        <v>115</v>
      </c>
      <c r="D356" s="28" t="s">
        <v>33</v>
      </c>
      <c r="E356" s="29" t="s">
        <v>2068</v>
      </c>
      <c r="F356" s="30" t="s">
        <v>1946</v>
      </c>
      <c r="G356" s="34" t="s">
        <v>1094</v>
      </c>
      <c r="H356" s="34" t="s">
        <v>33</v>
      </c>
      <c r="I356" s="31" t="s">
        <v>1095</v>
      </c>
      <c r="J356" s="32" t="s">
        <v>33</v>
      </c>
      <c r="K356" s="32" t="s">
        <v>33</v>
      </c>
      <c r="L356" s="32" t="s">
        <v>33</v>
      </c>
    </row>
    <row r="357" spans="1:12">
      <c r="A357" s="28">
        <v>2025</v>
      </c>
      <c r="B357" s="29" t="s">
        <v>1894</v>
      </c>
      <c r="C357" s="30" t="s">
        <v>133</v>
      </c>
      <c r="D357" s="28" t="s">
        <v>1121</v>
      </c>
      <c r="E357" s="29" t="s">
        <v>2069</v>
      </c>
      <c r="F357" s="30" t="s">
        <v>276</v>
      </c>
      <c r="G357" s="34" t="s">
        <v>1096</v>
      </c>
      <c r="H357" s="34" t="s">
        <v>1097</v>
      </c>
      <c r="I357" s="31" t="s">
        <v>1098</v>
      </c>
      <c r="J357" s="32" t="s">
        <v>33</v>
      </c>
      <c r="K357" s="32" t="s">
        <v>33</v>
      </c>
      <c r="L357" s="32" t="s">
        <v>33</v>
      </c>
    </row>
    <row r="358" spans="1:12">
      <c r="A358" s="28">
        <v>2025</v>
      </c>
      <c r="B358" s="29" t="s">
        <v>2037</v>
      </c>
      <c r="C358" s="30" t="s">
        <v>221</v>
      </c>
      <c r="D358" s="28" t="s">
        <v>33</v>
      </c>
      <c r="E358" s="29" t="s">
        <v>593</v>
      </c>
      <c r="F358" s="30" t="s">
        <v>593</v>
      </c>
      <c r="G358" s="34" t="s">
        <v>593</v>
      </c>
      <c r="H358" s="34" t="s">
        <v>33</v>
      </c>
      <c r="I358" s="31" t="s">
        <v>1099</v>
      </c>
      <c r="J358" s="32" t="s">
        <v>33</v>
      </c>
      <c r="K358" s="32" t="s">
        <v>33</v>
      </c>
      <c r="L358" s="32" t="s">
        <v>33</v>
      </c>
    </row>
    <row r="359" spans="1:12">
      <c r="A359" s="28">
        <v>2025</v>
      </c>
      <c r="B359" s="29" t="s">
        <v>1910</v>
      </c>
      <c r="C359" s="30" t="s">
        <v>133</v>
      </c>
      <c r="D359" s="28" t="s">
        <v>33</v>
      </c>
      <c r="E359" s="29" t="s">
        <v>945</v>
      </c>
      <c r="F359" s="30" t="s">
        <v>1964</v>
      </c>
      <c r="G359" s="34" t="s">
        <v>1100</v>
      </c>
      <c r="H359" s="34" t="s">
        <v>2070</v>
      </c>
      <c r="I359" s="31" t="s">
        <v>1102</v>
      </c>
      <c r="J359" s="32" t="s">
        <v>33</v>
      </c>
      <c r="K359" s="32" t="s">
        <v>33</v>
      </c>
      <c r="L359" s="32" t="s">
        <v>33</v>
      </c>
    </row>
    <row r="360" spans="1:12">
      <c r="A360" s="28">
        <v>2025</v>
      </c>
      <c r="B360" s="29" t="s">
        <v>1933</v>
      </c>
      <c r="C360" s="30" t="s">
        <v>32</v>
      </c>
      <c r="D360" s="28" t="s">
        <v>33</v>
      </c>
      <c r="E360" s="29" t="s">
        <v>1917</v>
      </c>
      <c r="F360" s="30" t="s">
        <v>1922</v>
      </c>
      <c r="G360" s="34" t="s">
        <v>786</v>
      </c>
      <c r="H360" s="34" t="s">
        <v>149</v>
      </c>
      <c r="I360" s="31" t="s">
        <v>1103</v>
      </c>
      <c r="J360" s="32" t="s">
        <v>33</v>
      </c>
      <c r="K360" s="32" t="s">
        <v>33</v>
      </c>
      <c r="L360" s="32" t="s">
        <v>33</v>
      </c>
    </row>
    <row r="361" spans="1:12">
      <c r="A361" s="28">
        <v>2025</v>
      </c>
      <c r="B361" s="29" t="s">
        <v>1882</v>
      </c>
      <c r="C361" s="30" t="s">
        <v>32</v>
      </c>
      <c r="D361" s="28" t="s">
        <v>33</v>
      </c>
      <c r="E361" s="29" t="s">
        <v>2071</v>
      </c>
      <c r="F361" s="30" t="s">
        <v>50</v>
      </c>
      <c r="G361" s="34" t="s">
        <v>1104</v>
      </c>
      <c r="H361" s="34" t="s">
        <v>33</v>
      </c>
      <c r="I361" s="31" t="s">
        <v>1105</v>
      </c>
      <c r="J361" s="32" t="s">
        <v>1106</v>
      </c>
      <c r="K361" s="32" t="s">
        <v>33</v>
      </c>
      <c r="L361" s="32" t="s">
        <v>33</v>
      </c>
    </row>
    <row r="362" spans="1:12">
      <c r="A362" s="28">
        <v>2025</v>
      </c>
      <c r="B362" s="29" t="s">
        <v>1215</v>
      </c>
      <c r="C362" s="30" t="s">
        <v>91</v>
      </c>
      <c r="D362" s="28" t="s">
        <v>33</v>
      </c>
      <c r="E362" s="29" t="s">
        <v>1881</v>
      </c>
      <c r="F362" s="30" t="s">
        <v>1895</v>
      </c>
      <c r="G362" s="34" t="s">
        <v>1109</v>
      </c>
      <c r="H362" s="34" t="s">
        <v>33</v>
      </c>
      <c r="I362" s="31" t="s">
        <v>1108</v>
      </c>
      <c r="J362" s="32" t="s">
        <v>33</v>
      </c>
      <c r="K362" s="32" t="s">
        <v>33</v>
      </c>
      <c r="L362" s="32" t="s">
        <v>33</v>
      </c>
    </row>
    <row r="363" spans="1:12">
      <c r="A363" s="28">
        <v>2025</v>
      </c>
      <c r="B363" s="29" t="s">
        <v>1885</v>
      </c>
      <c r="C363" s="30" t="s">
        <v>68</v>
      </c>
      <c r="D363" s="28" t="s">
        <v>33</v>
      </c>
      <c r="E363" s="29" t="s">
        <v>2072</v>
      </c>
      <c r="F363" s="30" t="s">
        <v>2010</v>
      </c>
      <c r="G363" s="34" t="s">
        <v>1110</v>
      </c>
      <c r="H363" s="34" t="s">
        <v>2073</v>
      </c>
      <c r="I363" s="31" t="s">
        <v>1112</v>
      </c>
      <c r="J363" s="32" t="s">
        <v>33</v>
      </c>
      <c r="K363" s="32" t="s">
        <v>33</v>
      </c>
      <c r="L363" s="32" t="s">
        <v>33</v>
      </c>
    </row>
    <row r="364" spans="1:12">
      <c r="A364" s="28">
        <v>2025</v>
      </c>
      <c r="B364" s="29" t="s">
        <v>1546</v>
      </c>
      <c r="C364" s="30" t="s">
        <v>100</v>
      </c>
      <c r="D364" s="28" t="s">
        <v>33</v>
      </c>
      <c r="E364" s="29" t="s">
        <v>2074</v>
      </c>
      <c r="F364" s="30" t="s">
        <v>2004</v>
      </c>
      <c r="G364" s="34" t="s">
        <v>1113</v>
      </c>
      <c r="H364" s="34" t="s">
        <v>33</v>
      </c>
      <c r="I364" s="31" t="s">
        <v>1114</v>
      </c>
      <c r="J364" s="32" t="s">
        <v>33</v>
      </c>
      <c r="K364" s="32" t="s">
        <v>33</v>
      </c>
      <c r="L364" s="32" t="s">
        <v>33</v>
      </c>
    </row>
    <row r="365" spans="1:12">
      <c r="A365" s="28">
        <v>2025</v>
      </c>
      <c r="B365" s="29" t="s">
        <v>1875</v>
      </c>
      <c r="C365" s="30" t="s">
        <v>32</v>
      </c>
      <c r="D365" s="28" t="s">
        <v>33</v>
      </c>
      <c r="E365" s="29" t="s">
        <v>1116</v>
      </c>
      <c r="F365" s="30" t="s">
        <v>1876</v>
      </c>
      <c r="G365" s="34" t="s">
        <v>1115</v>
      </c>
      <c r="H365" s="34" t="s">
        <v>33</v>
      </c>
      <c r="I365" s="31" t="s">
        <v>1116</v>
      </c>
      <c r="J365" s="32" t="s">
        <v>33</v>
      </c>
      <c r="K365" s="32" t="s">
        <v>33</v>
      </c>
      <c r="L365" s="32" t="s">
        <v>33</v>
      </c>
    </row>
    <row r="366" spans="1:12">
      <c r="A366" s="28">
        <v>2025</v>
      </c>
      <c r="B366" s="29" t="s">
        <v>1882</v>
      </c>
      <c r="C366" s="30" t="s">
        <v>91</v>
      </c>
      <c r="D366" s="28" t="s">
        <v>1091</v>
      </c>
      <c r="E366" s="29" t="s">
        <v>2075</v>
      </c>
      <c r="F366" s="30" t="s">
        <v>1891</v>
      </c>
      <c r="G366" s="34" t="s">
        <v>1117</v>
      </c>
      <c r="H366" s="34" t="s">
        <v>33</v>
      </c>
      <c r="I366" s="31" t="s">
        <v>1118</v>
      </c>
      <c r="J366" s="32" t="s">
        <v>33</v>
      </c>
      <c r="K366" s="32" t="s">
        <v>33</v>
      </c>
      <c r="L366" s="32" t="s">
        <v>33</v>
      </c>
    </row>
    <row r="367" spans="1:12">
      <c r="A367" s="28">
        <v>2025</v>
      </c>
      <c r="B367" s="29" t="s">
        <v>1878</v>
      </c>
      <c r="C367" s="30" t="s">
        <v>141</v>
      </c>
      <c r="D367" s="28" t="s">
        <v>33</v>
      </c>
      <c r="E367" s="29" t="s">
        <v>2076</v>
      </c>
      <c r="F367" s="30" t="s">
        <v>1988</v>
      </c>
      <c r="G367" s="34" t="s">
        <v>1120</v>
      </c>
      <c r="H367" s="34" t="s">
        <v>33</v>
      </c>
      <c r="I367" s="31" t="s">
        <v>1119</v>
      </c>
      <c r="J367" s="32" t="s">
        <v>33</v>
      </c>
      <c r="K367" s="32" t="s">
        <v>33</v>
      </c>
      <c r="L367" s="32" t="s">
        <v>33</v>
      </c>
    </row>
    <row r="368" spans="1:12">
      <c r="A368" s="28">
        <v>2025</v>
      </c>
      <c r="B368" s="29" t="s">
        <v>1910</v>
      </c>
      <c r="C368" s="30" t="s">
        <v>133</v>
      </c>
      <c r="D368" s="28" t="s">
        <v>1121</v>
      </c>
      <c r="E368" s="29" t="s">
        <v>1455</v>
      </c>
      <c r="F368" s="30" t="s">
        <v>1949</v>
      </c>
      <c r="G368" s="34" t="s">
        <v>1122</v>
      </c>
      <c r="H368" s="34" t="s">
        <v>33</v>
      </c>
      <c r="I368" s="31" t="s">
        <v>1123</v>
      </c>
      <c r="J368" s="32" t="s">
        <v>1124</v>
      </c>
      <c r="K368" s="32" t="s">
        <v>33</v>
      </c>
      <c r="L368" s="32" t="s">
        <v>33</v>
      </c>
    </row>
    <row r="369" spans="1:12">
      <c r="A369" s="28">
        <v>2025</v>
      </c>
      <c r="B369" s="29" t="s">
        <v>1885</v>
      </c>
      <c r="C369" s="30" t="s">
        <v>68</v>
      </c>
      <c r="D369" s="28" t="s">
        <v>33</v>
      </c>
      <c r="E369" s="29" t="s">
        <v>552</v>
      </c>
      <c r="F369" s="30" t="s">
        <v>1888</v>
      </c>
      <c r="G369" s="34" t="s">
        <v>1125</v>
      </c>
      <c r="H369" s="34" t="s">
        <v>33</v>
      </c>
      <c r="I369" s="31" t="s">
        <v>1126</v>
      </c>
      <c r="J369" s="32" t="s">
        <v>33</v>
      </c>
      <c r="K369" s="32" t="s">
        <v>33</v>
      </c>
      <c r="L369" s="32" t="s">
        <v>33</v>
      </c>
    </row>
    <row r="370" spans="1:12">
      <c r="A370" s="28">
        <v>2025</v>
      </c>
      <c r="B370" s="29" t="s">
        <v>1885</v>
      </c>
      <c r="C370" s="30" t="s">
        <v>91</v>
      </c>
      <c r="D370" s="28" t="s">
        <v>33</v>
      </c>
      <c r="E370" s="29" t="s">
        <v>2077</v>
      </c>
      <c r="F370" s="30" t="s">
        <v>1893</v>
      </c>
      <c r="G370" s="34" t="s">
        <v>1127</v>
      </c>
      <c r="H370" s="34" t="s">
        <v>33</v>
      </c>
      <c r="I370" s="31" t="s">
        <v>1128</v>
      </c>
      <c r="J370" s="32" t="s">
        <v>33</v>
      </c>
      <c r="K370" s="32" t="s">
        <v>33</v>
      </c>
      <c r="L370" s="32" t="s">
        <v>33</v>
      </c>
    </row>
    <row r="371" spans="1:12">
      <c r="A371" s="28">
        <v>2025</v>
      </c>
      <c r="B371" s="29" t="s">
        <v>1894</v>
      </c>
      <c r="C371" s="30" t="s">
        <v>82</v>
      </c>
      <c r="D371" s="28" t="s">
        <v>33</v>
      </c>
      <c r="E371" s="29" t="s">
        <v>2078</v>
      </c>
      <c r="F371" s="30" t="s">
        <v>2043</v>
      </c>
      <c r="G371" s="34" t="s">
        <v>1129</v>
      </c>
      <c r="H371" s="34" t="s">
        <v>33</v>
      </c>
      <c r="I371" s="31" t="s">
        <v>458</v>
      </c>
      <c r="J371" s="32" t="s">
        <v>33</v>
      </c>
      <c r="K371" s="32" t="s">
        <v>33</v>
      </c>
      <c r="L371" s="32" t="s">
        <v>33</v>
      </c>
    </row>
    <row r="372" spans="1:12">
      <c r="A372" s="28">
        <v>2025</v>
      </c>
      <c r="B372" s="29" t="s">
        <v>1933</v>
      </c>
      <c r="C372" s="30" t="s">
        <v>221</v>
      </c>
      <c r="D372" s="28" t="s">
        <v>33</v>
      </c>
      <c r="E372" s="29" t="s">
        <v>2079</v>
      </c>
      <c r="F372" s="30" t="s">
        <v>1934</v>
      </c>
      <c r="G372" s="34" t="s">
        <v>1130</v>
      </c>
      <c r="H372" s="34" t="s">
        <v>33</v>
      </c>
      <c r="I372" s="31" t="s">
        <v>1131</v>
      </c>
      <c r="J372" s="32" t="s">
        <v>33</v>
      </c>
      <c r="K372" s="32" t="s">
        <v>33</v>
      </c>
      <c r="L372" s="32" t="s">
        <v>33</v>
      </c>
    </row>
    <row r="373" spans="1:12">
      <c r="A373" s="28">
        <v>2025</v>
      </c>
      <c r="B373" s="29" t="s">
        <v>1903</v>
      </c>
      <c r="C373" s="30" t="s">
        <v>91</v>
      </c>
      <c r="D373" s="28" t="s">
        <v>33</v>
      </c>
      <c r="E373" s="29" t="s">
        <v>2080</v>
      </c>
      <c r="F373" s="30" t="s">
        <v>1891</v>
      </c>
      <c r="G373" s="34" t="s">
        <v>1132</v>
      </c>
      <c r="H373" s="34" t="s">
        <v>33</v>
      </c>
      <c r="I373" s="31" t="s">
        <v>1133</v>
      </c>
      <c r="J373" s="32" t="s">
        <v>33</v>
      </c>
      <c r="K373" s="32" t="s">
        <v>33</v>
      </c>
      <c r="L373" s="32" t="s">
        <v>33</v>
      </c>
    </row>
    <row r="374" spans="1:12">
      <c r="A374" s="28">
        <v>2025</v>
      </c>
      <c r="B374" s="29" t="s">
        <v>1215</v>
      </c>
      <c r="C374" s="30" t="s">
        <v>51</v>
      </c>
      <c r="D374" s="28" t="s">
        <v>33</v>
      </c>
      <c r="E374" s="29" t="s">
        <v>2081</v>
      </c>
      <c r="F374" s="30" t="s">
        <v>52</v>
      </c>
      <c r="G374" s="34" t="s">
        <v>1134</v>
      </c>
      <c r="H374" s="34" t="s">
        <v>33</v>
      </c>
      <c r="I374" s="31" t="s">
        <v>1135</v>
      </c>
      <c r="J374" s="32" t="s">
        <v>33</v>
      </c>
      <c r="K374" s="32" t="s">
        <v>33</v>
      </c>
      <c r="L374" s="32" t="s">
        <v>33</v>
      </c>
    </row>
    <row r="375" spans="1:12">
      <c r="A375" s="28">
        <v>2025</v>
      </c>
      <c r="B375" s="29" t="s">
        <v>1933</v>
      </c>
      <c r="C375" s="30" t="s">
        <v>64</v>
      </c>
      <c r="D375" s="28" t="s">
        <v>33</v>
      </c>
      <c r="E375" s="29" t="s">
        <v>2082</v>
      </c>
      <c r="F375" s="30" t="s">
        <v>2083</v>
      </c>
      <c r="G375" s="34" t="s">
        <v>1136</v>
      </c>
      <c r="H375" s="34" t="s">
        <v>33</v>
      </c>
      <c r="I375" s="31" t="s">
        <v>1137</v>
      </c>
      <c r="J375" s="32" t="s">
        <v>33</v>
      </c>
      <c r="K375" s="32" t="s">
        <v>33</v>
      </c>
      <c r="L375" s="32" t="s">
        <v>33</v>
      </c>
    </row>
  </sheetData>
  <mergeCells count="10">
    <mergeCell ref="G141:H141"/>
    <mergeCell ref="J153:L153"/>
    <mergeCell ref="G334:H334"/>
    <mergeCell ref="G335:H335"/>
    <mergeCell ref="J20:L20"/>
    <mergeCell ref="J30:K30"/>
    <mergeCell ref="G51:H51"/>
    <mergeCell ref="J55:L55"/>
    <mergeCell ref="J56:K56"/>
    <mergeCell ref="J57:L5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2ACB-B1BA-463D-9A0E-BEFAC6D61360}">
  <dimension ref="A1:F31"/>
  <sheetViews>
    <sheetView workbookViewId="0">
      <selection sqref="A1:F31"/>
    </sheetView>
  </sheetViews>
  <sheetFormatPr defaultRowHeight="15"/>
  <cols>
    <col min="1" max="1" width="11.42578125" bestFit="1" customWidth="1"/>
    <col min="3" max="3" width="17" bestFit="1" customWidth="1"/>
    <col min="4" max="4" width="36.5703125" bestFit="1" customWidth="1"/>
    <col min="5" max="5" width="10" bestFit="1" customWidth="1"/>
  </cols>
  <sheetData>
    <row r="1" spans="1:6">
      <c r="A1" s="21" t="s">
        <v>2084</v>
      </c>
      <c r="B1" s="22" t="s">
        <v>2085</v>
      </c>
      <c r="C1" s="22" t="s">
        <v>2086</v>
      </c>
      <c r="D1" s="25" t="s">
        <v>2087</v>
      </c>
      <c r="E1" s="22" t="s">
        <v>2088</v>
      </c>
      <c r="F1" s="22" t="s">
        <v>2089</v>
      </c>
    </row>
    <row r="2" spans="1:6">
      <c r="A2" s="23"/>
      <c r="B2" s="23">
        <v>1</v>
      </c>
      <c r="C2" s="23" t="s">
        <v>2090</v>
      </c>
      <c r="D2" s="26" t="s">
        <v>1455</v>
      </c>
      <c r="E2" s="23" t="s">
        <v>2091</v>
      </c>
      <c r="F2" s="23">
        <v>1</v>
      </c>
    </row>
    <row r="3" spans="1:6">
      <c r="A3" s="23"/>
      <c r="B3" s="23">
        <v>2</v>
      </c>
      <c r="C3" s="23" t="s">
        <v>2092</v>
      </c>
      <c r="D3" s="26" t="s">
        <v>1892</v>
      </c>
      <c r="E3" s="23" t="s">
        <v>2091</v>
      </c>
      <c r="F3" s="23">
        <v>1</v>
      </c>
    </row>
    <row r="4" spans="1:6">
      <c r="A4" s="23"/>
      <c r="B4" s="23">
        <v>3</v>
      </c>
      <c r="C4" s="23" t="s">
        <v>2093</v>
      </c>
      <c r="D4" s="26" t="s">
        <v>2094</v>
      </c>
      <c r="E4" s="23" t="s">
        <v>2095</v>
      </c>
      <c r="F4" s="23">
        <v>7</v>
      </c>
    </row>
    <row r="5" spans="1:6">
      <c r="A5" s="23"/>
      <c r="B5" s="23">
        <v>4</v>
      </c>
      <c r="C5" s="23" t="s">
        <v>2096</v>
      </c>
      <c r="D5" s="26" t="s">
        <v>2097</v>
      </c>
      <c r="E5" s="23" t="s">
        <v>2091</v>
      </c>
      <c r="F5" s="23">
        <v>2</v>
      </c>
    </row>
    <row r="6" spans="1:6">
      <c r="A6" s="23"/>
      <c r="B6" s="23">
        <v>5</v>
      </c>
      <c r="C6" s="23" t="s">
        <v>2098</v>
      </c>
      <c r="D6" s="26" t="s">
        <v>611</v>
      </c>
      <c r="E6" s="23" t="s">
        <v>2091</v>
      </c>
      <c r="F6" s="23">
        <v>2</v>
      </c>
    </row>
    <row r="7" spans="1:6">
      <c r="A7" s="23"/>
      <c r="B7" s="23">
        <v>6</v>
      </c>
      <c r="C7" s="23" t="s">
        <v>2099</v>
      </c>
      <c r="D7" s="26" t="s">
        <v>2100</v>
      </c>
      <c r="E7" s="23" t="s">
        <v>2091</v>
      </c>
      <c r="F7" s="23">
        <v>2</v>
      </c>
    </row>
    <row r="8" spans="1:6">
      <c r="A8" s="23"/>
      <c r="B8" s="23">
        <v>7</v>
      </c>
      <c r="C8" s="23" t="s">
        <v>2101</v>
      </c>
      <c r="D8" s="26" t="s">
        <v>2102</v>
      </c>
      <c r="E8" s="23" t="s">
        <v>2091</v>
      </c>
      <c r="F8" s="23">
        <v>2</v>
      </c>
    </row>
    <row r="9" spans="1:6">
      <c r="A9" s="23"/>
      <c r="B9" s="23">
        <v>8</v>
      </c>
      <c r="C9" s="23" t="s">
        <v>2103</v>
      </c>
      <c r="D9" s="26" t="s">
        <v>2104</v>
      </c>
      <c r="E9" s="23" t="s">
        <v>2091</v>
      </c>
      <c r="F9" s="23">
        <v>1</v>
      </c>
    </row>
    <row r="10" spans="1:6">
      <c r="A10" s="23"/>
      <c r="B10" s="23">
        <v>9</v>
      </c>
      <c r="C10" s="23" t="s">
        <v>2105</v>
      </c>
      <c r="D10" s="26" t="s">
        <v>2009</v>
      </c>
      <c r="E10" s="23" t="s">
        <v>2091</v>
      </c>
      <c r="F10" s="23">
        <v>1</v>
      </c>
    </row>
    <row r="11" spans="1:6">
      <c r="A11" s="23"/>
      <c r="B11" s="23">
        <v>10</v>
      </c>
      <c r="C11" s="23" t="s">
        <v>2106</v>
      </c>
      <c r="D11" s="26" t="s">
        <v>2107</v>
      </c>
      <c r="E11" s="23" t="s">
        <v>2095</v>
      </c>
      <c r="F11" s="23">
        <v>5</v>
      </c>
    </row>
    <row r="12" spans="1:6">
      <c r="A12" s="23"/>
      <c r="B12" s="23">
        <v>11</v>
      </c>
      <c r="C12" s="23" t="s">
        <v>2108</v>
      </c>
      <c r="D12" s="26" t="s">
        <v>2109</v>
      </c>
      <c r="E12" s="23" t="s">
        <v>2095</v>
      </c>
      <c r="F12" s="23">
        <v>3</v>
      </c>
    </row>
    <row r="13" spans="1:6">
      <c r="A13" s="23"/>
      <c r="B13" s="23">
        <v>12</v>
      </c>
      <c r="C13" s="23" t="s">
        <v>2110</v>
      </c>
      <c r="D13" s="26" t="s">
        <v>2111</v>
      </c>
      <c r="E13" s="23" t="s">
        <v>2091</v>
      </c>
      <c r="F13" s="23">
        <v>2</v>
      </c>
    </row>
    <row r="14" spans="1:6">
      <c r="A14" s="23"/>
      <c r="B14" s="23"/>
      <c r="C14" s="21" t="s">
        <v>2112</v>
      </c>
      <c r="D14" s="25" t="s">
        <v>2113</v>
      </c>
      <c r="E14" s="22" t="s">
        <v>2114</v>
      </c>
      <c r="F14" s="22" t="s">
        <v>2089</v>
      </c>
    </row>
    <row r="15" spans="1:6">
      <c r="A15" s="23"/>
      <c r="B15" s="23"/>
      <c r="C15" s="24">
        <v>1031</v>
      </c>
      <c r="D15" s="27">
        <v>1060</v>
      </c>
      <c r="E15" s="24" t="s">
        <v>2115</v>
      </c>
      <c r="F15" s="24">
        <v>1</v>
      </c>
    </row>
    <row r="16" spans="1:6">
      <c r="A16" s="23"/>
      <c r="B16" s="23"/>
      <c r="C16" s="23"/>
      <c r="D16" s="26"/>
      <c r="E16" s="23"/>
      <c r="F16" s="23"/>
    </row>
    <row r="17" spans="1:6">
      <c r="A17" s="21" t="s">
        <v>2116</v>
      </c>
      <c r="B17" s="22" t="s">
        <v>2085</v>
      </c>
      <c r="C17" s="22" t="s">
        <v>2086</v>
      </c>
      <c r="D17" s="25" t="s">
        <v>2087</v>
      </c>
      <c r="E17" s="22" t="s">
        <v>2088</v>
      </c>
      <c r="F17" s="22" t="s">
        <v>2089</v>
      </c>
    </row>
    <row r="18" spans="1:6">
      <c r="A18" s="23"/>
      <c r="B18" s="23">
        <v>1</v>
      </c>
      <c r="C18" s="23" t="s">
        <v>2117</v>
      </c>
      <c r="D18" s="26" t="s">
        <v>945</v>
      </c>
      <c r="E18" s="23" t="s">
        <v>2091</v>
      </c>
      <c r="F18" s="23">
        <v>1</v>
      </c>
    </row>
    <row r="19" spans="1:6">
      <c r="A19" s="23"/>
      <c r="B19" s="23">
        <v>2</v>
      </c>
      <c r="C19" s="23" t="s">
        <v>2118</v>
      </c>
      <c r="D19" s="26" t="s">
        <v>2119</v>
      </c>
      <c r="E19" s="23" t="s">
        <v>2091</v>
      </c>
      <c r="F19" s="23">
        <v>1</v>
      </c>
    </row>
    <row r="20" spans="1:6">
      <c r="A20" s="23"/>
      <c r="B20" s="23">
        <v>3</v>
      </c>
      <c r="C20" s="23" t="s">
        <v>2120</v>
      </c>
      <c r="D20" s="26" t="s">
        <v>2121</v>
      </c>
      <c r="E20" s="23" t="s">
        <v>2095</v>
      </c>
      <c r="F20" s="23">
        <v>2</v>
      </c>
    </row>
    <row r="21" spans="1:6">
      <c r="A21" s="23"/>
      <c r="B21" s="23">
        <v>4</v>
      </c>
      <c r="C21" s="23" t="s">
        <v>2122</v>
      </c>
      <c r="D21" s="26" t="s">
        <v>2123</v>
      </c>
      <c r="E21" s="23" t="s">
        <v>2091</v>
      </c>
      <c r="F21" s="23">
        <v>1</v>
      </c>
    </row>
    <row r="22" spans="1:6">
      <c r="A22" s="23"/>
      <c r="B22" s="23">
        <v>5</v>
      </c>
      <c r="C22" s="23" t="s">
        <v>2124</v>
      </c>
      <c r="D22" s="26" t="s">
        <v>2125</v>
      </c>
      <c r="E22" s="23" t="s">
        <v>2091</v>
      </c>
      <c r="F22" s="23">
        <v>1</v>
      </c>
    </row>
    <row r="23" spans="1:6">
      <c r="A23" s="23"/>
      <c r="B23" s="23">
        <v>6</v>
      </c>
      <c r="C23" s="23" t="s">
        <v>2126</v>
      </c>
      <c r="D23" s="26" t="s">
        <v>2127</v>
      </c>
      <c r="E23" s="23" t="s">
        <v>2095</v>
      </c>
      <c r="F23" s="23">
        <v>4</v>
      </c>
    </row>
    <row r="24" spans="1:6">
      <c r="A24" s="23"/>
      <c r="B24" s="23">
        <v>7</v>
      </c>
      <c r="C24" s="23" t="s">
        <v>2128</v>
      </c>
      <c r="D24" s="26" t="s">
        <v>2129</v>
      </c>
      <c r="E24" s="23" t="s">
        <v>2095</v>
      </c>
      <c r="F24" s="23">
        <v>4</v>
      </c>
    </row>
    <row r="25" spans="1:6">
      <c r="A25" s="23"/>
      <c r="B25" s="23">
        <v>8</v>
      </c>
      <c r="C25" s="23" t="s">
        <v>2130</v>
      </c>
      <c r="D25" s="26" t="s">
        <v>1881</v>
      </c>
      <c r="E25" s="23" t="s">
        <v>2091</v>
      </c>
      <c r="F25" s="23">
        <v>1</v>
      </c>
    </row>
    <row r="26" spans="1:6">
      <c r="A26" s="23"/>
      <c r="B26" s="23">
        <v>9</v>
      </c>
      <c r="C26" s="23" t="s">
        <v>2131</v>
      </c>
      <c r="D26" s="26" t="s">
        <v>2132</v>
      </c>
      <c r="E26" s="23" t="s">
        <v>2095</v>
      </c>
      <c r="F26" s="23">
        <v>2</v>
      </c>
    </row>
    <row r="27" spans="1:6" ht="30.75">
      <c r="A27" s="23"/>
      <c r="B27" s="23">
        <v>10</v>
      </c>
      <c r="C27" s="23" t="s">
        <v>2133</v>
      </c>
      <c r="D27" s="26" t="s">
        <v>2134</v>
      </c>
      <c r="E27" s="23" t="s">
        <v>2091</v>
      </c>
      <c r="F27" s="23">
        <v>1</v>
      </c>
    </row>
    <row r="28" spans="1:6">
      <c r="A28" s="23"/>
      <c r="B28" s="23">
        <v>11</v>
      </c>
      <c r="C28" s="23" t="s">
        <v>2135</v>
      </c>
      <c r="D28" s="26" t="s">
        <v>2136</v>
      </c>
      <c r="E28" s="23" t="s">
        <v>2095</v>
      </c>
      <c r="F28" s="23">
        <v>2</v>
      </c>
    </row>
    <row r="29" spans="1:6">
      <c r="A29" s="23"/>
      <c r="B29" s="23">
        <v>12</v>
      </c>
      <c r="C29" s="23" t="s">
        <v>2137</v>
      </c>
      <c r="D29" s="26" t="s">
        <v>2094</v>
      </c>
      <c r="E29" s="23" t="s">
        <v>2095</v>
      </c>
      <c r="F29" s="23">
        <v>2</v>
      </c>
    </row>
    <row r="30" spans="1:6">
      <c r="A30" s="23"/>
      <c r="B30" s="23"/>
      <c r="C30" s="21" t="s">
        <v>2112</v>
      </c>
      <c r="D30" s="25" t="s">
        <v>2113</v>
      </c>
      <c r="E30" s="22" t="s">
        <v>2114</v>
      </c>
      <c r="F30" s="22" t="s">
        <v>2089</v>
      </c>
    </row>
    <row r="31" spans="1:6">
      <c r="A31" s="23"/>
      <c r="B31" s="23"/>
      <c r="C31" s="24">
        <v>1027</v>
      </c>
      <c r="D31" s="27">
        <v>1060</v>
      </c>
      <c r="E31" s="24" t="s">
        <v>2115</v>
      </c>
      <c r="F31" s="2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5715-7E29-4EA1-887A-71AE70D9EAFD}">
  <dimension ref="A1:F266"/>
  <sheetViews>
    <sheetView topLeftCell="E168" workbookViewId="0">
      <selection activeCell="E2" sqref="E2"/>
    </sheetView>
  </sheetViews>
  <sheetFormatPr defaultRowHeight="15"/>
  <cols>
    <col min="1" max="1" width="12" bestFit="1" customWidth="1"/>
    <col min="2" max="2" width="32.7109375" bestFit="1" customWidth="1"/>
    <col min="3" max="4" width="36.5703125" bestFit="1" customWidth="1"/>
    <col min="5" max="5" width="127.7109375" bestFit="1" customWidth="1"/>
    <col min="6" max="6" width="11.85546875" bestFit="1" customWidth="1"/>
  </cols>
  <sheetData>
    <row r="1" spans="1:6">
      <c r="A1" s="18" t="s">
        <v>2138</v>
      </c>
      <c r="B1" s="18" t="s">
        <v>2139</v>
      </c>
      <c r="C1" s="18" t="s">
        <v>2140</v>
      </c>
      <c r="D1" s="18" t="s">
        <v>9</v>
      </c>
      <c r="E1" s="18" t="s">
        <v>2141</v>
      </c>
      <c r="F1" s="18" t="s">
        <v>2142</v>
      </c>
    </row>
    <row r="2" spans="1:6">
      <c r="A2" t="s">
        <v>2143</v>
      </c>
      <c r="B2" t="s">
        <v>2144</v>
      </c>
      <c r="C2" s="19"/>
      <c r="D2" s="19" t="s">
        <v>2145</v>
      </c>
      <c r="E2" t="s">
        <v>2146</v>
      </c>
      <c r="F2">
        <v>1</v>
      </c>
    </row>
    <row r="3" spans="1:6">
      <c r="A3" t="s">
        <v>2147</v>
      </c>
      <c r="B3" t="s">
        <v>2144</v>
      </c>
      <c r="C3" s="19"/>
      <c r="D3" s="19" t="s">
        <v>2148</v>
      </c>
      <c r="E3" t="s">
        <v>2149</v>
      </c>
      <c r="F3">
        <v>2</v>
      </c>
    </row>
    <row r="4" spans="1:6" ht="29.25">
      <c r="A4" t="s">
        <v>2150</v>
      </c>
      <c r="B4" t="s">
        <v>2144</v>
      </c>
      <c r="C4" s="19"/>
      <c r="D4" s="19" t="s">
        <v>2151</v>
      </c>
      <c r="E4" t="s">
        <v>2152</v>
      </c>
      <c r="F4">
        <v>3</v>
      </c>
    </row>
    <row r="5" spans="1:6">
      <c r="A5" t="s">
        <v>2153</v>
      </c>
      <c r="B5" t="s">
        <v>2144</v>
      </c>
      <c r="C5" s="19"/>
      <c r="D5" s="19" t="s">
        <v>2154</v>
      </c>
      <c r="E5" t="s">
        <v>2155</v>
      </c>
      <c r="F5">
        <v>4</v>
      </c>
    </row>
    <row r="6" spans="1:6">
      <c r="A6" t="s">
        <v>2156</v>
      </c>
      <c r="B6" t="s">
        <v>2144</v>
      </c>
      <c r="C6" s="19"/>
      <c r="D6" s="19" t="s">
        <v>2157</v>
      </c>
      <c r="E6" t="s">
        <v>2158</v>
      </c>
      <c r="F6">
        <v>5</v>
      </c>
    </row>
    <row r="7" spans="1:6">
      <c r="A7" t="s">
        <v>2159</v>
      </c>
      <c r="B7" t="s">
        <v>2144</v>
      </c>
      <c r="C7" s="19"/>
      <c r="D7" s="19" t="s">
        <v>2160</v>
      </c>
      <c r="E7" t="s">
        <v>2161</v>
      </c>
      <c r="F7">
        <v>6</v>
      </c>
    </row>
    <row r="8" spans="1:6">
      <c r="A8" t="s">
        <v>2162</v>
      </c>
      <c r="B8" t="s">
        <v>2144</v>
      </c>
      <c r="C8" s="19"/>
      <c r="D8" s="19" t="s">
        <v>2163</v>
      </c>
      <c r="E8" t="s">
        <v>2164</v>
      </c>
      <c r="F8">
        <v>7</v>
      </c>
    </row>
    <row r="9" spans="1:6">
      <c r="A9" t="s">
        <v>2165</v>
      </c>
      <c r="B9" t="s">
        <v>2144</v>
      </c>
      <c r="C9" s="19"/>
      <c r="D9" s="19" t="s">
        <v>2166</v>
      </c>
      <c r="E9" t="s">
        <v>2167</v>
      </c>
      <c r="F9">
        <v>8</v>
      </c>
    </row>
    <row r="10" spans="1:6">
      <c r="A10" t="s">
        <v>2168</v>
      </c>
      <c r="B10" t="s">
        <v>2144</v>
      </c>
      <c r="C10" s="19"/>
      <c r="D10" s="19" t="s">
        <v>2169</v>
      </c>
      <c r="E10" t="s">
        <v>1926</v>
      </c>
      <c r="F10">
        <v>9</v>
      </c>
    </row>
    <row r="11" spans="1:6">
      <c r="A11" t="s">
        <v>2170</v>
      </c>
      <c r="B11" t="s">
        <v>2144</v>
      </c>
      <c r="C11" s="19"/>
      <c r="D11" s="19" t="s">
        <v>2171</v>
      </c>
      <c r="E11" t="s">
        <v>2172</v>
      </c>
      <c r="F11">
        <v>10</v>
      </c>
    </row>
    <row r="12" spans="1:6">
      <c r="A12" t="s">
        <v>2173</v>
      </c>
      <c r="B12" t="s">
        <v>2144</v>
      </c>
      <c r="C12" s="19"/>
      <c r="D12" s="19" t="s">
        <v>2174</v>
      </c>
      <c r="E12" t="s">
        <v>2175</v>
      </c>
      <c r="F12">
        <v>11</v>
      </c>
    </row>
    <row r="13" spans="1:6">
      <c r="A13" t="s">
        <v>2176</v>
      </c>
      <c r="B13" t="s">
        <v>2144</v>
      </c>
      <c r="C13" s="19"/>
      <c r="D13" s="19" t="s">
        <v>2177</v>
      </c>
      <c r="E13" t="s">
        <v>2178</v>
      </c>
      <c r="F13">
        <v>12</v>
      </c>
    </row>
    <row r="14" spans="1:6">
      <c r="A14" t="s">
        <v>2179</v>
      </c>
      <c r="B14" t="s">
        <v>2144</v>
      </c>
      <c r="C14" s="19"/>
      <c r="D14" s="19" t="s">
        <v>2180</v>
      </c>
      <c r="E14" t="s">
        <v>2181</v>
      </c>
      <c r="F14">
        <v>13</v>
      </c>
    </row>
    <row r="15" spans="1:6">
      <c r="A15" t="s">
        <v>2182</v>
      </c>
      <c r="B15" t="s">
        <v>2144</v>
      </c>
      <c r="C15" s="19"/>
      <c r="D15" s="19" t="s">
        <v>2183</v>
      </c>
      <c r="E15" t="s">
        <v>2184</v>
      </c>
      <c r="F15">
        <v>14</v>
      </c>
    </row>
    <row r="16" spans="1:6">
      <c r="A16" t="s">
        <v>2185</v>
      </c>
      <c r="B16" t="s">
        <v>2144</v>
      </c>
      <c r="C16" s="19"/>
      <c r="D16" s="19" t="s">
        <v>2186</v>
      </c>
      <c r="E16" t="s">
        <v>2187</v>
      </c>
      <c r="F16">
        <v>15</v>
      </c>
    </row>
    <row r="17" spans="1:6">
      <c r="A17" t="s">
        <v>2188</v>
      </c>
      <c r="B17" t="s">
        <v>2144</v>
      </c>
      <c r="C17" s="19"/>
      <c r="D17" s="19" t="s">
        <v>2189</v>
      </c>
      <c r="E17" t="s">
        <v>2190</v>
      </c>
      <c r="F17">
        <v>16</v>
      </c>
    </row>
    <row r="18" spans="1:6">
      <c r="A18" t="s">
        <v>2191</v>
      </c>
      <c r="B18" t="s">
        <v>2192</v>
      </c>
      <c r="C18" s="19" t="s">
        <v>2193</v>
      </c>
      <c r="D18" s="19" t="s">
        <v>2194</v>
      </c>
      <c r="E18" t="s">
        <v>2195</v>
      </c>
      <c r="F18">
        <v>17</v>
      </c>
    </row>
    <row r="19" spans="1:6" ht="29.25">
      <c r="A19" t="s">
        <v>2196</v>
      </c>
      <c r="B19" t="s">
        <v>2192</v>
      </c>
      <c r="C19" s="19" t="s">
        <v>2193</v>
      </c>
      <c r="D19" s="19" t="s">
        <v>2197</v>
      </c>
      <c r="E19" t="s">
        <v>2198</v>
      </c>
      <c r="F19">
        <v>18</v>
      </c>
    </row>
    <row r="20" spans="1:6" ht="29.25">
      <c r="A20" t="s">
        <v>2199</v>
      </c>
      <c r="B20" t="s">
        <v>2192</v>
      </c>
      <c r="C20" s="19" t="s">
        <v>2193</v>
      </c>
      <c r="D20" s="19" t="s">
        <v>2200</v>
      </c>
      <c r="E20" t="s">
        <v>2201</v>
      </c>
      <c r="F20">
        <v>19</v>
      </c>
    </row>
    <row r="21" spans="1:6">
      <c r="A21" t="s">
        <v>2202</v>
      </c>
      <c r="B21" t="s">
        <v>2192</v>
      </c>
      <c r="C21" s="19" t="s">
        <v>2193</v>
      </c>
      <c r="D21" s="19" t="s">
        <v>2203</v>
      </c>
      <c r="E21" t="s">
        <v>2204</v>
      </c>
      <c r="F21">
        <v>20</v>
      </c>
    </row>
    <row r="22" spans="1:6">
      <c r="A22" t="s">
        <v>2205</v>
      </c>
      <c r="B22" t="s">
        <v>2192</v>
      </c>
      <c r="C22" s="19" t="s">
        <v>2193</v>
      </c>
      <c r="D22" s="19" t="s">
        <v>2206</v>
      </c>
      <c r="E22" t="s">
        <v>2207</v>
      </c>
      <c r="F22">
        <v>21</v>
      </c>
    </row>
    <row r="23" spans="1:6">
      <c r="A23" t="s">
        <v>2208</v>
      </c>
      <c r="B23" t="s">
        <v>2192</v>
      </c>
      <c r="C23" s="19" t="s">
        <v>2193</v>
      </c>
      <c r="D23" s="19" t="s">
        <v>2209</v>
      </c>
      <c r="E23" t="s">
        <v>2210</v>
      </c>
      <c r="F23">
        <v>22</v>
      </c>
    </row>
    <row r="24" spans="1:6">
      <c r="A24" t="s">
        <v>2211</v>
      </c>
      <c r="B24" t="s">
        <v>2192</v>
      </c>
      <c r="C24" s="19" t="s">
        <v>2193</v>
      </c>
      <c r="D24" s="19" t="s">
        <v>2212</v>
      </c>
      <c r="E24" t="s">
        <v>2213</v>
      </c>
      <c r="F24">
        <v>23</v>
      </c>
    </row>
    <row r="25" spans="1:6">
      <c r="A25" t="s">
        <v>2214</v>
      </c>
      <c r="B25" t="s">
        <v>2192</v>
      </c>
      <c r="C25" s="19" t="s">
        <v>2193</v>
      </c>
      <c r="D25" s="19" t="s">
        <v>2215</v>
      </c>
      <c r="E25" t="s">
        <v>2216</v>
      </c>
      <c r="F25">
        <v>24</v>
      </c>
    </row>
    <row r="26" spans="1:6" ht="29.25">
      <c r="A26" t="s">
        <v>2217</v>
      </c>
      <c r="B26" t="s">
        <v>2192</v>
      </c>
      <c r="C26" s="19" t="s">
        <v>2193</v>
      </c>
      <c r="D26" s="19" t="s">
        <v>2218</v>
      </c>
      <c r="E26" t="s">
        <v>2219</v>
      </c>
      <c r="F26">
        <v>25</v>
      </c>
    </row>
    <row r="27" spans="1:6">
      <c r="A27" t="s">
        <v>2220</v>
      </c>
      <c r="B27" t="s">
        <v>2192</v>
      </c>
      <c r="C27" s="19" t="s">
        <v>2193</v>
      </c>
      <c r="D27" s="19" t="s">
        <v>2221</v>
      </c>
      <c r="E27" t="s">
        <v>2222</v>
      </c>
      <c r="F27">
        <v>26</v>
      </c>
    </row>
    <row r="28" spans="1:6">
      <c r="A28" t="s">
        <v>2223</v>
      </c>
      <c r="B28" t="s">
        <v>2192</v>
      </c>
      <c r="C28" s="19" t="s">
        <v>2193</v>
      </c>
      <c r="D28" s="19" t="s">
        <v>2224</v>
      </c>
      <c r="E28" t="s">
        <v>2225</v>
      </c>
      <c r="F28">
        <v>27</v>
      </c>
    </row>
    <row r="29" spans="1:6" ht="29.25">
      <c r="A29" t="s">
        <v>2226</v>
      </c>
      <c r="B29" t="s">
        <v>2192</v>
      </c>
      <c r="C29" s="19" t="s">
        <v>2193</v>
      </c>
      <c r="D29" s="19" t="s">
        <v>2227</v>
      </c>
      <c r="E29" t="s">
        <v>2228</v>
      </c>
      <c r="F29">
        <v>28</v>
      </c>
    </row>
    <row r="30" spans="1:6">
      <c r="A30" t="s">
        <v>2229</v>
      </c>
      <c r="B30" t="s">
        <v>2192</v>
      </c>
      <c r="C30" s="19" t="s">
        <v>2193</v>
      </c>
      <c r="D30" s="19" t="s">
        <v>2230</v>
      </c>
      <c r="E30" t="s">
        <v>2231</v>
      </c>
      <c r="F30">
        <v>29</v>
      </c>
    </row>
    <row r="31" spans="1:6">
      <c r="A31" t="s">
        <v>2232</v>
      </c>
      <c r="B31" t="s">
        <v>2192</v>
      </c>
      <c r="C31" s="19" t="s">
        <v>2193</v>
      </c>
      <c r="D31" s="19" t="s">
        <v>2233</v>
      </c>
      <c r="E31" t="s">
        <v>2234</v>
      </c>
      <c r="F31">
        <v>30</v>
      </c>
    </row>
    <row r="32" spans="1:6">
      <c r="A32" t="s">
        <v>2235</v>
      </c>
      <c r="B32" t="s">
        <v>2192</v>
      </c>
      <c r="C32" s="19" t="s">
        <v>2193</v>
      </c>
      <c r="D32" s="19" t="s">
        <v>2236</v>
      </c>
      <c r="E32" t="s">
        <v>2237</v>
      </c>
      <c r="F32">
        <v>31</v>
      </c>
    </row>
    <row r="33" spans="1:6">
      <c r="A33" t="s">
        <v>2238</v>
      </c>
      <c r="B33" t="s">
        <v>2192</v>
      </c>
      <c r="C33" s="19" t="s">
        <v>2193</v>
      </c>
      <c r="D33" s="19" t="s">
        <v>2239</v>
      </c>
      <c r="E33" t="s">
        <v>2240</v>
      </c>
      <c r="F33">
        <v>32</v>
      </c>
    </row>
    <row r="34" spans="1:6">
      <c r="A34" t="s">
        <v>2241</v>
      </c>
      <c r="B34" t="s">
        <v>2192</v>
      </c>
      <c r="C34" s="19" t="s">
        <v>2193</v>
      </c>
      <c r="D34" s="19" t="s">
        <v>2242</v>
      </c>
      <c r="E34" t="s">
        <v>2243</v>
      </c>
      <c r="F34">
        <v>33</v>
      </c>
    </row>
    <row r="35" spans="1:6">
      <c r="A35" t="s">
        <v>2244</v>
      </c>
      <c r="B35" t="s">
        <v>2192</v>
      </c>
      <c r="C35" s="19" t="s">
        <v>2193</v>
      </c>
      <c r="D35" s="19" t="s">
        <v>2245</v>
      </c>
      <c r="E35" t="s">
        <v>2246</v>
      </c>
      <c r="F35">
        <v>34</v>
      </c>
    </row>
    <row r="36" spans="1:6">
      <c r="A36" t="s">
        <v>2247</v>
      </c>
      <c r="B36" t="s">
        <v>2192</v>
      </c>
      <c r="C36" s="19" t="s">
        <v>2193</v>
      </c>
      <c r="D36" s="19" t="s">
        <v>2248</v>
      </c>
      <c r="E36" t="s">
        <v>2249</v>
      </c>
      <c r="F36">
        <v>35</v>
      </c>
    </row>
    <row r="37" spans="1:6">
      <c r="A37" t="s">
        <v>2250</v>
      </c>
      <c r="B37" t="s">
        <v>2192</v>
      </c>
      <c r="C37" s="19" t="s">
        <v>2193</v>
      </c>
      <c r="D37" s="19" t="s">
        <v>2251</v>
      </c>
      <c r="E37" t="s">
        <v>2252</v>
      </c>
      <c r="F37">
        <v>36</v>
      </c>
    </row>
    <row r="38" spans="1:6">
      <c r="A38" t="s">
        <v>2253</v>
      </c>
      <c r="B38" t="s">
        <v>2192</v>
      </c>
      <c r="C38" s="19" t="s">
        <v>2193</v>
      </c>
      <c r="D38" s="19" t="s">
        <v>2254</v>
      </c>
      <c r="E38" t="s">
        <v>2255</v>
      </c>
      <c r="F38">
        <v>37</v>
      </c>
    </row>
    <row r="39" spans="1:6">
      <c r="A39" t="s">
        <v>2256</v>
      </c>
      <c r="B39" t="s">
        <v>2192</v>
      </c>
      <c r="C39" s="19" t="s">
        <v>2193</v>
      </c>
      <c r="D39" s="19" t="s">
        <v>2257</v>
      </c>
      <c r="E39" t="s">
        <v>2258</v>
      </c>
      <c r="F39">
        <v>38</v>
      </c>
    </row>
    <row r="40" spans="1:6" ht="43.5">
      <c r="A40" t="s">
        <v>2259</v>
      </c>
      <c r="B40" t="s">
        <v>2192</v>
      </c>
      <c r="C40" s="19" t="s">
        <v>2193</v>
      </c>
      <c r="D40" s="19" t="s">
        <v>2260</v>
      </c>
      <c r="E40" t="s">
        <v>2261</v>
      </c>
      <c r="F40">
        <v>39</v>
      </c>
    </row>
    <row r="41" spans="1:6">
      <c r="A41" t="s">
        <v>2262</v>
      </c>
      <c r="B41" t="s">
        <v>2192</v>
      </c>
      <c r="C41" s="19" t="s">
        <v>2263</v>
      </c>
      <c r="D41" s="19" t="s">
        <v>2264</v>
      </c>
      <c r="E41" t="s">
        <v>2265</v>
      </c>
      <c r="F41">
        <v>40</v>
      </c>
    </row>
    <row r="42" spans="1:6">
      <c r="A42" t="s">
        <v>2266</v>
      </c>
      <c r="B42" t="s">
        <v>2192</v>
      </c>
      <c r="C42" s="19" t="s">
        <v>2263</v>
      </c>
      <c r="D42" s="19" t="s">
        <v>2267</v>
      </c>
      <c r="E42" t="s">
        <v>2268</v>
      </c>
      <c r="F42">
        <v>41</v>
      </c>
    </row>
    <row r="43" spans="1:6" ht="29.25">
      <c r="A43" t="s">
        <v>2269</v>
      </c>
      <c r="B43" t="s">
        <v>2192</v>
      </c>
      <c r="C43" s="19" t="s">
        <v>2263</v>
      </c>
      <c r="D43" s="19" t="s">
        <v>2270</v>
      </c>
      <c r="E43" t="s">
        <v>2271</v>
      </c>
      <c r="F43">
        <v>42</v>
      </c>
    </row>
    <row r="44" spans="1:6">
      <c r="A44" t="s">
        <v>2272</v>
      </c>
      <c r="B44" t="s">
        <v>2192</v>
      </c>
      <c r="C44" s="19" t="s">
        <v>2263</v>
      </c>
      <c r="D44" s="19" t="s">
        <v>2273</v>
      </c>
      <c r="E44" t="s">
        <v>2274</v>
      </c>
      <c r="F44">
        <v>43</v>
      </c>
    </row>
    <row r="45" spans="1:6">
      <c r="A45" t="s">
        <v>2275</v>
      </c>
      <c r="B45" t="s">
        <v>2192</v>
      </c>
      <c r="C45" s="19" t="s">
        <v>2263</v>
      </c>
      <c r="D45" s="19" t="s">
        <v>2276</v>
      </c>
      <c r="E45" t="s">
        <v>289</v>
      </c>
      <c r="F45">
        <v>44</v>
      </c>
    </row>
    <row r="46" spans="1:6">
      <c r="A46" t="s">
        <v>2277</v>
      </c>
      <c r="B46" t="s">
        <v>2192</v>
      </c>
      <c r="C46" s="19" t="s">
        <v>2263</v>
      </c>
      <c r="D46" s="19" t="s">
        <v>2278</v>
      </c>
      <c r="E46" t="s">
        <v>2279</v>
      </c>
      <c r="F46">
        <v>45</v>
      </c>
    </row>
    <row r="47" spans="1:6">
      <c r="A47" t="s">
        <v>2280</v>
      </c>
      <c r="B47" t="s">
        <v>2192</v>
      </c>
      <c r="C47" s="19" t="s">
        <v>2263</v>
      </c>
      <c r="D47" s="19" t="s">
        <v>2281</v>
      </c>
      <c r="E47" t="s">
        <v>1455</v>
      </c>
      <c r="F47">
        <v>46</v>
      </c>
    </row>
    <row r="48" spans="1:6">
      <c r="A48" t="s">
        <v>2282</v>
      </c>
      <c r="B48" t="s">
        <v>2192</v>
      </c>
      <c r="C48" s="19" t="s">
        <v>2263</v>
      </c>
      <c r="D48" s="19" t="s">
        <v>2283</v>
      </c>
      <c r="E48" t="s">
        <v>2284</v>
      </c>
      <c r="F48">
        <v>47</v>
      </c>
    </row>
    <row r="49" spans="1:6" ht="29.25">
      <c r="A49" t="s">
        <v>2285</v>
      </c>
      <c r="B49" t="s">
        <v>2192</v>
      </c>
      <c r="C49" s="19" t="s">
        <v>2263</v>
      </c>
      <c r="D49" s="19" t="s">
        <v>2286</v>
      </c>
      <c r="E49" t="s">
        <v>2287</v>
      </c>
      <c r="F49">
        <v>48</v>
      </c>
    </row>
    <row r="50" spans="1:6">
      <c r="A50" t="s">
        <v>2288</v>
      </c>
      <c r="B50" t="s">
        <v>2192</v>
      </c>
      <c r="C50" s="19" t="s">
        <v>2263</v>
      </c>
      <c r="D50" s="19" t="s">
        <v>2289</v>
      </c>
      <c r="E50" t="s">
        <v>2290</v>
      </c>
      <c r="F50">
        <v>49</v>
      </c>
    </row>
    <row r="51" spans="1:6">
      <c r="A51" t="s">
        <v>2291</v>
      </c>
      <c r="B51" t="s">
        <v>2192</v>
      </c>
      <c r="C51" s="19" t="s">
        <v>2263</v>
      </c>
      <c r="D51" s="19" t="s">
        <v>2292</v>
      </c>
      <c r="E51" t="s">
        <v>148</v>
      </c>
      <c r="F51">
        <v>50</v>
      </c>
    </row>
    <row r="52" spans="1:6">
      <c r="A52" t="s">
        <v>2293</v>
      </c>
      <c r="B52" t="s">
        <v>2192</v>
      </c>
      <c r="C52" s="19" t="s">
        <v>2263</v>
      </c>
      <c r="D52" s="19" t="s">
        <v>2294</v>
      </c>
      <c r="E52" t="s">
        <v>2295</v>
      </c>
      <c r="F52">
        <v>51</v>
      </c>
    </row>
    <row r="53" spans="1:6">
      <c r="A53" t="s">
        <v>2296</v>
      </c>
      <c r="B53" t="s">
        <v>2192</v>
      </c>
      <c r="C53" s="19" t="s">
        <v>2297</v>
      </c>
      <c r="D53" s="19" t="s">
        <v>2298</v>
      </c>
      <c r="E53" t="s">
        <v>2299</v>
      </c>
      <c r="F53">
        <v>52</v>
      </c>
    </row>
    <row r="54" spans="1:6">
      <c r="A54" t="s">
        <v>2300</v>
      </c>
      <c r="B54" t="s">
        <v>2192</v>
      </c>
      <c r="C54" s="19" t="s">
        <v>2297</v>
      </c>
      <c r="D54" s="19" t="s">
        <v>2301</v>
      </c>
      <c r="E54" t="s">
        <v>2302</v>
      </c>
      <c r="F54">
        <v>53</v>
      </c>
    </row>
    <row r="55" spans="1:6">
      <c r="A55" t="s">
        <v>2303</v>
      </c>
      <c r="B55" t="s">
        <v>2192</v>
      </c>
      <c r="C55" s="19" t="s">
        <v>2297</v>
      </c>
      <c r="D55" s="19" t="s">
        <v>2304</v>
      </c>
      <c r="E55" t="s">
        <v>2305</v>
      </c>
      <c r="F55">
        <v>54</v>
      </c>
    </row>
    <row r="56" spans="1:6" ht="29.25">
      <c r="A56" t="s">
        <v>2306</v>
      </c>
      <c r="B56" t="s">
        <v>2192</v>
      </c>
      <c r="C56" s="19" t="s">
        <v>2297</v>
      </c>
      <c r="D56" s="19" t="s">
        <v>2307</v>
      </c>
      <c r="E56" t="s">
        <v>2308</v>
      </c>
      <c r="F56">
        <v>55</v>
      </c>
    </row>
    <row r="57" spans="1:6">
      <c r="A57" t="s">
        <v>2309</v>
      </c>
      <c r="B57" t="s">
        <v>2192</v>
      </c>
      <c r="C57" s="19" t="s">
        <v>2297</v>
      </c>
      <c r="D57" s="19" t="s">
        <v>2310</v>
      </c>
      <c r="E57" t="s">
        <v>2311</v>
      </c>
      <c r="F57">
        <v>56</v>
      </c>
    </row>
    <row r="58" spans="1:6">
      <c r="A58" t="s">
        <v>2312</v>
      </c>
      <c r="B58" t="s">
        <v>2192</v>
      </c>
      <c r="C58" s="19" t="s">
        <v>2297</v>
      </c>
      <c r="D58" s="19" t="s">
        <v>2313</v>
      </c>
      <c r="E58" t="s">
        <v>2314</v>
      </c>
      <c r="F58">
        <v>57</v>
      </c>
    </row>
    <row r="59" spans="1:6">
      <c r="A59" t="s">
        <v>2315</v>
      </c>
      <c r="B59" t="s">
        <v>2192</v>
      </c>
      <c r="C59" s="19" t="s">
        <v>2297</v>
      </c>
      <c r="D59" s="19" t="s">
        <v>2316</v>
      </c>
      <c r="E59" t="s">
        <v>834</v>
      </c>
      <c r="F59">
        <v>58</v>
      </c>
    </row>
    <row r="60" spans="1:6">
      <c r="A60" t="s">
        <v>2317</v>
      </c>
      <c r="B60" t="s">
        <v>2192</v>
      </c>
      <c r="C60" s="19" t="s">
        <v>2297</v>
      </c>
      <c r="D60" s="19" t="s">
        <v>2318</v>
      </c>
      <c r="E60" t="s">
        <v>1887</v>
      </c>
      <c r="F60">
        <v>59</v>
      </c>
    </row>
    <row r="61" spans="1:6">
      <c r="A61" t="s">
        <v>2319</v>
      </c>
      <c r="B61" t="s">
        <v>2192</v>
      </c>
      <c r="C61" s="19" t="s">
        <v>2297</v>
      </c>
      <c r="D61" s="19" t="s">
        <v>2320</v>
      </c>
      <c r="E61" t="s">
        <v>2321</v>
      </c>
      <c r="F61">
        <v>60</v>
      </c>
    </row>
    <row r="62" spans="1:6">
      <c r="A62" t="s">
        <v>2322</v>
      </c>
      <c r="B62" t="s">
        <v>2192</v>
      </c>
      <c r="C62" s="19" t="s">
        <v>2297</v>
      </c>
      <c r="D62" s="19" t="s">
        <v>2323</v>
      </c>
      <c r="E62" t="s">
        <v>2324</v>
      </c>
      <c r="F62">
        <v>61</v>
      </c>
    </row>
    <row r="63" spans="1:6">
      <c r="A63" t="s">
        <v>2325</v>
      </c>
      <c r="B63" t="s">
        <v>2192</v>
      </c>
      <c r="C63" s="19" t="s">
        <v>2326</v>
      </c>
      <c r="D63" s="19" t="s">
        <v>2327</v>
      </c>
      <c r="E63" t="s">
        <v>2328</v>
      </c>
      <c r="F63">
        <v>62</v>
      </c>
    </row>
    <row r="64" spans="1:6">
      <c r="A64" t="s">
        <v>2329</v>
      </c>
      <c r="B64" t="s">
        <v>2192</v>
      </c>
      <c r="C64" s="19" t="s">
        <v>2326</v>
      </c>
      <c r="D64" s="19" t="s">
        <v>2330</v>
      </c>
      <c r="E64" t="s">
        <v>2331</v>
      </c>
      <c r="F64">
        <v>63</v>
      </c>
    </row>
    <row r="65" spans="1:6">
      <c r="A65" t="s">
        <v>2332</v>
      </c>
      <c r="B65" t="s">
        <v>2192</v>
      </c>
      <c r="C65" s="19" t="s">
        <v>2326</v>
      </c>
      <c r="D65" s="19" t="s">
        <v>2333</v>
      </c>
      <c r="E65" t="s">
        <v>2334</v>
      </c>
      <c r="F65">
        <v>64</v>
      </c>
    </row>
    <row r="66" spans="1:6" ht="29.25">
      <c r="A66" t="s">
        <v>2335</v>
      </c>
      <c r="B66" t="s">
        <v>2192</v>
      </c>
      <c r="C66" s="19" t="s">
        <v>2326</v>
      </c>
      <c r="D66" s="19" t="s">
        <v>2336</v>
      </c>
      <c r="E66" t="s">
        <v>2337</v>
      </c>
      <c r="F66">
        <v>65</v>
      </c>
    </row>
    <row r="67" spans="1:6" ht="43.5">
      <c r="A67" t="s">
        <v>2338</v>
      </c>
      <c r="B67" t="s">
        <v>2192</v>
      </c>
      <c r="C67" s="19" t="s">
        <v>2326</v>
      </c>
      <c r="D67" s="19" t="s">
        <v>2339</v>
      </c>
      <c r="E67" t="s">
        <v>2340</v>
      </c>
      <c r="F67">
        <v>66</v>
      </c>
    </row>
    <row r="68" spans="1:6">
      <c r="A68" t="s">
        <v>2341</v>
      </c>
      <c r="B68" t="s">
        <v>2192</v>
      </c>
      <c r="C68" s="19" t="s">
        <v>2326</v>
      </c>
      <c r="D68" s="19" t="s">
        <v>2342</v>
      </c>
      <c r="E68" t="s">
        <v>2343</v>
      </c>
      <c r="F68">
        <v>67</v>
      </c>
    </row>
    <row r="69" spans="1:6">
      <c r="A69" t="s">
        <v>2344</v>
      </c>
      <c r="B69" t="s">
        <v>2192</v>
      </c>
      <c r="C69" s="19" t="s">
        <v>2326</v>
      </c>
      <c r="D69" s="19" t="s">
        <v>2345</v>
      </c>
      <c r="E69" t="s">
        <v>2346</v>
      </c>
      <c r="F69">
        <v>68</v>
      </c>
    </row>
    <row r="70" spans="1:6" ht="29.25">
      <c r="A70" t="s">
        <v>2347</v>
      </c>
      <c r="B70" t="s">
        <v>2192</v>
      </c>
      <c r="C70" s="19" t="s">
        <v>2326</v>
      </c>
      <c r="D70" s="19" t="s">
        <v>2348</v>
      </c>
      <c r="E70" t="s">
        <v>2349</v>
      </c>
      <c r="F70">
        <v>69</v>
      </c>
    </row>
    <row r="71" spans="1:6">
      <c r="A71" t="s">
        <v>2350</v>
      </c>
      <c r="B71" t="s">
        <v>2192</v>
      </c>
      <c r="C71" s="19" t="s">
        <v>2326</v>
      </c>
      <c r="D71" s="19" t="s">
        <v>2351</v>
      </c>
      <c r="E71" t="s">
        <v>2352</v>
      </c>
      <c r="F71">
        <v>70</v>
      </c>
    </row>
    <row r="72" spans="1:6">
      <c r="A72" t="s">
        <v>2353</v>
      </c>
      <c r="B72" t="s">
        <v>2192</v>
      </c>
      <c r="C72" s="19" t="s">
        <v>2326</v>
      </c>
      <c r="D72" s="19" t="s">
        <v>2354</v>
      </c>
      <c r="E72" t="s">
        <v>2355</v>
      </c>
      <c r="F72">
        <v>71</v>
      </c>
    </row>
    <row r="73" spans="1:6">
      <c r="A73" t="s">
        <v>2356</v>
      </c>
      <c r="B73" t="s">
        <v>2192</v>
      </c>
      <c r="C73" s="19" t="s">
        <v>2326</v>
      </c>
      <c r="D73" s="19" t="s">
        <v>2357</v>
      </c>
      <c r="E73" t="s">
        <v>2358</v>
      </c>
      <c r="F73">
        <v>72</v>
      </c>
    </row>
    <row r="74" spans="1:6">
      <c r="A74" t="s">
        <v>2359</v>
      </c>
      <c r="B74" t="s">
        <v>2192</v>
      </c>
      <c r="C74" s="19" t="s">
        <v>2326</v>
      </c>
      <c r="D74" s="19" t="s">
        <v>2360</v>
      </c>
      <c r="E74" t="s">
        <v>2361</v>
      </c>
      <c r="F74">
        <v>73</v>
      </c>
    </row>
    <row r="75" spans="1:6">
      <c r="A75" t="s">
        <v>2362</v>
      </c>
      <c r="B75" t="s">
        <v>2192</v>
      </c>
      <c r="C75" s="19" t="s">
        <v>2326</v>
      </c>
      <c r="D75" s="19" t="s">
        <v>2363</v>
      </c>
      <c r="E75" t="s">
        <v>2364</v>
      </c>
      <c r="F75">
        <v>74</v>
      </c>
    </row>
    <row r="76" spans="1:6">
      <c r="A76" t="s">
        <v>2365</v>
      </c>
      <c r="B76" t="s">
        <v>2192</v>
      </c>
      <c r="C76" s="19" t="s">
        <v>2326</v>
      </c>
      <c r="D76" s="19" t="s">
        <v>2366</v>
      </c>
      <c r="E76" t="s">
        <v>2367</v>
      </c>
      <c r="F76">
        <v>75</v>
      </c>
    </row>
    <row r="77" spans="1:6">
      <c r="A77" t="s">
        <v>2368</v>
      </c>
      <c r="B77" t="s">
        <v>2192</v>
      </c>
      <c r="C77" s="19" t="s">
        <v>2326</v>
      </c>
      <c r="D77" s="19" t="s">
        <v>2369</v>
      </c>
      <c r="E77" t="s">
        <v>2370</v>
      </c>
      <c r="F77">
        <v>76</v>
      </c>
    </row>
    <row r="78" spans="1:6">
      <c r="A78" t="s">
        <v>2371</v>
      </c>
      <c r="B78" t="s">
        <v>2192</v>
      </c>
      <c r="C78" s="19" t="s">
        <v>2326</v>
      </c>
      <c r="D78" s="19" t="s">
        <v>2372</v>
      </c>
      <c r="E78" t="s">
        <v>2373</v>
      </c>
      <c r="F78">
        <v>77</v>
      </c>
    </row>
    <row r="79" spans="1:6">
      <c r="A79" t="s">
        <v>2374</v>
      </c>
      <c r="B79" t="s">
        <v>2192</v>
      </c>
      <c r="C79" s="19" t="s">
        <v>2326</v>
      </c>
      <c r="D79" s="19" t="s">
        <v>2375</v>
      </c>
      <c r="E79" t="s">
        <v>2376</v>
      </c>
      <c r="F79">
        <v>78</v>
      </c>
    </row>
    <row r="80" spans="1:6">
      <c r="A80" t="s">
        <v>2377</v>
      </c>
      <c r="B80" t="s">
        <v>2192</v>
      </c>
      <c r="C80" s="19" t="s">
        <v>2326</v>
      </c>
      <c r="D80" s="19" t="s">
        <v>2378</v>
      </c>
      <c r="E80" t="s">
        <v>2379</v>
      </c>
      <c r="F80">
        <v>79</v>
      </c>
    </row>
    <row r="81" spans="1:6">
      <c r="A81" t="s">
        <v>2380</v>
      </c>
      <c r="B81" t="s">
        <v>2192</v>
      </c>
      <c r="C81" s="19" t="s">
        <v>2326</v>
      </c>
      <c r="D81" s="19" t="s">
        <v>2381</v>
      </c>
      <c r="E81" t="s">
        <v>2382</v>
      </c>
      <c r="F81">
        <v>80</v>
      </c>
    </row>
    <row r="82" spans="1:6">
      <c r="A82" t="s">
        <v>2383</v>
      </c>
      <c r="B82" t="s">
        <v>2192</v>
      </c>
      <c r="C82" s="19" t="s">
        <v>2384</v>
      </c>
      <c r="D82" s="19" t="s">
        <v>2385</v>
      </c>
      <c r="E82" t="s">
        <v>2386</v>
      </c>
      <c r="F82">
        <v>81</v>
      </c>
    </row>
    <row r="83" spans="1:6">
      <c r="A83" t="s">
        <v>2387</v>
      </c>
      <c r="B83" t="s">
        <v>2192</v>
      </c>
      <c r="C83" s="19" t="s">
        <v>2384</v>
      </c>
      <c r="D83" s="19" t="s">
        <v>2388</v>
      </c>
      <c r="E83" t="s">
        <v>2389</v>
      </c>
      <c r="F83">
        <v>82</v>
      </c>
    </row>
    <row r="84" spans="1:6">
      <c r="A84" t="s">
        <v>2390</v>
      </c>
      <c r="B84" t="s">
        <v>2192</v>
      </c>
      <c r="C84" s="19" t="s">
        <v>2384</v>
      </c>
      <c r="D84" s="19" t="s">
        <v>2391</v>
      </c>
      <c r="E84" t="s">
        <v>2392</v>
      </c>
      <c r="F84">
        <v>83</v>
      </c>
    </row>
    <row r="85" spans="1:6">
      <c r="A85" t="s">
        <v>2393</v>
      </c>
      <c r="B85" t="s">
        <v>2192</v>
      </c>
      <c r="C85" s="19" t="s">
        <v>2384</v>
      </c>
      <c r="D85" s="19" t="s">
        <v>2394</v>
      </c>
      <c r="E85" t="s">
        <v>2395</v>
      </c>
      <c r="F85">
        <v>84</v>
      </c>
    </row>
    <row r="86" spans="1:6" ht="29.25">
      <c r="A86" t="s">
        <v>2396</v>
      </c>
      <c r="B86" t="s">
        <v>2192</v>
      </c>
      <c r="C86" s="19" t="s">
        <v>2384</v>
      </c>
      <c r="D86" s="19" t="s">
        <v>2397</v>
      </c>
      <c r="E86" t="s">
        <v>2398</v>
      </c>
      <c r="F86">
        <v>85</v>
      </c>
    </row>
    <row r="87" spans="1:6" ht="29.25">
      <c r="A87" t="s">
        <v>2399</v>
      </c>
      <c r="B87" t="s">
        <v>2192</v>
      </c>
      <c r="C87" s="19" t="s">
        <v>2384</v>
      </c>
      <c r="D87" s="19" t="s">
        <v>2400</v>
      </c>
      <c r="E87" t="s">
        <v>2401</v>
      </c>
      <c r="F87">
        <v>86</v>
      </c>
    </row>
    <row r="88" spans="1:6" ht="29.25">
      <c r="A88" t="s">
        <v>2402</v>
      </c>
      <c r="B88" t="s">
        <v>2192</v>
      </c>
      <c r="C88" s="19" t="s">
        <v>2403</v>
      </c>
      <c r="D88" s="19" t="s">
        <v>2404</v>
      </c>
      <c r="E88" t="s">
        <v>2405</v>
      </c>
      <c r="F88">
        <v>87</v>
      </c>
    </row>
    <row r="89" spans="1:6">
      <c r="A89" t="s">
        <v>2406</v>
      </c>
      <c r="B89" t="s">
        <v>2192</v>
      </c>
      <c r="C89" s="19" t="s">
        <v>2403</v>
      </c>
      <c r="D89" s="19" t="s">
        <v>2407</v>
      </c>
      <c r="E89" t="s">
        <v>2408</v>
      </c>
      <c r="F89">
        <v>88</v>
      </c>
    </row>
    <row r="90" spans="1:6">
      <c r="A90" t="s">
        <v>2409</v>
      </c>
      <c r="B90" t="s">
        <v>2192</v>
      </c>
      <c r="C90" s="19" t="s">
        <v>2403</v>
      </c>
      <c r="D90" s="19" t="s">
        <v>2410</v>
      </c>
      <c r="E90" t="s">
        <v>2411</v>
      </c>
      <c r="F90">
        <v>89</v>
      </c>
    </row>
    <row r="91" spans="1:6" ht="29.25">
      <c r="A91" t="s">
        <v>2412</v>
      </c>
      <c r="B91" t="s">
        <v>2192</v>
      </c>
      <c r="C91" s="19" t="s">
        <v>2403</v>
      </c>
      <c r="D91" s="19" t="s">
        <v>2413</v>
      </c>
      <c r="E91" t="s">
        <v>2414</v>
      </c>
      <c r="F91">
        <v>90</v>
      </c>
    </row>
    <row r="92" spans="1:6">
      <c r="A92" t="s">
        <v>2415</v>
      </c>
      <c r="B92" t="s">
        <v>2192</v>
      </c>
      <c r="C92" s="19" t="s">
        <v>2403</v>
      </c>
      <c r="D92" s="19" t="s">
        <v>2416</v>
      </c>
      <c r="E92" t="s">
        <v>1886</v>
      </c>
      <c r="F92">
        <v>91</v>
      </c>
    </row>
    <row r="93" spans="1:6">
      <c r="A93" t="s">
        <v>2417</v>
      </c>
      <c r="B93" t="s">
        <v>2192</v>
      </c>
      <c r="C93" s="19" t="s">
        <v>2403</v>
      </c>
      <c r="D93" s="19" t="s">
        <v>2418</v>
      </c>
      <c r="E93" t="s">
        <v>2419</v>
      </c>
      <c r="F93">
        <v>92</v>
      </c>
    </row>
    <row r="94" spans="1:6" ht="43.5">
      <c r="A94" t="s">
        <v>2420</v>
      </c>
      <c r="B94" t="s">
        <v>2192</v>
      </c>
      <c r="C94" s="19" t="s">
        <v>2403</v>
      </c>
      <c r="D94" s="19" t="s">
        <v>2421</v>
      </c>
      <c r="E94" t="s">
        <v>2422</v>
      </c>
      <c r="F94">
        <v>93</v>
      </c>
    </row>
    <row r="95" spans="1:6">
      <c r="A95" t="s">
        <v>2423</v>
      </c>
      <c r="B95" t="s">
        <v>2192</v>
      </c>
      <c r="C95" s="19" t="s">
        <v>2403</v>
      </c>
      <c r="D95" s="19" t="s">
        <v>2424</v>
      </c>
      <c r="E95" t="s">
        <v>2425</v>
      </c>
      <c r="F95">
        <v>94</v>
      </c>
    </row>
    <row r="96" spans="1:6" ht="29.25">
      <c r="A96" t="s">
        <v>2426</v>
      </c>
      <c r="B96" t="s">
        <v>2192</v>
      </c>
      <c r="C96" s="19" t="s">
        <v>2403</v>
      </c>
      <c r="D96" s="19" t="s">
        <v>2427</v>
      </c>
      <c r="E96" t="s">
        <v>2428</v>
      </c>
      <c r="F96">
        <v>95</v>
      </c>
    </row>
    <row r="97" spans="1:6">
      <c r="A97" t="s">
        <v>2429</v>
      </c>
      <c r="B97" t="s">
        <v>2192</v>
      </c>
      <c r="C97" s="19" t="s">
        <v>2430</v>
      </c>
      <c r="D97" s="19" t="s">
        <v>2431</v>
      </c>
      <c r="E97" t="s">
        <v>2432</v>
      </c>
      <c r="F97">
        <v>96</v>
      </c>
    </row>
    <row r="98" spans="1:6">
      <c r="A98" t="s">
        <v>2433</v>
      </c>
      <c r="B98" t="s">
        <v>2192</v>
      </c>
      <c r="C98" s="19" t="s">
        <v>2430</v>
      </c>
      <c r="D98" s="19" t="s">
        <v>2434</v>
      </c>
      <c r="E98" t="s">
        <v>2435</v>
      </c>
      <c r="F98">
        <v>97</v>
      </c>
    </row>
    <row r="99" spans="1:6" ht="29.25">
      <c r="A99" t="s">
        <v>2436</v>
      </c>
      <c r="B99" t="s">
        <v>2192</v>
      </c>
      <c r="C99" s="19" t="s">
        <v>2430</v>
      </c>
      <c r="D99" s="19" t="s">
        <v>2437</v>
      </c>
      <c r="E99" t="s">
        <v>2438</v>
      </c>
      <c r="F99">
        <v>98</v>
      </c>
    </row>
    <row r="100" spans="1:6">
      <c r="A100" t="s">
        <v>2439</v>
      </c>
      <c r="B100" t="s">
        <v>2192</v>
      </c>
      <c r="C100" s="19" t="s">
        <v>2430</v>
      </c>
      <c r="D100" s="19" t="s">
        <v>2440</v>
      </c>
      <c r="E100" t="s">
        <v>2441</v>
      </c>
      <c r="F100">
        <v>99</v>
      </c>
    </row>
    <row r="101" spans="1:6">
      <c r="A101" t="s">
        <v>2442</v>
      </c>
      <c r="B101" t="s">
        <v>2192</v>
      </c>
      <c r="C101" s="19" t="s">
        <v>2430</v>
      </c>
      <c r="D101" s="19" t="s">
        <v>2443</v>
      </c>
      <c r="E101" t="s">
        <v>2444</v>
      </c>
      <c r="F101">
        <v>100</v>
      </c>
    </row>
    <row r="102" spans="1:6">
      <c r="A102" t="s">
        <v>2445</v>
      </c>
      <c r="B102" t="s">
        <v>2192</v>
      </c>
      <c r="C102" s="19" t="s">
        <v>2430</v>
      </c>
      <c r="D102" s="19" t="s">
        <v>2446</v>
      </c>
      <c r="E102" t="s">
        <v>108</v>
      </c>
      <c r="F102">
        <v>101</v>
      </c>
    </row>
    <row r="103" spans="1:6" ht="29.25">
      <c r="A103" t="s">
        <v>2447</v>
      </c>
      <c r="B103" t="s">
        <v>2192</v>
      </c>
      <c r="C103" s="19" t="s">
        <v>2430</v>
      </c>
      <c r="D103" s="19" t="s">
        <v>2448</v>
      </c>
      <c r="E103" t="s">
        <v>2449</v>
      </c>
      <c r="F103">
        <v>102</v>
      </c>
    </row>
    <row r="104" spans="1:6">
      <c r="A104" t="s">
        <v>2450</v>
      </c>
      <c r="B104" t="s">
        <v>2192</v>
      </c>
      <c r="C104" s="19" t="s">
        <v>2430</v>
      </c>
      <c r="D104" s="19" t="s">
        <v>2451</v>
      </c>
      <c r="E104" t="s">
        <v>2452</v>
      </c>
      <c r="F104">
        <v>103</v>
      </c>
    </row>
    <row r="105" spans="1:6" ht="29.25">
      <c r="A105" t="s">
        <v>2453</v>
      </c>
      <c r="B105" t="s">
        <v>2192</v>
      </c>
      <c r="C105" s="19" t="s">
        <v>2430</v>
      </c>
      <c r="D105" s="19" t="s">
        <v>2454</v>
      </c>
      <c r="E105" t="s">
        <v>2455</v>
      </c>
      <c r="F105">
        <v>104</v>
      </c>
    </row>
    <row r="106" spans="1:6">
      <c r="A106" t="s">
        <v>2456</v>
      </c>
      <c r="B106" t="s">
        <v>2192</v>
      </c>
      <c r="C106" s="19" t="s">
        <v>2430</v>
      </c>
      <c r="D106" s="19" t="s">
        <v>2457</v>
      </c>
      <c r="E106" t="s">
        <v>2458</v>
      </c>
      <c r="F106">
        <v>105</v>
      </c>
    </row>
    <row r="107" spans="1:6">
      <c r="A107" t="s">
        <v>2459</v>
      </c>
      <c r="B107" t="s">
        <v>2192</v>
      </c>
      <c r="C107" s="19" t="s">
        <v>2460</v>
      </c>
      <c r="D107" s="19" t="s">
        <v>2461</v>
      </c>
      <c r="E107" t="s">
        <v>2462</v>
      </c>
      <c r="F107">
        <v>106</v>
      </c>
    </row>
    <row r="108" spans="1:6">
      <c r="A108" t="s">
        <v>2463</v>
      </c>
      <c r="B108" t="s">
        <v>2192</v>
      </c>
      <c r="C108" s="19" t="s">
        <v>2460</v>
      </c>
      <c r="D108" s="19" t="s">
        <v>2464</v>
      </c>
      <c r="E108" t="s">
        <v>2465</v>
      </c>
      <c r="F108">
        <v>107</v>
      </c>
    </row>
    <row r="109" spans="1:6">
      <c r="A109" t="s">
        <v>2466</v>
      </c>
      <c r="B109" t="s">
        <v>2192</v>
      </c>
      <c r="C109" s="19" t="s">
        <v>2460</v>
      </c>
      <c r="D109" s="19" t="s">
        <v>2467</v>
      </c>
      <c r="E109" t="s">
        <v>2468</v>
      </c>
      <c r="F109">
        <v>108</v>
      </c>
    </row>
    <row r="110" spans="1:6">
      <c r="A110" t="s">
        <v>2469</v>
      </c>
      <c r="B110" t="s">
        <v>2192</v>
      </c>
      <c r="C110" s="19" t="s">
        <v>2460</v>
      </c>
      <c r="D110" s="19" t="s">
        <v>2470</v>
      </c>
      <c r="E110" t="s">
        <v>2471</v>
      </c>
      <c r="F110">
        <v>109</v>
      </c>
    </row>
    <row r="111" spans="1:6">
      <c r="A111" t="s">
        <v>2472</v>
      </c>
      <c r="B111" t="s">
        <v>2192</v>
      </c>
      <c r="C111" s="19" t="s">
        <v>2460</v>
      </c>
      <c r="D111" s="19" t="s">
        <v>2473</v>
      </c>
      <c r="E111" t="s">
        <v>2474</v>
      </c>
      <c r="F111">
        <v>110</v>
      </c>
    </row>
    <row r="112" spans="1:6">
      <c r="A112" t="s">
        <v>2475</v>
      </c>
      <c r="B112" t="s">
        <v>2192</v>
      </c>
      <c r="C112" s="19" t="s">
        <v>2460</v>
      </c>
      <c r="D112" s="19" t="s">
        <v>2476</v>
      </c>
      <c r="E112" t="s">
        <v>2477</v>
      </c>
      <c r="F112">
        <v>111</v>
      </c>
    </row>
    <row r="113" spans="1:6">
      <c r="A113" t="s">
        <v>2478</v>
      </c>
      <c r="B113" t="s">
        <v>2192</v>
      </c>
      <c r="C113" s="19" t="s">
        <v>2460</v>
      </c>
      <c r="D113" s="19" t="s">
        <v>2479</v>
      </c>
      <c r="E113" t="s">
        <v>2480</v>
      </c>
      <c r="F113">
        <v>112</v>
      </c>
    </row>
    <row r="114" spans="1:6">
      <c r="A114" t="s">
        <v>2481</v>
      </c>
      <c r="B114" t="s">
        <v>2192</v>
      </c>
      <c r="C114" s="19" t="s">
        <v>2460</v>
      </c>
      <c r="D114" s="19" t="s">
        <v>2482</v>
      </c>
      <c r="E114" t="s">
        <v>2483</v>
      </c>
      <c r="F114">
        <v>113</v>
      </c>
    </row>
    <row r="115" spans="1:6">
      <c r="A115" t="s">
        <v>2484</v>
      </c>
      <c r="B115" t="s">
        <v>2192</v>
      </c>
      <c r="C115" s="19" t="s">
        <v>2460</v>
      </c>
      <c r="D115" s="19" t="s">
        <v>2485</v>
      </c>
      <c r="E115" t="s">
        <v>2486</v>
      </c>
      <c r="F115">
        <v>114</v>
      </c>
    </row>
    <row r="116" spans="1:6">
      <c r="A116" t="s">
        <v>2487</v>
      </c>
      <c r="B116" t="s">
        <v>2192</v>
      </c>
      <c r="C116" s="19" t="s">
        <v>2460</v>
      </c>
      <c r="D116" s="19" t="s">
        <v>2488</v>
      </c>
      <c r="E116" t="s">
        <v>2489</v>
      </c>
      <c r="F116">
        <v>115</v>
      </c>
    </row>
    <row r="117" spans="1:6">
      <c r="A117" t="s">
        <v>2490</v>
      </c>
      <c r="B117" t="s">
        <v>2192</v>
      </c>
      <c r="C117" s="19" t="s">
        <v>2460</v>
      </c>
      <c r="D117" s="19" t="s">
        <v>2491</v>
      </c>
      <c r="E117" t="s">
        <v>2492</v>
      </c>
      <c r="F117">
        <v>116</v>
      </c>
    </row>
    <row r="118" spans="1:6">
      <c r="A118" t="s">
        <v>2493</v>
      </c>
      <c r="B118" t="s">
        <v>2192</v>
      </c>
      <c r="C118" s="19" t="s">
        <v>2460</v>
      </c>
      <c r="D118" s="19" t="s">
        <v>2494</v>
      </c>
      <c r="E118" t="s">
        <v>2495</v>
      </c>
      <c r="F118">
        <v>117</v>
      </c>
    </row>
    <row r="119" spans="1:6">
      <c r="A119" t="s">
        <v>2496</v>
      </c>
      <c r="B119" t="s">
        <v>2192</v>
      </c>
      <c r="C119" s="19" t="s">
        <v>2497</v>
      </c>
      <c r="D119" s="19" t="s">
        <v>2498</v>
      </c>
      <c r="E119" t="s">
        <v>2499</v>
      </c>
      <c r="F119">
        <v>118</v>
      </c>
    </row>
    <row r="120" spans="1:6">
      <c r="A120" t="s">
        <v>2500</v>
      </c>
      <c r="B120" t="s">
        <v>2192</v>
      </c>
      <c r="C120" s="19" t="s">
        <v>2497</v>
      </c>
      <c r="D120" s="19" t="s">
        <v>2501</v>
      </c>
      <c r="E120" t="s">
        <v>2502</v>
      </c>
      <c r="F120">
        <v>119</v>
      </c>
    </row>
    <row r="121" spans="1:6">
      <c r="A121" t="s">
        <v>2503</v>
      </c>
      <c r="B121" t="s">
        <v>2192</v>
      </c>
      <c r="C121" s="19" t="s">
        <v>2497</v>
      </c>
      <c r="D121" s="19" t="s">
        <v>2504</v>
      </c>
      <c r="E121" t="s">
        <v>2505</v>
      </c>
      <c r="F121">
        <v>120</v>
      </c>
    </row>
    <row r="122" spans="1:6">
      <c r="A122" t="s">
        <v>2506</v>
      </c>
      <c r="B122" t="s">
        <v>2192</v>
      </c>
      <c r="C122" s="19" t="s">
        <v>2497</v>
      </c>
      <c r="D122" s="19" t="s">
        <v>2507</v>
      </c>
      <c r="E122" t="s">
        <v>2508</v>
      </c>
      <c r="F122">
        <v>121</v>
      </c>
    </row>
    <row r="123" spans="1:6">
      <c r="A123" t="s">
        <v>2509</v>
      </c>
      <c r="B123" t="s">
        <v>2192</v>
      </c>
      <c r="C123" s="19" t="s">
        <v>2497</v>
      </c>
      <c r="D123" s="19" t="s">
        <v>2510</v>
      </c>
      <c r="E123" t="s">
        <v>2511</v>
      </c>
      <c r="F123">
        <v>122</v>
      </c>
    </row>
    <row r="124" spans="1:6">
      <c r="A124" t="s">
        <v>2512</v>
      </c>
      <c r="B124" t="s">
        <v>2192</v>
      </c>
      <c r="C124" s="19" t="s">
        <v>2497</v>
      </c>
      <c r="D124" s="19" t="s">
        <v>2513</v>
      </c>
      <c r="E124" t="s">
        <v>2514</v>
      </c>
      <c r="F124">
        <v>123</v>
      </c>
    </row>
    <row r="125" spans="1:6">
      <c r="A125" t="s">
        <v>2515</v>
      </c>
      <c r="B125" t="s">
        <v>2192</v>
      </c>
      <c r="C125" s="19" t="s">
        <v>2497</v>
      </c>
      <c r="D125" s="19" t="s">
        <v>2516</v>
      </c>
      <c r="E125" t="s">
        <v>2517</v>
      </c>
      <c r="F125">
        <v>124</v>
      </c>
    </row>
    <row r="126" spans="1:6" ht="29.25">
      <c r="A126" t="s">
        <v>2518</v>
      </c>
      <c r="B126" t="s">
        <v>2192</v>
      </c>
      <c r="C126" s="19" t="s">
        <v>2497</v>
      </c>
      <c r="D126" s="19" t="s">
        <v>2519</v>
      </c>
      <c r="E126" t="s">
        <v>2520</v>
      </c>
      <c r="F126">
        <v>125</v>
      </c>
    </row>
    <row r="127" spans="1:6">
      <c r="A127" t="s">
        <v>2521</v>
      </c>
      <c r="B127" t="s">
        <v>2192</v>
      </c>
      <c r="C127" s="19" t="s">
        <v>2497</v>
      </c>
      <c r="D127" s="19" t="s">
        <v>2522</v>
      </c>
      <c r="E127" t="s">
        <v>2523</v>
      </c>
      <c r="F127">
        <v>126</v>
      </c>
    </row>
    <row r="128" spans="1:6">
      <c r="A128" t="s">
        <v>2524</v>
      </c>
      <c r="B128" t="s">
        <v>2192</v>
      </c>
      <c r="C128" s="19" t="s">
        <v>2497</v>
      </c>
      <c r="D128" s="19" t="s">
        <v>2525</v>
      </c>
      <c r="E128" t="s">
        <v>2526</v>
      </c>
      <c r="F128">
        <v>127</v>
      </c>
    </row>
    <row r="129" spans="1:6">
      <c r="A129" t="s">
        <v>2527</v>
      </c>
      <c r="B129" t="s">
        <v>2192</v>
      </c>
      <c r="C129" s="19" t="s">
        <v>2497</v>
      </c>
      <c r="D129" s="19" t="s">
        <v>2528</v>
      </c>
      <c r="E129" t="s">
        <v>2529</v>
      </c>
      <c r="F129">
        <v>128</v>
      </c>
    </row>
    <row r="130" spans="1:6">
      <c r="A130" t="s">
        <v>2530</v>
      </c>
      <c r="B130" t="s">
        <v>2192</v>
      </c>
      <c r="C130" s="19" t="s">
        <v>2497</v>
      </c>
      <c r="D130" s="19" t="s">
        <v>2531</v>
      </c>
      <c r="E130" t="s">
        <v>2532</v>
      </c>
      <c r="F130">
        <v>129</v>
      </c>
    </row>
    <row r="131" spans="1:6" ht="57.75">
      <c r="A131" t="s">
        <v>2533</v>
      </c>
      <c r="B131" t="s">
        <v>2192</v>
      </c>
      <c r="C131" s="19" t="s">
        <v>2497</v>
      </c>
      <c r="D131" s="19" t="s">
        <v>2534</v>
      </c>
      <c r="E131" t="s">
        <v>2535</v>
      </c>
      <c r="F131">
        <v>130</v>
      </c>
    </row>
    <row r="132" spans="1:6">
      <c r="A132" t="s">
        <v>2536</v>
      </c>
      <c r="B132" t="s">
        <v>2537</v>
      </c>
      <c r="C132" s="19" t="s">
        <v>2538</v>
      </c>
      <c r="D132" s="19" t="s">
        <v>2539</v>
      </c>
      <c r="E132" t="s">
        <v>2540</v>
      </c>
      <c r="F132">
        <v>131</v>
      </c>
    </row>
    <row r="133" spans="1:6" ht="29.25">
      <c r="A133" t="s">
        <v>2541</v>
      </c>
      <c r="B133" t="s">
        <v>2537</v>
      </c>
      <c r="C133" s="19" t="s">
        <v>2538</v>
      </c>
      <c r="D133" s="19" t="s">
        <v>2542</v>
      </c>
      <c r="E133" t="s">
        <v>2543</v>
      </c>
      <c r="F133">
        <v>132</v>
      </c>
    </row>
    <row r="134" spans="1:6">
      <c r="A134" t="s">
        <v>2544</v>
      </c>
      <c r="B134" t="s">
        <v>2537</v>
      </c>
      <c r="C134" s="19" t="s">
        <v>2538</v>
      </c>
      <c r="D134" s="19" t="s">
        <v>2545</v>
      </c>
      <c r="E134" t="s">
        <v>2546</v>
      </c>
      <c r="F134">
        <v>133</v>
      </c>
    </row>
    <row r="135" spans="1:6">
      <c r="A135" t="s">
        <v>2547</v>
      </c>
      <c r="B135" t="s">
        <v>2537</v>
      </c>
      <c r="C135" s="19" t="s">
        <v>2538</v>
      </c>
      <c r="D135" s="19" t="s">
        <v>2548</v>
      </c>
      <c r="E135" t="s">
        <v>2549</v>
      </c>
      <c r="F135">
        <v>134</v>
      </c>
    </row>
    <row r="136" spans="1:6">
      <c r="A136" t="s">
        <v>2550</v>
      </c>
      <c r="B136" t="s">
        <v>2537</v>
      </c>
      <c r="C136" s="19" t="s">
        <v>2538</v>
      </c>
      <c r="D136" s="19" t="s">
        <v>2551</v>
      </c>
      <c r="E136" t="s">
        <v>2552</v>
      </c>
      <c r="F136">
        <v>135</v>
      </c>
    </row>
    <row r="137" spans="1:6">
      <c r="A137" t="s">
        <v>2553</v>
      </c>
      <c r="B137" t="s">
        <v>2537</v>
      </c>
      <c r="C137" s="19" t="s">
        <v>2538</v>
      </c>
      <c r="D137" s="19" t="s">
        <v>2554</v>
      </c>
      <c r="E137" t="s">
        <v>2555</v>
      </c>
      <c r="F137">
        <v>136</v>
      </c>
    </row>
    <row r="138" spans="1:6">
      <c r="A138" t="s">
        <v>2556</v>
      </c>
      <c r="B138" t="s">
        <v>2537</v>
      </c>
      <c r="C138" s="19" t="s">
        <v>2538</v>
      </c>
      <c r="D138" s="19" t="s">
        <v>2557</v>
      </c>
      <c r="E138" t="s">
        <v>2558</v>
      </c>
      <c r="F138">
        <v>137</v>
      </c>
    </row>
    <row r="139" spans="1:6">
      <c r="A139" t="s">
        <v>2559</v>
      </c>
      <c r="B139" t="s">
        <v>2537</v>
      </c>
      <c r="C139" s="19" t="s">
        <v>2538</v>
      </c>
      <c r="D139" s="19" t="s">
        <v>2560</v>
      </c>
      <c r="E139" t="s">
        <v>2561</v>
      </c>
      <c r="F139">
        <v>138</v>
      </c>
    </row>
    <row r="140" spans="1:6">
      <c r="A140" t="s">
        <v>2562</v>
      </c>
      <c r="B140" t="s">
        <v>2537</v>
      </c>
      <c r="C140" s="19" t="s">
        <v>2538</v>
      </c>
      <c r="D140" s="19" t="s">
        <v>2563</v>
      </c>
      <c r="E140" t="s">
        <v>2564</v>
      </c>
      <c r="F140">
        <v>139</v>
      </c>
    </row>
    <row r="141" spans="1:6">
      <c r="A141" t="s">
        <v>2565</v>
      </c>
      <c r="B141" t="s">
        <v>2537</v>
      </c>
      <c r="C141" s="19" t="s">
        <v>2538</v>
      </c>
      <c r="D141" s="19" t="s">
        <v>2566</v>
      </c>
      <c r="E141" t="s">
        <v>2567</v>
      </c>
      <c r="F141">
        <v>140</v>
      </c>
    </row>
    <row r="142" spans="1:6">
      <c r="A142" t="s">
        <v>2568</v>
      </c>
      <c r="B142" t="s">
        <v>2537</v>
      </c>
      <c r="C142" s="19" t="s">
        <v>2538</v>
      </c>
      <c r="D142" s="19" t="s">
        <v>2569</v>
      </c>
      <c r="E142" t="s">
        <v>2570</v>
      </c>
      <c r="F142">
        <v>141</v>
      </c>
    </row>
    <row r="143" spans="1:6">
      <c r="A143" t="s">
        <v>2571</v>
      </c>
      <c r="B143" t="s">
        <v>2537</v>
      </c>
      <c r="C143" s="19" t="s">
        <v>2538</v>
      </c>
      <c r="D143" s="19" t="s">
        <v>2572</v>
      </c>
      <c r="E143" t="s">
        <v>2573</v>
      </c>
      <c r="F143">
        <v>142</v>
      </c>
    </row>
    <row r="144" spans="1:6">
      <c r="A144" t="s">
        <v>2574</v>
      </c>
      <c r="B144" t="s">
        <v>2537</v>
      </c>
      <c r="C144" s="19" t="s">
        <v>2538</v>
      </c>
      <c r="D144" s="19" t="s">
        <v>2575</v>
      </c>
      <c r="E144" t="s">
        <v>2576</v>
      </c>
      <c r="F144">
        <v>143</v>
      </c>
    </row>
    <row r="145" spans="1:6">
      <c r="A145" t="s">
        <v>2577</v>
      </c>
      <c r="B145" t="s">
        <v>2537</v>
      </c>
      <c r="C145" s="19" t="s">
        <v>2538</v>
      </c>
      <c r="D145" s="19" t="s">
        <v>2578</v>
      </c>
      <c r="E145" t="s">
        <v>2579</v>
      </c>
      <c r="F145">
        <v>144</v>
      </c>
    </row>
    <row r="146" spans="1:6" ht="29.25">
      <c r="A146" t="s">
        <v>2580</v>
      </c>
      <c r="B146" t="s">
        <v>2537</v>
      </c>
      <c r="C146" s="19" t="s">
        <v>2538</v>
      </c>
      <c r="D146" s="19" t="s">
        <v>2581</v>
      </c>
      <c r="E146" t="s">
        <v>2582</v>
      </c>
      <c r="F146">
        <v>145</v>
      </c>
    </row>
    <row r="147" spans="1:6">
      <c r="A147" t="s">
        <v>2583</v>
      </c>
      <c r="B147" t="s">
        <v>2537</v>
      </c>
      <c r="C147" s="19" t="s">
        <v>2538</v>
      </c>
      <c r="D147" s="19" t="s">
        <v>2584</v>
      </c>
      <c r="E147" t="s">
        <v>2585</v>
      </c>
      <c r="F147">
        <v>146</v>
      </c>
    </row>
    <row r="148" spans="1:6">
      <c r="A148" t="s">
        <v>2586</v>
      </c>
      <c r="B148" t="s">
        <v>2537</v>
      </c>
      <c r="C148" s="19" t="s">
        <v>2538</v>
      </c>
      <c r="D148" s="19" t="s">
        <v>2587</v>
      </c>
      <c r="E148" t="s">
        <v>2588</v>
      </c>
      <c r="F148">
        <v>147</v>
      </c>
    </row>
    <row r="149" spans="1:6">
      <c r="A149" t="s">
        <v>2589</v>
      </c>
      <c r="B149" t="s">
        <v>2537</v>
      </c>
      <c r="C149" s="19" t="s">
        <v>2538</v>
      </c>
      <c r="D149" s="19" t="s">
        <v>2590</v>
      </c>
      <c r="E149" t="s">
        <v>2591</v>
      </c>
      <c r="F149">
        <v>148</v>
      </c>
    </row>
    <row r="150" spans="1:6">
      <c r="A150" t="s">
        <v>2592</v>
      </c>
      <c r="B150" t="s">
        <v>2537</v>
      </c>
      <c r="C150" s="19" t="s">
        <v>2538</v>
      </c>
      <c r="D150" s="19" t="s">
        <v>2593</v>
      </c>
      <c r="E150" t="s">
        <v>2594</v>
      </c>
      <c r="F150">
        <v>149</v>
      </c>
    </row>
    <row r="151" spans="1:6">
      <c r="A151" t="s">
        <v>2595</v>
      </c>
      <c r="B151" t="s">
        <v>2537</v>
      </c>
      <c r="C151" s="19" t="s">
        <v>2596</v>
      </c>
      <c r="D151" s="19" t="s">
        <v>2597</v>
      </c>
      <c r="E151" t="s">
        <v>2598</v>
      </c>
      <c r="F151">
        <v>150</v>
      </c>
    </row>
    <row r="152" spans="1:6">
      <c r="A152" t="s">
        <v>2599</v>
      </c>
      <c r="B152" t="s">
        <v>2537</v>
      </c>
      <c r="C152" s="19" t="s">
        <v>2596</v>
      </c>
      <c r="D152" s="19" t="s">
        <v>2600</v>
      </c>
      <c r="E152" t="s">
        <v>2601</v>
      </c>
      <c r="F152">
        <v>151</v>
      </c>
    </row>
    <row r="153" spans="1:6">
      <c r="A153" t="s">
        <v>2602</v>
      </c>
      <c r="B153" t="s">
        <v>2537</v>
      </c>
      <c r="C153" s="19" t="s">
        <v>2596</v>
      </c>
      <c r="D153" s="19" t="s">
        <v>2603</v>
      </c>
      <c r="E153" t="s">
        <v>2604</v>
      </c>
      <c r="F153">
        <v>152</v>
      </c>
    </row>
    <row r="154" spans="1:6" ht="29.25">
      <c r="A154" t="s">
        <v>2605</v>
      </c>
      <c r="B154" t="s">
        <v>2537</v>
      </c>
      <c r="C154" s="19" t="s">
        <v>2596</v>
      </c>
      <c r="D154" s="19" t="s">
        <v>2606</v>
      </c>
      <c r="E154" t="s">
        <v>2607</v>
      </c>
      <c r="F154">
        <v>153</v>
      </c>
    </row>
    <row r="155" spans="1:6">
      <c r="A155" t="s">
        <v>2608</v>
      </c>
      <c r="B155" t="s">
        <v>2537</v>
      </c>
      <c r="C155" s="19" t="s">
        <v>2596</v>
      </c>
      <c r="D155" s="19" t="s">
        <v>2609</v>
      </c>
      <c r="E155" t="s">
        <v>2610</v>
      </c>
      <c r="F155">
        <v>154</v>
      </c>
    </row>
    <row r="156" spans="1:6">
      <c r="A156" t="s">
        <v>2611</v>
      </c>
      <c r="B156" t="s">
        <v>2537</v>
      </c>
      <c r="C156" s="19" t="s">
        <v>2596</v>
      </c>
      <c r="D156" s="19" t="s">
        <v>2612</v>
      </c>
      <c r="E156" t="s">
        <v>2613</v>
      </c>
      <c r="F156">
        <v>155</v>
      </c>
    </row>
    <row r="157" spans="1:6">
      <c r="A157" t="s">
        <v>2614</v>
      </c>
      <c r="B157" t="s">
        <v>2537</v>
      </c>
      <c r="C157" s="19" t="s">
        <v>2596</v>
      </c>
      <c r="D157" s="19" t="s">
        <v>2615</v>
      </c>
      <c r="E157" t="s">
        <v>2616</v>
      </c>
      <c r="F157">
        <v>156</v>
      </c>
    </row>
    <row r="158" spans="1:6" ht="29.25">
      <c r="A158" t="s">
        <v>2617</v>
      </c>
      <c r="B158" t="s">
        <v>2537</v>
      </c>
      <c r="C158" s="19" t="s">
        <v>2596</v>
      </c>
      <c r="D158" s="19" t="s">
        <v>2618</v>
      </c>
      <c r="E158" t="s">
        <v>2619</v>
      </c>
      <c r="F158">
        <v>157</v>
      </c>
    </row>
    <row r="159" spans="1:6" ht="29.25">
      <c r="A159" t="s">
        <v>2620</v>
      </c>
      <c r="B159" t="s">
        <v>2537</v>
      </c>
      <c r="C159" s="19" t="s">
        <v>2596</v>
      </c>
      <c r="D159" s="19" t="s">
        <v>2621</v>
      </c>
      <c r="E159" t="s">
        <v>2622</v>
      </c>
      <c r="F159">
        <v>158</v>
      </c>
    </row>
    <row r="160" spans="1:6" ht="29.25">
      <c r="A160" t="s">
        <v>2623</v>
      </c>
      <c r="B160" t="s">
        <v>2537</v>
      </c>
      <c r="C160" s="19" t="s">
        <v>2596</v>
      </c>
      <c r="D160" s="19" t="s">
        <v>2624</v>
      </c>
      <c r="E160" t="s">
        <v>2625</v>
      </c>
      <c r="F160">
        <v>159</v>
      </c>
    </row>
    <row r="161" spans="1:6">
      <c r="A161" t="s">
        <v>2626</v>
      </c>
      <c r="B161" t="s">
        <v>2537</v>
      </c>
      <c r="C161" s="19" t="s">
        <v>2596</v>
      </c>
      <c r="D161" s="19" t="s">
        <v>2627</v>
      </c>
      <c r="E161" t="s">
        <v>2628</v>
      </c>
      <c r="F161">
        <v>160</v>
      </c>
    </row>
    <row r="162" spans="1:6">
      <c r="A162" t="s">
        <v>2629</v>
      </c>
      <c r="B162" t="s">
        <v>2537</v>
      </c>
      <c r="C162" s="19" t="s">
        <v>2596</v>
      </c>
      <c r="D162" s="19" t="s">
        <v>2630</v>
      </c>
      <c r="E162" t="s">
        <v>2631</v>
      </c>
      <c r="F162">
        <v>161</v>
      </c>
    </row>
    <row r="163" spans="1:6">
      <c r="A163" t="s">
        <v>2632</v>
      </c>
      <c r="B163" t="s">
        <v>2537</v>
      </c>
      <c r="C163" s="19" t="s">
        <v>2596</v>
      </c>
      <c r="D163" s="19" t="s">
        <v>2633</v>
      </c>
      <c r="E163" t="s">
        <v>2634</v>
      </c>
      <c r="F163">
        <v>162</v>
      </c>
    </row>
    <row r="164" spans="1:6">
      <c r="A164" t="s">
        <v>2635</v>
      </c>
      <c r="B164" t="s">
        <v>2537</v>
      </c>
      <c r="C164" s="19" t="s">
        <v>2596</v>
      </c>
      <c r="D164" s="19" t="s">
        <v>2636</v>
      </c>
      <c r="E164" t="s">
        <v>2637</v>
      </c>
      <c r="F164">
        <v>163</v>
      </c>
    </row>
    <row r="165" spans="1:6">
      <c r="A165" t="s">
        <v>2638</v>
      </c>
      <c r="B165" t="s">
        <v>2537</v>
      </c>
      <c r="C165" s="19" t="s">
        <v>2596</v>
      </c>
      <c r="D165" s="19" t="s">
        <v>2639</v>
      </c>
      <c r="E165" t="s">
        <v>2640</v>
      </c>
      <c r="F165">
        <v>164</v>
      </c>
    </row>
    <row r="166" spans="1:6">
      <c r="A166" t="s">
        <v>2641</v>
      </c>
      <c r="B166" t="s">
        <v>2537</v>
      </c>
      <c r="C166" s="19" t="s">
        <v>2596</v>
      </c>
      <c r="D166" s="19" t="s">
        <v>2642</v>
      </c>
      <c r="E166" t="s">
        <v>218</v>
      </c>
      <c r="F166">
        <v>165</v>
      </c>
    </row>
    <row r="167" spans="1:6">
      <c r="A167" t="s">
        <v>2643</v>
      </c>
      <c r="B167" t="s">
        <v>2537</v>
      </c>
      <c r="C167" s="19" t="s">
        <v>2596</v>
      </c>
      <c r="D167" s="19" t="s">
        <v>2644</v>
      </c>
      <c r="E167" t="s">
        <v>2645</v>
      </c>
      <c r="F167">
        <v>166</v>
      </c>
    </row>
    <row r="168" spans="1:6" ht="29.25">
      <c r="A168" t="s">
        <v>2646</v>
      </c>
      <c r="B168" t="s">
        <v>2537</v>
      </c>
      <c r="C168" s="19" t="s">
        <v>2596</v>
      </c>
      <c r="D168" s="19" t="s">
        <v>2647</v>
      </c>
      <c r="E168" t="s">
        <v>2648</v>
      </c>
      <c r="F168">
        <v>167</v>
      </c>
    </row>
    <row r="169" spans="1:6">
      <c r="A169" t="s">
        <v>2649</v>
      </c>
      <c r="B169" t="s">
        <v>2537</v>
      </c>
      <c r="C169" s="19" t="s">
        <v>2596</v>
      </c>
      <c r="D169" s="19" t="s">
        <v>2650</v>
      </c>
      <c r="E169" t="s">
        <v>2651</v>
      </c>
      <c r="F169">
        <v>168</v>
      </c>
    </row>
    <row r="170" spans="1:6">
      <c r="A170" t="s">
        <v>2652</v>
      </c>
      <c r="B170" t="s">
        <v>2537</v>
      </c>
      <c r="C170" s="19" t="s">
        <v>2596</v>
      </c>
      <c r="D170" s="19" t="s">
        <v>2653</v>
      </c>
      <c r="E170" t="s">
        <v>2654</v>
      </c>
      <c r="F170">
        <v>169</v>
      </c>
    </row>
    <row r="171" spans="1:6">
      <c r="A171" t="s">
        <v>2655</v>
      </c>
      <c r="B171" t="s">
        <v>2537</v>
      </c>
      <c r="C171" s="19" t="s">
        <v>2596</v>
      </c>
      <c r="D171" s="19" t="s">
        <v>2656</v>
      </c>
      <c r="E171" t="s">
        <v>2657</v>
      </c>
      <c r="F171">
        <v>170</v>
      </c>
    </row>
    <row r="172" spans="1:6">
      <c r="A172" t="s">
        <v>2658</v>
      </c>
      <c r="B172" t="s">
        <v>2537</v>
      </c>
      <c r="C172" s="19" t="s">
        <v>2596</v>
      </c>
      <c r="D172" s="19" t="s">
        <v>2659</v>
      </c>
      <c r="E172" t="s">
        <v>2660</v>
      </c>
      <c r="F172">
        <v>171</v>
      </c>
    </row>
    <row r="173" spans="1:6">
      <c r="A173" t="s">
        <v>2661</v>
      </c>
      <c r="B173" t="s">
        <v>2537</v>
      </c>
      <c r="C173" s="19" t="s">
        <v>2596</v>
      </c>
      <c r="D173" s="19" t="s">
        <v>2662</v>
      </c>
      <c r="E173" t="s">
        <v>2663</v>
      </c>
      <c r="F173">
        <v>172</v>
      </c>
    </row>
    <row r="174" spans="1:6">
      <c r="A174" t="s">
        <v>2664</v>
      </c>
      <c r="B174" t="s">
        <v>2537</v>
      </c>
      <c r="C174" s="19" t="s">
        <v>2596</v>
      </c>
      <c r="D174" s="19" t="s">
        <v>2665</v>
      </c>
      <c r="E174" t="s">
        <v>2666</v>
      </c>
      <c r="F174">
        <v>173</v>
      </c>
    </row>
    <row r="175" spans="1:6">
      <c r="A175" t="s">
        <v>2667</v>
      </c>
      <c r="B175" t="s">
        <v>2537</v>
      </c>
      <c r="C175" s="19" t="s">
        <v>2596</v>
      </c>
      <c r="D175" s="19" t="s">
        <v>2668</v>
      </c>
      <c r="E175" t="s">
        <v>2669</v>
      </c>
      <c r="F175">
        <v>174</v>
      </c>
    </row>
    <row r="176" spans="1:6" ht="29.25">
      <c r="A176" t="s">
        <v>2670</v>
      </c>
      <c r="B176" t="s">
        <v>2671</v>
      </c>
      <c r="C176" s="19" t="s">
        <v>2672</v>
      </c>
      <c r="D176" s="19" t="s">
        <v>2673</v>
      </c>
      <c r="E176" t="s">
        <v>2674</v>
      </c>
      <c r="F176">
        <v>175</v>
      </c>
    </row>
    <row r="177" spans="1:6" ht="29.25">
      <c r="A177" t="s">
        <v>2675</v>
      </c>
      <c r="B177" t="s">
        <v>2671</v>
      </c>
      <c r="C177" s="19" t="s">
        <v>2672</v>
      </c>
      <c r="D177" s="19" t="s">
        <v>2676</v>
      </c>
      <c r="E177" t="s">
        <v>2677</v>
      </c>
      <c r="F177">
        <v>176</v>
      </c>
    </row>
    <row r="178" spans="1:6" ht="29.25">
      <c r="A178" t="s">
        <v>2678</v>
      </c>
      <c r="B178" t="s">
        <v>2671</v>
      </c>
      <c r="C178" s="19" t="s">
        <v>2672</v>
      </c>
      <c r="D178" s="19" t="s">
        <v>2679</v>
      </c>
      <c r="E178" t="s">
        <v>2680</v>
      </c>
      <c r="F178">
        <v>177</v>
      </c>
    </row>
    <row r="179" spans="1:6" ht="43.5">
      <c r="A179" t="s">
        <v>2681</v>
      </c>
      <c r="B179" t="s">
        <v>2671</v>
      </c>
      <c r="C179" s="19" t="s">
        <v>2672</v>
      </c>
      <c r="D179" s="19" t="s">
        <v>2682</v>
      </c>
      <c r="E179" t="s">
        <v>2683</v>
      </c>
      <c r="F179">
        <v>178</v>
      </c>
    </row>
    <row r="180" spans="1:6" ht="29.25">
      <c r="A180" t="s">
        <v>2684</v>
      </c>
      <c r="B180" t="s">
        <v>2671</v>
      </c>
      <c r="C180" s="19" t="s">
        <v>2672</v>
      </c>
      <c r="D180" s="19" t="s">
        <v>2685</v>
      </c>
      <c r="E180" t="s">
        <v>2686</v>
      </c>
      <c r="F180">
        <v>179</v>
      </c>
    </row>
    <row r="181" spans="1:6" ht="29.25">
      <c r="A181" t="s">
        <v>2687</v>
      </c>
      <c r="B181" t="s">
        <v>2671</v>
      </c>
      <c r="C181" s="19" t="s">
        <v>2672</v>
      </c>
      <c r="D181" s="19" t="s">
        <v>2688</v>
      </c>
      <c r="E181" t="s">
        <v>2689</v>
      </c>
      <c r="F181">
        <v>180</v>
      </c>
    </row>
    <row r="182" spans="1:6" ht="29.25">
      <c r="A182" t="s">
        <v>2690</v>
      </c>
      <c r="B182" t="s">
        <v>2671</v>
      </c>
      <c r="C182" s="19" t="s">
        <v>2672</v>
      </c>
      <c r="D182" s="19" t="s">
        <v>2691</v>
      </c>
      <c r="E182" t="s">
        <v>2692</v>
      </c>
      <c r="F182">
        <v>181</v>
      </c>
    </row>
    <row r="183" spans="1:6" ht="29.25">
      <c r="A183" t="s">
        <v>2693</v>
      </c>
      <c r="B183" t="s">
        <v>2671</v>
      </c>
      <c r="C183" s="19" t="s">
        <v>2672</v>
      </c>
      <c r="D183" s="19" t="s">
        <v>2694</v>
      </c>
      <c r="E183" t="s">
        <v>2695</v>
      </c>
      <c r="F183">
        <v>182</v>
      </c>
    </row>
    <row r="184" spans="1:6" ht="29.25">
      <c r="A184" t="s">
        <v>2696</v>
      </c>
      <c r="B184" t="s">
        <v>2671</v>
      </c>
      <c r="C184" s="19" t="s">
        <v>2672</v>
      </c>
      <c r="D184" s="19" t="s">
        <v>2697</v>
      </c>
      <c r="E184" t="s">
        <v>2698</v>
      </c>
      <c r="F184">
        <v>183</v>
      </c>
    </row>
    <row r="185" spans="1:6" ht="29.25">
      <c r="A185" t="s">
        <v>2699</v>
      </c>
      <c r="B185" t="s">
        <v>2671</v>
      </c>
      <c r="C185" s="19" t="s">
        <v>2700</v>
      </c>
      <c r="D185" s="19" t="s">
        <v>2701</v>
      </c>
      <c r="E185" t="s">
        <v>2702</v>
      </c>
      <c r="F185">
        <v>184</v>
      </c>
    </row>
    <row r="186" spans="1:6" ht="29.25">
      <c r="A186" t="s">
        <v>2703</v>
      </c>
      <c r="B186" t="s">
        <v>2671</v>
      </c>
      <c r="C186" s="19" t="s">
        <v>2700</v>
      </c>
      <c r="D186" s="19" t="s">
        <v>2704</v>
      </c>
      <c r="E186" t="s">
        <v>2705</v>
      </c>
      <c r="F186">
        <v>185</v>
      </c>
    </row>
    <row r="187" spans="1:6">
      <c r="A187" t="s">
        <v>2706</v>
      </c>
      <c r="B187" t="s">
        <v>2671</v>
      </c>
      <c r="C187" s="19" t="s">
        <v>2700</v>
      </c>
      <c r="D187" s="19" t="s">
        <v>2707</v>
      </c>
      <c r="E187" t="s">
        <v>2708</v>
      </c>
      <c r="F187">
        <v>186</v>
      </c>
    </row>
    <row r="188" spans="1:6">
      <c r="A188" t="s">
        <v>2709</v>
      </c>
      <c r="B188" t="s">
        <v>2671</v>
      </c>
      <c r="C188" s="19" t="s">
        <v>2700</v>
      </c>
      <c r="D188" s="19" t="s">
        <v>2710</v>
      </c>
      <c r="E188" t="s">
        <v>2711</v>
      </c>
      <c r="F188">
        <v>187</v>
      </c>
    </row>
    <row r="189" spans="1:6">
      <c r="A189" t="s">
        <v>2712</v>
      </c>
      <c r="B189" t="s">
        <v>2671</v>
      </c>
      <c r="C189" s="19" t="s">
        <v>2700</v>
      </c>
      <c r="D189" s="19" t="s">
        <v>2713</v>
      </c>
      <c r="E189" t="s">
        <v>2714</v>
      </c>
      <c r="F189">
        <v>188</v>
      </c>
    </row>
    <row r="190" spans="1:6" ht="29.25">
      <c r="A190" t="s">
        <v>2715</v>
      </c>
      <c r="B190" t="s">
        <v>2671</v>
      </c>
      <c r="C190" s="19" t="s">
        <v>2700</v>
      </c>
      <c r="D190" s="19" t="s">
        <v>2716</v>
      </c>
      <c r="E190" t="s">
        <v>2717</v>
      </c>
      <c r="F190">
        <v>189</v>
      </c>
    </row>
    <row r="191" spans="1:6">
      <c r="A191" t="s">
        <v>2718</v>
      </c>
      <c r="B191" t="s">
        <v>2671</v>
      </c>
      <c r="C191" s="19" t="s">
        <v>2700</v>
      </c>
      <c r="D191" s="19" t="s">
        <v>2719</v>
      </c>
      <c r="E191" t="s">
        <v>2720</v>
      </c>
      <c r="F191">
        <v>190</v>
      </c>
    </row>
    <row r="192" spans="1:6">
      <c r="A192" t="s">
        <v>2721</v>
      </c>
      <c r="B192" t="s">
        <v>2671</v>
      </c>
      <c r="C192" s="19" t="s">
        <v>2700</v>
      </c>
      <c r="D192" s="19" t="s">
        <v>2722</v>
      </c>
      <c r="E192" t="s">
        <v>2723</v>
      </c>
      <c r="F192">
        <v>191</v>
      </c>
    </row>
    <row r="193" spans="1:6">
      <c r="A193" t="s">
        <v>2724</v>
      </c>
      <c r="B193" t="s">
        <v>2671</v>
      </c>
      <c r="C193" s="19" t="s">
        <v>2700</v>
      </c>
      <c r="D193" s="19" t="s">
        <v>2725</v>
      </c>
      <c r="E193" t="s">
        <v>2726</v>
      </c>
      <c r="F193">
        <v>192</v>
      </c>
    </row>
    <row r="194" spans="1:6" ht="29.25">
      <c r="A194" t="s">
        <v>2727</v>
      </c>
      <c r="B194" t="s">
        <v>2671</v>
      </c>
      <c r="C194" s="19" t="s">
        <v>2700</v>
      </c>
      <c r="D194" s="19" t="s">
        <v>2728</v>
      </c>
      <c r="E194" t="s">
        <v>2729</v>
      </c>
      <c r="F194">
        <v>193</v>
      </c>
    </row>
    <row r="195" spans="1:6">
      <c r="A195" t="s">
        <v>2730</v>
      </c>
      <c r="B195" t="s">
        <v>2671</v>
      </c>
      <c r="C195" s="19" t="s">
        <v>2700</v>
      </c>
      <c r="D195" s="19" t="s">
        <v>2731</v>
      </c>
      <c r="E195" t="s">
        <v>2732</v>
      </c>
      <c r="F195">
        <v>194</v>
      </c>
    </row>
    <row r="196" spans="1:6">
      <c r="A196" t="s">
        <v>2733</v>
      </c>
      <c r="B196" t="s">
        <v>2671</v>
      </c>
      <c r="C196" s="19" t="s">
        <v>2700</v>
      </c>
      <c r="D196" s="19" t="s">
        <v>2734</v>
      </c>
      <c r="E196" t="s">
        <v>2735</v>
      </c>
      <c r="F196">
        <v>195</v>
      </c>
    </row>
    <row r="197" spans="1:6">
      <c r="A197" t="s">
        <v>2736</v>
      </c>
      <c r="B197" t="s">
        <v>2671</v>
      </c>
      <c r="C197" s="19" t="s">
        <v>2737</v>
      </c>
      <c r="D197" s="19" t="s">
        <v>2738</v>
      </c>
      <c r="E197" t="s">
        <v>2739</v>
      </c>
      <c r="F197">
        <v>196</v>
      </c>
    </row>
    <row r="198" spans="1:6" ht="29.25">
      <c r="A198" t="s">
        <v>2740</v>
      </c>
      <c r="B198" t="s">
        <v>2671</v>
      </c>
      <c r="C198" s="19" t="s">
        <v>2737</v>
      </c>
      <c r="D198" s="19" t="s">
        <v>2741</v>
      </c>
      <c r="E198" t="s">
        <v>2742</v>
      </c>
      <c r="F198">
        <v>197</v>
      </c>
    </row>
    <row r="199" spans="1:6">
      <c r="A199" t="s">
        <v>2743</v>
      </c>
      <c r="B199" t="s">
        <v>2671</v>
      </c>
      <c r="C199" s="19" t="s">
        <v>2737</v>
      </c>
      <c r="D199" s="19" t="s">
        <v>2744</v>
      </c>
      <c r="E199" t="s">
        <v>2745</v>
      </c>
      <c r="F199">
        <v>198</v>
      </c>
    </row>
    <row r="200" spans="1:6">
      <c r="A200" t="s">
        <v>2746</v>
      </c>
      <c r="B200" t="s">
        <v>2671</v>
      </c>
      <c r="C200" s="19" t="s">
        <v>2737</v>
      </c>
      <c r="D200" s="19" t="s">
        <v>2747</v>
      </c>
      <c r="E200" t="s">
        <v>2748</v>
      </c>
      <c r="F200">
        <v>199</v>
      </c>
    </row>
    <row r="201" spans="1:6">
      <c r="A201" t="s">
        <v>2749</v>
      </c>
      <c r="B201" t="s">
        <v>2671</v>
      </c>
      <c r="C201" s="19" t="s">
        <v>2737</v>
      </c>
      <c r="D201" s="19" t="s">
        <v>2750</v>
      </c>
      <c r="E201" t="s">
        <v>2751</v>
      </c>
      <c r="F201">
        <v>200</v>
      </c>
    </row>
    <row r="202" spans="1:6">
      <c r="A202" t="s">
        <v>2752</v>
      </c>
      <c r="B202" t="s">
        <v>2671</v>
      </c>
      <c r="C202" s="19" t="s">
        <v>2737</v>
      </c>
      <c r="D202" s="19" t="s">
        <v>2753</v>
      </c>
      <c r="E202" t="s">
        <v>2754</v>
      </c>
      <c r="F202">
        <v>201</v>
      </c>
    </row>
    <row r="203" spans="1:6">
      <c r="A203" t="s">
        <v>2755</v>
      </c>
      <c r="B203" t="s">
        <v>2671</v>
      </c>
      <c r="C203" s="19" t="s">
        <v>2737</v>
      </c>
      <c r="D203" s="19" t="s">
        <v>2756</v>
      </c>
      <c r="E203" t="s">
        <v>2757</v>
      </c>
      <c r="F203">
        <v>202</v>
      </c>
    </row>
    <row r="204" spans="1:6" ht="29.25">
      <c r="A204" t="s">
        <v>2758</v>
      </c>
      <c r="B204" t="s">
        <v>2671</v>
      </c>
      <c r="C204" s="19" t="s">
        <v>2759</v>
      </c>
      <c r="D204" s="19" t="s">
        <v>2760</v>
      </c>
      <c r="E204" t="s">
        <v>2761</v>
      </c>
      <c r="F204">
        <v>203</v>
      </c>
    </row>
    <row r="205" spans="1:6" ht="29.25">
      <c r="A205" t="s">
        <v>2762</v>
      </c>
      <c r="B205" t="s">
        <v>2671</v>
      </c>
      <c r="C205" s="19" t="s">
        <v>2759</v>
      </c>
      <c r="D205" s="19" t="s">
        <v>2763</v>
      </c>
      <c r="E205" t="s">
        <v>2764</v>
      </c>
      <c r="F205">
        <v>204</v>
      </c>
    </row>
    <row r="206" spans="1:6" ht="29.25">
      <c r="A206" t="s">
        <v>2765</v>
      </c>
      <c r="B206" t="s">
        <v>2671</v>
      </c>
      <c r="C206" s="19" t="s">
        <v>2759</v>
      </c>
      <c r="D206" s="19" t="s">
        <v>2766</v>
      </c>
      <c r="E206" t="s">
        <v>2767</v>
      </c>
      <c r="F206">
        <v>205</v>
      </c>
    </row>
    <row r="207" spans="1:6" ht="29.25">
      <c r="A207" t="s">
        <v>2768</v>
      </c>
      <c r="B207" t="s">
        <v>2671</v>
      </c>
      <c r="C207" s="19" t="s">
        <v>2759</v>
      </c>
      <c r="D207" s="19" t="s">
        <v>2769</v>
      </c>
      <c r="E207" t="s">
        <v>2770</v>
      </c>
      <c r="F207">
        <v>206</v>
      </c>
    </row>
    <row r="208" spans="1:6" ht="29.25">
      <c r="A208" t="s">
        <v>2771</v>
      </c>
      <c r="B208" t="s">
        <v>2671</v>
      </c>
      <c r="C208" s="19" t="s">
        <v>2759</v>
      </c>
      <c r="D208" s="19" t="s">
        <v>2772</v>
      </c>
      <c r="E208" t="s">
        <v>2773</v>
      </c>
      <c r="F208">
        <v>207</v>
      </c>
    </row>
    <row r="209" spans="1:6" ht="29.25">
      <c r="A209" t="s">
        <v>2774</v>
      </c>
      <c r="B209" t="s">
        <v>2671</v>
      </c>
      <c r="C209" s="19" t="s">
        <v>2759</v>
      </c>
      <c r="D209" s="19" t="s">
        <v>2775</v>
      </c>
      <c r="E209" t="s">
        <v>742</v>
      </c>
      <c r="F209">
        <v>208</v>
      </c>
    </row>
    <row r="210" spans="1:6" ht="29.25">
      <c r="A210" t="s">
        <v>2776</v>
      </c>
      <c r="B210" t="s">
        <v>2671</v>
      </c>
      <c r="C210" s="19" t="s">
        <v>2759</v>
      </c>
      <c r="D210" s="19" t="s">
        <v>2777</v>
      </c>
      <c r="E210" t="s">
        <v>2778</v>
      </c>
      <c r="F210">
        <v>209</v>
      </c>
    </row>
    <row r="211" spans="1:6" ht="29.25">
      <c r="A211" t="s">
        <v>2779</v>
      </c>
      <c r="B211" t="s">
        <v>2671</v>
      </c>
      <c r="C211" s="19" t="s">
        <v>2759</v>
      </c>
      <c r="D211" s="19" t="s">
        <v>2780</v>
      </c>
      <c r="E211" t="s">
        <v>838</v>
      </c>
      <c r="F211">
        <v>210</v>
      </c>
    </row>
    <row r="212" spans="1:6" ht="29.25">
      <c r="A212" t="s">
        <v>2781</v>
      </c>
      <c r="B212" t="s">
        <v>2671</v>
      </c>
      <c r="C212" s="19" t="s">
        <v>2759</v>
      </c>
      <c r="D212" s="19" t="s">
        <v>2782</v>
      </c>
      <c r="E212" t="s">
        <v>2783</v>
      </c>
      <c r="F212">
        <v>211</v>
      </c>
    </row>
    <row r="213" spans="1:6" ht="29.25">
      <c r="A213" t="s">
        <v>2784</v>
      </c>
      <c r="B213" t="s">
        <v>2671</v>
      </c>
      <c r="C213" s="19" t="s">
        <v>2759</v>
      </c>
      <c r="D213" s="19" t="s">
        <v>2785</v>
      </c>
      <c r="E213" t="s">
        <v>2786</v>
      </c>
      <c r="F213">
        <v>212</v>
      </c>
    </row>
    <row r="214" spans="1:6" ht="29.25">
      <c r="A214" t="s">
        <v>2787</v>
      </c>
      <c r="B214" t="s">
        <v>2671</v>
      </c>
      <c r="C214" s="19" t="s">
        <v>2759</v>
      </c>
      <c r="D214" s="19" t="s">
        <v>2788</v>
      </c>
      <c r="E214" t="s">
        <v>2532</v>
      </c>
      <c r="F214">
        <v>213</v>
      </c>
    </row>
    <row r="215" spans="1:6" ht="29.25">
      <c r="A215" t="s">
        <v>2789</v>
      </c>
      <c r="B215" t="s">
        <v>2671</v>
      </c>
      <c r="C215" s="19" t="s">
        <v>2759</v>
      </c>
      <c r="D215" s="19" t="s">
        <v>2790</v>
      </c>
      <c r="E215" t="s">
        <v>2791</v>
      </c>
      <c r="F215">
        <v>214</v>
      </c>
    </row>
    <row r="216" spans="1:6" ht="29.25">
      <c r="A216" t="s">
        <v>2792</v>
      </c>
      <c r="B216" t="s">
        <v>2671</v>
      </c>
      <c r="C216" s="19" t="s">
        <v>2759</v>
      </c>
      <c r="D216" s="19" t="s">
        <v>2793</v>
      </c>
      <c r="E216" t="s">
        <v>2794</v>
      </c>
      <c r="F216">
        <v>215</v>
      </c>
    </row>
    <row r="217" spans="1:6" ht="43.5">
      <c r="A217" t="s">
        <v>2795</v>
      </c>
      <c r="B217" t="s">
        <v>2671</v>
      </c>
      <c r="C217" s="19" t="s">
        <v>2759</v>
      </c>
      <c r="D217" s="19" t="s">
        <v>2796</v>
      </c>
      <c r="E217" t="s">
        <v>2797</v>
      </c>
      <c r="F217">
        <v>216</v>
      </c>
    </row>
    <row r="218" spans="1:6" ht="29.25">
      <c r="A218" t="s">
        <v>2798</v>
      </c>
      <c r="B218" t="s">
        <v>2671</v>
      </c>
      <c r="C218" s="19" t="s">
        <v>2759</v>
      </c>
      <c r="D218" s="19" t="s">
        <v>2799</v>
      </c>
      <c r="E218" t="s">
        <v>2800</v>
      </c>
      <c r="F218">
        <v>217</v>
      </c>
    </row>
    <row r="219" spans="1:6" ht="29.25">
      <c r="A219" t="s">
        <v>2801</v>
      </c>
      <c r="B219" t="s">
        <v>2671</v>
      </c>
      <c r="C219" s="19" t="s">
        <v>2759</v>
      </c>
      <c r="D219" s="19" t="s">
        <v>2802</v>
      </c>
      <c r="E219" t="s">
        <v>2803</v>
      </c>
      <c r="F219">
        <v>218</v>
      </c>
    </row>
    <row r="220" spans="1:6" ht="29.25">
      <c r="A220" t="s">
        <v>2804</v>
      </c>
      <c r="B220" t="s">
        <v>2671</v>
      </c>
      <c r="C220" s="19" t="s">
        <v>2759</v>
      </c>
      <c r="D220" s="19" t="s">
        <v>2805</v>
      </c>
      <c r="E220" t="s">
        <v>2806</v>
      </c>
      <c r="F220">
        <v>219</v>
      </c>
    </row>
    <row r="221" spans="1:6" ht="29.25">
      <c r="A221" t="s">
        <v>2807</v>
      </c>
      <c r="B221" t="s">
        <v>2671</v>
      </c>
      <c r="C221" s="19" t="s">
        <v>2759</v>
      </c>
      <c r="D221" s="19" t="s">
        <v>2808</v>
      </c>
      <c r="E221" t="s">
        <v>2809</v>
      </c>
      <c r="F221">
        <v>220</v>
      </c>
    </row>
    <row r="222" spans="1:6" ht="29.25">
      <c r="A222" t="s">
        <v>2810</v>
      </c>
      <c r="B222" t="s">
        <v>2671</v>
      </c>
      <c r="C222" s="19" t="s">
        <v>2811</v>
      </c>
      <c r="D222" s="19" t="s">
        <v>2812</v>
      </c>
      <c r="E222" t="s">
        <v>2813</v>
      </c>
      <c r="F222">
        <v>221</v>
      </c>
    </row>
    <row r="223" spans="1:6" ht="29.25">
      <c r="A223" t="s">
        <v>2814</v>
      </c>
      <c r="B223" t="s">
        <v>2671</v>
      </c>
      <c r="C223" s="19" t="s">
        <v>2811</v>
      </c>
      <c r="D223" s="19" t="s">
        <v>2815</v>
      </c>
      <c r="E223" t="s">
        <v>2816</v>
      </c>
      <c r="F223">
        <v>222</v>
      </c>
    </row>
    <row r="224" spans="1:6" ht="29.25">
      <c r="A224" t="s">
        <v>2817</v>
      </c>
      <c r="B224" t="s">
        <v>2671</v>
      </c>
      <c r="C224" s="19" t="s">
        <v>2811</v>
      </c>
      <c r="D224" s="19" t="s">
        <v>2818</v>
      </c>
      <c r="E224" t="s">
        <v>2819</v>
      </c>
      <c r="F224">
        <v>223</v>
      </c>
    </row>
    <row r="225" spans="1:6" ht="29.25">
      <c r="A225" t="s">
        <v>2820</v>
      </c>
      <c r="B225" t="s">
        <v>2671</v>
      </c>
      <c r="C225" s="19" t="s">
        <v>2811</v>
      </c>
      <c r="D225" s="19" t="s">
        <v>2821</v>
      </c>
      <c r="E225" t="s">
        <v>2822</v>
      </c>
      <c r="F225">
        <v>224</v>
      </c>
    </row>
    <row r="226" spans="1:6" ht="29.25">
      <c r="A226" t="s">
        <v>2823</v>
      </c>
      <c r="B226" t="s">
        <v>2671</v>
      </c>
      <c r="C226" s="19" t="s">
        <v>2811</v>
      </c>
      <c r="D226" s="19" t="s">
        <v>2824</v>
      </c>
      <c r="E226" t="s">
        <v>2825</v>
      </c>
      <c r="F226">
        <v>225</v>
      </c>
    </row>
    <row r="227" spans="1:6" ht="43.5">
      <c r="A227" t="s">
        <v>2826</v>
      </c>
      <c r="B227" t="s">
        <v>2671</v>
      </c>
      <c r="C227" s="19" t="s">
        <v>2811</v>
      </c>
      <c r="D227" s="19" t="s">
        <v>2827</v>
      </c>
      <c r="E227" t="s">
        <v>2828</v>
      </c>
      <c r="F227">
        <v>226</v>
      </c>
    </row>
    <row r="228" spans="1:6" ht="57.75">
      <c r="A228" t="s">
        <v>2829</v>
      </c>
      <c r="B228" t="s">
        <v>2671</v>
      </c>
      <c r="C228" s="19" t="s">
        <v>2811</v>
      </c>
      <c r="D228" s="19" t="s">
        <v>2830</v>
      </c>
      <c r="E228" t="s">
        <v>2831</v>
      </c>
      <c r="F228">
        <v>227</v>
      </c>
    </row>
    <row r="229" spans="1:6">
      <c r="A229" t="s">
        <v>2832</v>
      </c>
      <c r="B229" t="s">
        <v>2671</v>
      </c>
      <c r="C229" s="19" t="s">
        <v>2833</v>
      </c>
      <c r="D229" s="19" t="s">
        <v>2834</v>
      </c>
      <c r="E229" t="s">
        <v>2835</v>
      </c>
      <c r="F229">
        <v>228</v>
      </c>
    </row>
    <row r="230" spans="1:6" ht="29.25">
      <c r="A230" t="s">
        <v>2836</v>
      </c>
      <c r="B230" t="s">
        <v>2671</v>
      </c>
      <c r="C230" s="19" t="s">
        <v>2833</v>
      </c>
      <c r="D230" s="19" t="s">
        <v>2837</v>
      </c>
      <c r="E230" t="s">
        <v>2838</v>
      </c>
      <c r="F230">
        <v>229</v>
      </c>
    </row>
    <row r="231" spans="1:6">
      <c r="A231" t="s">
        <v>2839</v>
      </c>
      <c r="B231" t="s">
        <v>2671</v>
      </c>
      <c r="C231" s="19" t="s">
        <v>2833</v>
      </c>
      <c r="D231" s="19" t="s">
        <v>2840</v>
      </c>
      <c r="E231" t="s">
        <v>2841</v>
      </c>
      <c r="F231">
        <v>230</v>
      </c>
    </row>
    <row r="232" spans="1:6" ht="29.25">
      <c r="A232" t="s">
        <v>2842</v>
      </c>
      <c r="B232" t="s">
        <v>2671</v>
      </c>
      <c r="C232" s="19" t="s">
        <v>2833</v>
      </c>
      <c r="D232" s="19" t="s">
        <v>2843</v>
      </c>
      <c r="E232" t="s">
        <v>2844</v>
      </c>
      <c r="F232">
        <v>231</v>
      </c>
    </row>
    <row r="233" spans="1:6" ht="29.25">
      <c r="A233" t="s">
        <v>2845</v>
      </c>
      <c r="B233" t="s">
        <v>2671</v>
      </c>
      <c r="C233" s="19" t="s">
        <v>2833</v>
      </c>
      <c r="D233" s="19" t="s">
        <v>2846</v>
      </c>
      <c r="E233" t="s">
        <v>2847</v>
      </c>
      <c r="F233">
        <v>232</v>
      </c>
    </row>
    <row r="234" spans="1:6">
      <c r="A234" t="s">
        <v>2848</v>
      </c>
      <c r="B234" t="s">
        <v>2671</v>
      </c>
      <c r="C234" s="19" t="s">
        <v>2849</v>
      </c>
      <c r="D234" s="19" t="s">
        <v>2850</v>
      </c>
      <c r="E234" t="s">
        <v>2851</v>
      </c>
      <c r="F234">
        <v>233</v>
      </c>
    </row>
    <row r="235" spans="1:6">
      <c r="A235" t="s">
        <v>2852</v>
      </c>
      <c r="B235" t="s">
        <v>2671</v>
      </c>
      <c r="C235" s="19" t="s">
        <v>2849</v>
      </c>
      <c r="D235" s="19" t="s">
        <v>2853</v>
      </c>
      <c r="E235" t="s">
        <v>2854</v>
      </c>
      <c r="F235">
        <v>234</v>
      </c>
    </row>
    <row r="236" spans="1:6">
      <c r="A236" t="s">
        <v>2855</v>
      </c>
      <c r="B236" t="s">
        <v>2671</v>
      </c>
      <c r="C236" s="19" t="s">
        <v>2849</v>
      </c>
      <c r="D236" s="19" t="s">
        <v>2856</v>
      </c>
      <c r="E236" t="s">
        <v>2857</v>
      </c>
      <c r="F236">
        <v>235</v>
      </c>
    </row>
    <row r="237" spans="1:6">
      <c r="A237" t="s">
        <v>2858</v>
      </c>
      <c r="B237" t="s">
        <v>2671</v>
      </c>
      <c r="C237" s="19" t="s">
        <v>2849</v>
      </c>
      <c r="D237" s="19" t="s">
        <v>2859</v>
      </c>
      <c r="E237" t="s">
        <v>2860</v>
      </c>
      <c r="F237">
        <v>236</v>
      </c>
    </row>
    <row r="238" spans="1:6">
      <c r="A238" t="s">
        <v>2861</v>
      </c>
      <c r="B238" t="s">
        <v>2671</v>
      </c>
      <c r="C238" s="19" t="s">
        <v>2849</v>
      </c>
      <c r="D238" s="19" t="s">
        <v>2862</v>
      </c>
      <c r="E238" t="s">
        <v>2863</v>
      </c>
      <c r="F238">
        <v>237</v>
      </c>
    </row>
    <row r="239" spans="1:6" ht="43.5">
      <c r="A239" t="s">
        <v>2864</v>
      </c>
      <c r="B239" t="s">
        <v>2671</v>
      </c>
      <c r="C239" s="19" t="s">
        <v>2849</v>
      </c>
      <c r="D239" s="19" t="s">
        <v>2865</v>
      </c>
      <c r="E239" t="s">
        <v>2866</v>
      </c>
      <c r="F239">
        <v>238</v>
      </c>
    </row>
    <row r="240" spans="1:6" ht="29.25">
      <c r="A240" t="s">
        <v>2867</v>
      </c>
      <c r="B240" t="s">
        <v>2671</v>
      </c>
      <c r="C240" s="19" t="s">
        <v>2849</v>
      </c>
      <c r="D240" s="19" t="s">
        <v>2868</v>
      </c>
      <c r="E240" t="s">
        <v>2869</v>
      </c>
      <c r="F240">
        <v>239</v>
      </c>
    </row>
    <row r="241" spans="1:6">
      <c r="A241" t="s">
        <v>2870</v>
      </c>
      <c r="B241" t="s">
        <v>2671</v>
      </c>
      <c r="C241" s="19" t="s">
        <v>2849</v>
      </c>
      <c r="D241" s="19" t="s">
        <v>2871</v>
      </c>
      <c r="E241" t="s">
        <v>2872</v>
      </c>
      <c r="F241">
        <v>240</v>
      </c>
    </row>
    <row r="242" spans="1:6" ht="43.5">
      <c r="A242" t="s">
        <v>2873</v>
      </c>
      <c r="B242" t="s">
        <v>2671</v>
      </c>
      <c r="C242" s="19" t="s">
        <v>2849</v>
      </c>
      <c r="D242" s="19" t="s">
        <v>2874</v>
      </c>
      <c r="E242" t="s">
        <v>2875</v>
      </c>
      <c r="F242">
        <v>241</v>
      </c>
    </row>
    <row r="243" spans="1:6" ht="29.25">
      <c r="A243" t="s">
        <v>2876</v>
      </c>
      <c r="B243" t="s">
        <v>2671</v>
      </c>
      <c r="C243" s="19" t="s">
        <v>2877</v>
      </c>
      <c r="D243" s="19" t="s">
        <v>2878</v>
      </c>
      <c r="E243" t="s">
        <v>2879</v>
      </c>
      <c r="F243">
        <v>242</v>
      </c>
    </row>
    <row r="244" spans="1:6" ht="29.25">
      <c r="A244" t="s">
        <v>2880</v>
      </c>
      <c r="B244" t="s">
        <v>2671</v>
      </c>
      <c r="C244" s="19" t="s">
        <v>2877</v>
      </c>
      <c r="D244" s="19" t="s">
        <v>2881</v>
      </c>
      <c r="E244" t="s">
        <v>2882</v>
      </c>
      <c r="F244">
        <v>243</v>
      </c>
    </row>
    <row r="245" spans="1:6">
      <c r="A245" t="s">
        <v>2883</v>
      </c>
      <c r="B245" t="s">
        <v>2671</v>
      </c>
      <c r="C245" s="19" t="s">
        <v>2877</v>
      </c>
      <c r="D245" s="19" t="s">
        <v>2884</v>
      </c>
      <c r="E245" t="s">
        <v>2885</v>
      </c>
      <c r="F245">
        <v>244</v>
      </c>
    </row>
    <row r="246" spans="1:6" ht="29.25">
      <c r="A246" t="s">
        <v>2886</v>
      </c>
      <c r="B246" t="s">
        <v>2671</v>
      </c>
      <c r="C246" s="19" t="s">
        <v>2877</v>
      </c>
      <c r="D246" s="19" t="s">
        <v>2887</v>
      </c>
      <c r="E246" t="s">
        <v>2888</v>
      </c>
      <c r="F246">
        <v>245</v>
      </c>
    </row>
    <row r="247" spans="1:6" ht="29.25">
      <c r="A247" t="s">
        <v>2889</v>
      </c>
      <c r="B247" t="s">
        <v>2671</v>
      </c>
      <c r="C247" s="19" t="s">
        <v>2877</v>
      </c>
      <c r="D247" s="19" t="s">
        <v>2890</v>
      </c>
      <c r="E247" t="s">
        <v>2891</v>
      </c>
      <c r="F247">
        <v>246</v>
      </c>
    </row>
    <row r="248" spans="1:6">
      <c r="A248" t="s">
        <v>2892</v>
      </c>
      <c r="B248" t="s">
        <v>2671</v>
      </c>
      <c r="C248" s="19" t="s">
        <v>2877</v>
      </c>
      <c r="D248" s="19" t="s">
        <v>2893</v>
      </c>
      <c r="E248" t="s">
        <v>2894</v>
      </c>
      <c r="F248">
        <v>247</v>
      </c>
    </row>
    <row r="249" spans="1:6">
      <c r="A249" t="s">
        <v>2895</v>
      </c>
      <c r="B249" t="s">
        <v>2671</v>
      </c>
      <c r="C249" s="19" t="s">
        <v>2877</v>
      </c>
      <c r="D249" s="19" t="s">
        <v>2896</v>
      </c>
      <c r="E249" t="s">
        <v>2897</v>
      </c>
      <c r="F249">
        <v>248</v>
      </c>
    </row>
    <row r="250" spans="1:6">
      <c r="A250" t="s">
        <v>2898</v>
      </c>
      <c r="B250" t="s">
        <v>2671</v>
      </c>
      <c r="C250" s="19" t="s">
        <v>2877</v>
      </c>
      <c r="D250" s="19" t="s">
        <v>2899</v>
      </c>
      <c r="E250" t="s">
        <v>2900</v>
      </c>
      <c r="F250">
        <v>249</v>
      </c>
    </row>
    <row r="251" spans="1:6">
      <c r="A251" t="s">
        <v>2901</v>
      </c>
      <c r="B251" t="s">
        <v>2671</v>
      </c>
      <c r="C251" s="19" t="s">
        <v>2877</v>
      </c>
      <c r="D251" s="19" t="s">
        <v>2902</v>
      </c>
      <c r="E251" t="s">
        <v>2903</v>
      </c>
      <c r="F251">
        <v>250</v>
      </c>
    </row>
    <row r="252" spans="1:6">
      <c r="A252" t="s">
        <v>2904</v>
      </c>
      <c r="B252" t="s">
        <v>2671</v>
      </c>
      <c r="C252" s="19" t="s">
        <v>2877</v>
      </c>
      <c r="D252" s="19" t="s">
        <v>2905</v>
      </c>
      <c r="E252" t="s">
        <v>2906</v>
      </c>
      <c r="F252">
        <v>251</v>
      </c>
    </row>
    <row r="253" spans="1:6">
      <c r="A253" t="s">
        <v>2907</v>
      </c>
      <c r="B253" t="s">
        <v>2671</v>
      </c>
      <c r="C253" s="19" t="s">
        <v>2877</v>
      </c>
      <c r="D253" s="19" t="s">
        <v>2908</v>
      </c>
      <c r="E253" t="s">
        <v>2909</v>
      </c>
      <c r="F253">
        <v>252</v>
      </c>
    </row>
    <row r="254" spans="1:6">
      <c r="A254" t="s">
        <v>2910</v>
      </c>
      <c r="B254" t="s">
        <v>2671</v>
      </c>
      <c r="C254" s="19" t="s">
        <v>2877</v>
      </c>
      <c r="D254" s="19" t="s">
        <v>2911</v>
      </c>
      <c r="E254" t="s">
        <v>2912</v>
      </c>
      <c r="F254">
        <v>253</v>
      </c>
    </row>
    <row r="255" spans="1:6" ht="29.25">
      <c r="A255" t="s">
        <v>2913</v>
      </c>
      <c r="B255" t="s">
        <v>2671</v>
      </c>
      <c r="C255" s="19" t="s">
        <v>2877</v>
      </c>
      <c r="D255" s="19" t="s">
        <v>2914</v>
      </c>
      <c r="E255" t="s">
        <v>2915</v>
      </c>
      <c r="F255">
        <v>254</v>
      </c>
    </row>
    <row r="256" spans="1:6" ht="29.25">
      <c r="A256" t="s">
        <v>2916</v>
      </c>
      <c r="B256" t="s">
        <v>2671</v>
      </c>
      <c r="C256" s="19" t="s">
        <v>2877</v>
      </c>
      <c r="D256" s="19" t="s">
        <v>2917</v>
      </c>
      <c r="E256" t="s">
        <v>2918</v>
      </c>
      <c r="F256">
        <v>255</v>
      </c>
    </row>
    <row r="257" spans="1:6">
      <c r="A257" t="s">
        <v>2919</v>
      </c>
      <c r="B257" t="s">
        <v>2671</v>
      </c>
      <c r="C257" s="19" t="s">
        <v>2877</v>
      </c>
      <c r="D257" s="19" t="s">
        <v>2920</v>
      </c>
      <c r="E257" t="s">
        <v>2921</v>
      </c>
      <c r="F257">
        <v>256</v>
      </c>
    </row>
    <row r="258" spans="1:6" ht="29.25">
      <c r="A258" t="s">
        <v>2922</v>
      </c>
      <c r="B258" t="s">
        <v>2671</v>
      </c>
      <c r="C258" s="19" t="s">
        <v>2877</v>
      </c>
      <c r="D258" s="19" t="s">
        <v>2923</v>
      </c>
      <c r="E258" t="s">
        <v>2924</v>
      </c>
      <c r="F258">
        <v>257</v>
      </c>
    </row>
    <row r="259" spans="1:6" ht="29.25">
      <c r="A259" t="s">
        <v>2925</v>
      </c>
      <c r="B259" t="s">
        <v>2671</v>
      </c>
      <c r="C259" s="19" t="s">
        <v>2877</v>
      </c>
      <c r="D259" s="19" t="s">
        <v>2926</v>
      </c>
      <c r="E259" t="s">
        <v>2927</v>
      </c>
      <c r="F259">
        <v>258</v>
      </c>
    </row>
    <row r="260" spans="1:6" ht="29.25">
      <c r="A260" t="s">
        <v>2928</v>
      </c>
      <c r="B260" t="s">
        <v>2671</v>
      </c>
      <c r="C260" s="19" t="s">
        <v>2877</v>
      </c>
      <c r="D260" s="19" t="s">
        <v>2929</v>
      </c>
      <c r="E260" t="s">
        <v>2930</v>
      </c>
      <c r="F260">
        <v>259</v>
      </c>
    </row>
    <row r="261" spans="1:6" ht="29.25">
      <c r="A261" t="s">
        <v>2931</v>
      </c>
      <c r="B261" t="s">
        <v>2671</v>
      </c>
      <c r="C261" s="19" t="s">
        <v>2877</v>
      </c>
      <c r="D261" s="19" t="s">
        <v>2932</v>
      </c>
      <c r="E261" t="s">
        <v>2933</v>
      </c>
      <c r="F261">
        <v>260</v>
      </c>
    </row>
    <row r="262" spans="1:6" ht="29.25">
      <c r="A262" t="s">
        <v>2934</v>
      </c>
      <c r="B262" t="s">
        <v>2671</v>
      </c>
      <c r="C262" s="19" t="s">
        <v>2877</v>
      </c>
      <c r="D262" s="19" t="s">
        <v>2935</v>
      </c>
      <c r="E262" t="s">
        <v>2936</v>
      </c>
      <c r="F262">
        <v>261</v>
      </c>
    </row>
    <row r="263" spans="1:6" ht="29.25">
      <c r="A263" t="s">
        <v>2937</v>
      </c>
      <c r="B263" t="s">
        <v>2671</v>
      </c>
      <c r="C263" s="19" t="s">
        <v>2877</v>
      </c>
      <c r="D263" s="19" t="s">
        <v>2938</v>
      </c>
      <c r="E263" t="s">
        <v>2939</v>
      </c>
      <c r="F263">
        <v>262</v>
      </c>
    </row>
    <row r="264" spans="1:6" ht="43.5">
      <c r="A264" t="s">
        <v>2940</v>
      </c>
      <c r="B264" t="s">
        <v>2671</v>
      </c>
      <c r="C264" s="19" t="s">
        <v>2877</v>
      </c>
      <c r="D264" s="19" t="s">
        <v>2941</v>
      </c>
      <c r="E264" t="s">
        <v>2942</v>
      </c>
      <c r="F264">
        <v>263</v>
      </c>
    </row>
    <row r="265" spans="1:6">
      <c r="A265" t="s">
        <v>2943</v>
      </c>
      <c r="B265" t="s">
        <v>2671</v>
      </c>
      <c r="C265" s="19" t="s">
        <v>2877</v>
      </c>
      <c r="D265" s="19" t="s">
        <v>2944</v>
      </c>
      <c r="E265" t="s">
        <v>2945</v>
      </c>
      <c r="F265">
        <v>264</v>
      </c>
    </row>
    <row r="266" spans="1:6">
      <c r="A266" t="s">
        <v>2946</v>
      </c>
      <c r="B266" t="s">
        <v>2671</v>
      </c>
      <c r="C266" s="19" t="s">
        <v>2877</v>
      </c>
      <c r="D266" s="19" t="s">
        <v>2947</v>
      </c>
      <c r="E266" t="s">
        <v>2948</v>
      </c>
      <c r="F266">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Damien Fulliquet</cp:lastModifiedBy>
  <cp:revision/>
  <dcterms:created xsi:type="dcterms:W3CDTF">2025-10-28T12:43:55Z</dcterms:created>
  <dcterms:modified xsi:type="dcterms:W3CDTF">2025-11-06T15:02:48Z</dcterms:modified>
  <cp:category/>
  <cp:contentStatus/>
</cp:coreProperties>
</file>